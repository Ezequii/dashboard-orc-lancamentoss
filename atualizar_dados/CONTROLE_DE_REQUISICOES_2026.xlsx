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ggicombr.sharepoint.com/sites/SharepointFSFazendaItamarati/Documento/PCM/-- CONTROLES/"/>
    </mc:Choice>
  </mc:AlternateContent>
  <xr:revisionPtr revIDLastSave="11310" documentId="13_ncr:1_{00919EA7-9A91-438F-B0B2-73C9D9872933}" xr6:coauthVersionLast="47" xr6:coauthVersionMax="47" xr10:uidLastSave="{7531DB72-68FC-48E4-AC5F-DCFA9D37D61A}"/>
  <bookViews>
    <workbookView xWindow="28680" yWindow="-120" windowWidth="29040" windowHeight="15720" firstSheet="2" activeTab="2" xr2:uid="{00000000-000D-0000-FFFF-FFFF00000000}"/>
  </bookViews>
  <sheets>
    <sheet name="Fornedores" sheetId="2" r:id="rId1"/>
    <sheet name="Base Equipamento" sheetId="3" r:id="rId2"/>
    <sheet name="Acompanhamento RC 2026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24" i="1" l="1"/>
  <c r="I2324" i="1"/>
  <c r="Q2324" i="1" a="1"/>
  <c r="Q2324" i="1"/>
  <c r="D2323" i="1"/>
  <c r="I2323" i="1"/>
  <c r="Q2323" i="1" a="1"/>
  <c r="Q2323" i="1"/>
  <c r="D2322" i="1"/>
  <c r="I2322" i="1"/>
  <c r="Q2322" i="1" a="1"/>
  <c r="Q2322" i="1"/>
  <c r="D2321" i="1"/>
  <c r="I2321" i="1"/>
  <c r="Q2321" i="1" a="1"/>
  <c r="Q2321" i="1"/>
  <c r="D2320" i="1"/>
  <c r="I2320" i="1"/>
  <c r="Q2320" i="1" a="1"/>
  <c r="Q2320" i="1"/>
  <c r="D2319" i="1"/>
  <c r="I2319" i="1"/>
  <c r="Q2319" i="1" a="1"/>
  <c r="Q2319" i="1"/>
  <c r="D2318" i="1"/>
  <c r="I2318" i="1"/>
  <c r="Q2318" i="1" a="1"/>
  <c r="Q2318" i="1"/>
  <c r="D2317" i="1"/>
  <c r="I2317" i="1"/>
  <c r="Q2317" i="1" a="1"/>
  <c r="Q2317" i="1"/>
  <c r="D2316" i="1"/>
  <c r="I2316" i="1"/>
  <c r="Q2316" i="1" a="1"/>
  <c r="Q2316" i="1"/>
  <c r="Q2315" i="1" a="1"/>
  <c r="Q2315" i="1" s="1"/>
  <c r="I2315" i="1"/>
  <c r="D2315" i="1"/>
  <c r="D2314" i="1"/>
  <c r="I2314" i="1"/>
  <c r="Q2314" i="1" a="1"/>
  <c r="Q2314" i="1"/>
  <c r="Q2313" i="1" a="1"/>
  <c r="Q2313" i="1" s="1"/>
  <c r="I2313" i="1"/>
  <c r="D2313" i="1"/>
  <c r="D2312" i="1"/>
  <c r="I2312" i="1"/>
  <c r="Q2312" i="1" a="1"/>
  <c r="Q2312" i="1"/>
  <c r="D2311" i="1"/>
  <c r="I2311" i="1"/>
  <c r="Q2311" i="1" a="1"/>
  <c r="Q2311" i="1"/>
  <c r="Q2310" i="1" a="1"/>
  <c r="Q2310" i="1" s="1"/>
  <c r="I2310" i="1"/>
  <c r="D2310" i="1"/>
  <c r="D2309" i="1"/>
  <c r="I2309" i="1"/>
  <c r="Q2309" i="1" a="1"/>
  <c r="Q2309" i="1"/>
  <c r="D2308" i="1"/>
  <c r="I2308" i="1"/>
  <c r="Q2308" i="1" a="1"/>
  <c r="Q2308" i="1"/>
  <c r="D2307" i="1"/>
  <c r="I2307" i="1"/>
  <c r="Q2307" i="1" a="1"/>
  <c r="Q2307" i="1"/>
  <c r="D2306" i="1"/>
  <c r="I2306" i="1"/>
  <c r="Q2306" i="1" a="1"/>
  <c r="Q2306" i="1"/>
  <c r="D2305" i="1"/>
  <c r="I2305" i="1"/>
  <c r="Q2305" i="1" a="1"/>
  <c r="Q2305" i="1"/>
  <c r="D2304" i="1"/>
  <c r="I2304" i="1"/>
  <c r="Q2304" i="1" a="1"/>
  <c r="Q2304" i="1" s="1"/>
  <c r="D2303" i="1"/>
  <c r="I2303" i="1"/>
  <c r="Q2303" i="1" a="1"/>
  <c r="Q2303" i="1" s="1"/>
  <c r="D2302" i="1"/>
  <c r="I2302" i="1"/>
  <c r="Q2302" i="1" a="1"/>
  <c r="Q2302" i="1" s="1"/>
  <c r="D2301" i="1"/>
  <c r="I2301" i="1"/>
  <c r="Q2301" i="1" a="1"/>
  <c r="Q2301" i="1"/>
  <c r="D2300" i="1"/>
  <c r="I2300" i="1"/>
  <c r="Q2300" i="1" a="1"/>
  <c r="Q2300" i="1" s="1"/>
  <c r="D2299" i="1"/>
  <c r="I2299" i="1"/>
  <c r="Q2299" i="1" a="1"/>
  <c r="Q2299" i="1" s="1"/>
  <c r="D2298" i="1"/>
  <c r="I2298" i="1"/>
  <c r="Q2298" i="1" a="1"/>
  <c r="Q2298" i="1" s="1"/>
  <c r="D2297" i="1"/>
  <c r="I2297" i="1"/>
  <c r="Q2297" i="1" a="1"/>
  <c r="Q2297" i="1" s="1"/>
  <c r="D2296" i="1"/>
  <c r="I2296" i="1"/>
  <c r="Q2296" i="1" a="1"/>
  <c r="Q2296" i="1"/>
  <c r="D2295" i="1"/>
  <c r="I2295" i="1"/>
  <c r="Q2295" i="1" a="1"/>
  <c r="Q2295" i="1" s="1"/>
  <c r="D2294" i="1"/>
  <c r="I2294" i="1"/>
  <c r="Q2294" i="1" a="1"/>
  <c r="Q2294" i="1" s="1"/>
  <c r="D2293" i="1"/>
  <c r="I2293" i="1"/>
  <c r="Q2293" i="1" a="1"/>
  <c r="Q2293" i="1" s="1"/>
  <c r="D2292" i="1"/>
  <c r="I2292" i="1"/>
  <c r="Q2292" i="1" a="1"/>
  <c r="Q2292" i="1" s="1"/>
  <c r="D2291" i="1"/>
  <c r="I2291" i="1"/>
  <c r="Q2291" i="1" a="1"/>
  <c r="Q2291" i="1" s="1"/>
  <c r="D2290" i="1"/>
  <c r="I2290" i="1"/>
  <c r="Q2290" i="1" a="1"/>
  <c r="Q2290" i="1" s="1"/>
  <c r="D2289" i="1"/>
  <c r="I2289" i="1"/>
  <c r="Q2289" i="1" a="1"/>
  <c r="Q2289" i="1" s="1"/>
  <c r="D2288" i="1"/>
  <c r="I2288" i="1"/>
  <c r="Q2288" i="1" a="1"/>
  <c r="Q2288" i="1" s="1"/>
  <c r="D2287" i="1"/>
  <c r="I2287" i="1"/>
  <c r="Q2287" i="1" a="1"/>
  <c r="Q2287" i="1" s="1"/>
  <c r="D2286" i="1"/>
  <c r="I2286" i="1"/>
  <c r="Q2286" i="1" a="1"/>
  <c r="Q2286" i="1" s="1"/>
  <c r="D2285" i="1"/>
  <c r="I2285" i="1"/>
  <c r="Q2285" i="1" a="1"/>
  <c r="Q2285" i="1" s="1"/>
  <c r="D2284" i="1"/>
  <c r="I2284" i="1"/>
  <c r="Q2284" i="1" a="1"/>
  <c r="Q2284" i="1" s="1"/>
  <c r="D2283" i="1"/>
  <c r="I2283" i="1"/>
  <c r="Q2283" i="1" a="1"/>
  <c r="Q2283" i="1" s="1"/>
  <c r="D2282" i="1"/>
  <c r="I2282" i="1"/>
  <c r="Q2282" i="1" a="1"/>
  <c r="Q2282" i="1" s="1"/>
  <c r="D2281" i="1"/>
  <c r="I2281" i="1"/>
  <c r="Q2281" i="1" a="1"/>
  <c r="Q2281" i="1" s="1"/>
  <c r="D2280" i="1"/>
  <c r="I2280" i="1"/>
  <c r="Q2280" i="1" a="1"/>
  <c r="Q2280" i="1" s="1"/>
  <c r="D2279" i="1"/>
  <c r="I2279" i="1"/>
  <c r="Q2279" i="1" a="1"/>
  <c r="Q2279" i="1" s="1"/>
  <c r="D2278" i="1"/>
  <c r="I2278" i="1"/>
  <c r="Q2278" i="1" a="1"/>
  <c r="Q2278" i="1" s="1"/>
  <c r="D2277" i="1"/>
  <c r="I2277" i="1"/>
  <c r="Q2277" i="1" a="1"/>
  <c r="Q2277" i="1" s="1"/>
  <c r="D2276" i="1"/>
  <c r="I2276" i="1"/>
  <c r="Q2276" i="1" a="1"/>
  <c r="Q2276" i="1" s="1"/>
  <c r="D2275" i="1"/>
  <c r="I2275" i="1"/>
  <c r="Q2275" i="1" a="1"/>
  <c r="Q2275" i="1" s="1"/>
  <c r="D2274" i="1"/>
  <c r="I2274" i="1"/>
  <c r="Q2274" i="1" a="1"/>
  <c r="Q2274" i="1" s="1"/>
  <c r="D2273" i="1"/>
  <c r="I2273" i="1"/>
  <c r="Q2273" i="1" a="1"/>
  <c r="Q2273" i="1" s="1"/>
  <c r="D2272" i="1"/>
  <c r="I2272" i="1"/>
  <c r="Q2272" i="1" a="1"/>
  <c r="Q2272" i="1" s="1"/>
  <c r="D2271" i="1"/>
  <c r="I2271" i="1"/>
  <c r="Q2271" i="1" a="1"/>
  <c r="Q2271" i="1" s="1"/>
  <c r="D2269" i="1"/>
  <c r="D2270" i="1"/>
  <c r="I2269" i="1"/>
  <c r="I2270" i="1"/>
  <c r="Q2269" i="1" a="1"/>
  <c r="Q2269" i="1" s="1"/>
  <c r="Q2270" i="1" a="1"/>
  <c r="Q2270" i="1" s="1"/>
  <c r="D2268" i="1"/>
  <c r="I2268" i="1"/>
  <c r="Q2268" i="1" a="1"/>
  <c r="Q2268" i="1" s="1"/>
  <c r="I2266" i="1"/>
  <c r="I2267" i="1"/>
  <c r="Q2267" i="1" a="1"/>
  <c r="Q2267" i="1" s="1"/>
  <c r="D2266" i="1"/>
  <c r="D2267" i="1"/>
  <c r="D2260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1" i="1"/>
  <c r="D2262" i="1"/>
  <c r="D2263" i="1"/>
  <c r="D2264" i="1"/>
  <c r="D2265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Q2247" i="1" a="1"/>
  <c r="Q2247" i="1" s="1"/>
  <c r="Q2248" i="1" a="1"/>
  <c r="Q2248" i="1" s="1"/>
  <c r="Q2249" i="1" a="1"/>
  <c r="Q2249" i="1" s="1"/>
  <c r="Q2250" i="1" a="1"/>
  <c r="Q2250" i="1" s="1"/>
  <c r="Q2251" i="1" a="1"/>
  <c r="Q2251" i="1" s="1"/>
  <c r="Q2252" i="1" a="1"/>
  <c r="Q2252" i="1" s="1"/>
  <c r="Q2253" i="1" a="1"/>
  <c r="Q2253" i="1" s="1"/>
  <c r="Q2254" i="1" a="1"/>
  <c r="Q2254" i="1" s="1"/>
  <c r="Q2255" i="1" a="1"/>
  <c r="Q2255" i="1" s="1"/>
  <c r="Q2256" i="1" a="1"/>
  <c r="Q2256" i="1" s="1"/>
  <c r="Q2257" i="1" a="1"/>
  <c r="Q2257" i="1" s="1"/>
  <c r="Q2258" i="1" a="1"/>
  <c r="Q2258" i="1" s="1"/>
  <c r="Q2259" i="1" a="1"/>
  <c r="Q2259" i="1" s="1"/>
  <c r="Q2260" i="1" a="1"/>
  <c r="Q2260" i="1" s="1"/>
  <c r="Q2261" i="1" a="1"/>
  <c r="Q2261" i="1" s="1"/>
  <c r="Q2262" i="1" a="1"/>
  <c r="Q2262" i="1" s="1"/>
  <c r="Q2263" i="1" a="1"/>
  <c r="Q2263" i="1" s="1"/>
  <c r="Q2264" i="1" a="1"/>
  <c r="Q2264" i="1" s="1"/>
  <c r="Q2265" i="1" a="1"/>
  <c r="Q2265" i="1" s="1"/>
  <c r="Q2266" i="1" a="1"/>
  <c r="Q2266" i="1" s="1"/>
  <c r="D2246" i="1"/>
  <c r="I2246" i="1"/>
  <c r="Q2246" i="1" a="1"/>
  <c r="Q2246" i="1" s="1"/>
  <c r="D2245" i="1"/>
  <c r="Q2245" i="1" a="1"/>
  <c r="Q2245" i="1" s="1"/>
  <c r="Q2244" i="1" a="1"/>
  <c r="Q2244" i="1" s="1"/>
  <c r="I2244" i="1"/>
  <c r="D2244" i="1"/>
  <c r="Q2243" i="1" a="1"/>
  <c r="Q2243" i="1" s="1"/>
  <c r="I2243" i="1"/>
  <c r="D2243" i="1"/>
  <c r="Q2242" i="1" a="1"/>
  <c r="Q2242" i="1" s="1"/>
  <c r="I2242" i="1"/>
  <c r="D2242" i="1"/>
  <c r="Q2241" i="1" a="1"/>
  <c r="Q2241" i="1" s="1"/>
  <c r="I2241" i="1"/>
  <c r="D2241" i="1"/>
  <c r="Q2240" i="1" a="1"/>
  <c r="Q2240" i="1" s="1"/>
  <c r="I2240" i="1"/>
  <c r="D2240" i="1"/>
  <c r="Q2239" i="1" a="1"/>
  <c r="Q2239" i="1" s="1"/>
  <c r="I2239" i="1"/>
  <c r="D2239" i="1"/>
  <c r="Q2238" i="1" a="1"/>
  <c r="Q2238" i="1" s="1"/>
  <c r="I2238" i="1"/>
  <c r="D2238" i="1"/>
  <c r="Q2237" i="1" a="1"/>
  <c r="Q2237" i="1" s="1"/>
  <c r="I2237" i="1"/>
  <c r="D2237" i="1"/>
  <c r="D2236" i="1"/>
  <c r="I2236" i="1"/>
  <c r="Q2236" i="1" a="1"/>
  <c r="Q2236" i="1" s="1"/>
  <c r="Q2235" i="1" a="1"/>
  <c r="Q2235" i="1" s="1"/>
  <c r="I2235" i="1"/>
  <c r="D2235" i="1"/>
  <c r="Q2234" i="1" a="1"/>
  <c r="Q2234" i="1" s="1"/>
  <c r="I2234" i="1"/>
  <c r="D2234" i="1"/>
  <c r="Q2233" i="1" a="1"/>
  <c r="Q2233" i="1" s="1"/>
  <c r="I2233" i="1"/>
  <c r="D2233" i="1"/>
  <c r="Q2232" i="1" a="1"/>
  <c r="Q2232" i="1" s="1"/>
  <c r="I2232" i="1"/>
  <c r="D2232" i="1"/>
  <c r="Q2231" i="1" a="1"/>
  <c r="Q2231" i="1" s="1"/>
  <c r="I2231" i="1"/>
  <c r="D2231" i="1"/>
  <c r="Q2230" i="1" a="1"/>
  <c r="Q2230" i="1" s="1"/>
  <c r="I2230" i="1"/>
  <c r="D2230" i="1"/>
  <c r="Q2229" i="1" a="1"/>
  <c r="Q2229" i="1" s="1"/>
  <c r="I2229" i="1"/>
  <c r="D2229" i="1"/>
  <c r="D2227" i="1"/>
  <c r="I2227" i="1"/>
  <c r="Q2227" i="1" a="1"/>
  <c r="Q2227" i="1" s="1"/>
  <c r="D2226" i="1"/>
  <c r="I2226" i="1"/>
  <c r="Q2226" i="1" a="1"/>
  <c r="Q2226" i="1" s="1"/>
  <c r="D2225" i="1"/>
  <c r="I2225" i="1"/>
  <c r="Q2225" i="1" a="1"/>
  <c r="Q2225" i="1" s="1"/>
  <c r="D2224" i="1"/>
  <c r="I2224" i="1"/>
  <c r="Q2224" i="1" a="1"/>
  <c r="Q2224" i="1" s="1"/>
  <c r="D2223" i="1"/>
  <c r="I2223" i="1"/>
  <c r="Q2223" i="1" a="1"/>
  <c r="Q2223" i="1" s="1"/>
  <c r="D2222" i="1"/>
  <c r="I2222" i="1"/>
  <c r="Q2222" i="1" a="1"/>
  <c r="Q2222" i="1" s="1"/>
  <c r="D2221" i="1"/>
  <c r="I2221" i="1"/>
  <c r="Q2221" i="1" a="1"/>
  <c r="Q2221" i="1" s="1"/>
  <c r="D2220" i="1"/>
  <c r="I2220" i="1"/>
  <c r="Q2220" i="1" a="1"/>
  <c r="Q2220" i="1" s="1"/>
  <c r="D2219" i="1"/>
  <c r="I2219" i="1"/>
  <c r="Q2219" i="1" a="1"/>
  <c r="Q2219" i="1" s="1"/>
  <c r="D2218" i="1"/>
  <c r="I2218" i="1"/>
  <c r="Q2218" i="1" a="1"/>
  <c r="Q2218" i="1" s="1"/>
  <c r="D2217" i="1"/>
  <c r="I2217" i="1"/>
  <c r="Q2217" i="1" a="1"/>
  <c r="Q2217" i="1" s="1"/>
  <c r="D2216" i="1"/>
  <c r="I2216" i="1"/>
  <c r="Q2216" i="1" a="1"/>
  <c r="Q2216" i="1" s="1"/>
  <c r="D2215" i="1"/>
  <c r="I2215" i="1"/>
  <c r="Q2215" i="1" a="1"/>
  <c r="Q2215" i="1" s="1"/>
  <c r="Q2228" i="1" a="1"/>
  <c r="Q2228" i="1" s="1"/>
  <c r="I2228" i="1"/>
  <c r="D2228" i="1"/>
  <c r="Q2214" i="1" a="1"/>
  <c r="Q2214" i="1" s="1"/>
  <c r="I2214" i="1"/>
  <c r="D2214" i="1"/>
  <c r="Q2213" i="1" a="1"/>
  <c r="Q2213" i="1" s="1"/>
  <c r="I2213" i="1"/>
  <c r="D2213" i="1"/>
  <c r="Q2072" i="1" a="1"/>
  <c r="Q2072" i="1" s="1"/>
  <c r="I2072" i="1"/>
  <c r="D2072" i="1"/>
  <c r="Q2199" i="1" a="1"/>
  <c r="Q2199" i="1" s="1"/>
  <c r="I2199" i="1"/>
  <c r="D2199" i="1"/>
  <c r="D2212" i="1"/>
  <c r="I2212" i="1"/>
  <c r="Q2212" i="1" a="1"/>
  <c r="Q2212" i="1" s="1"/>
  <c r="Q2211" i="1" a="1"/>
  <c r="Q2211" i="1" s="1"/>
  <c r="I2211" i="1"/>
  <c r="D2211" i="1"/>
  <c r="Q2210" i="1" a="1"/>
  <c r="Q2210" i="1" s="1"/>
  <c r="I2210" i="1"/>
  <c r="D2210" i="1"/>
  <c r="Q2209" i="1" a="1"/>
  <c r="Q2209" i="1" s="1"/>
  <c r="I2209" i="1"/>
  <c r="D2209" i="1"/>
  <c r="Q2208" i="1" a="1"/>
  <c r="Q2208" i="1" s="1"/>
  <c r="I2208" i="1"/>
  <c r="D2208" i="1"/>
  <c r="Q2207" i="1" a="1"/>
  <c r="Q2207" i="1" s="1"/>
  <c r="I2207" i="1"/>
  <c r="D2207" i="1"/>
  <c r="Q2206" i="1" a="1"/>
  <c r="Q2206" i="1" s="1"/>
  <c r="I2206" i="1"/>
  <c r="D2206" i="1"/>
  <c r="Q2205" i="1" a="1"/>
  <c r="Q2205" i="1" s="1"/>
  <c r="I2205" i="1"/>
  <c r="D2205" i="1"/>
  <c r="Q2204" i="1" a="1"/>
  <c r="Q2204" i="1" s="1"/>
  <c r="I2204" i="1"/>
  <c r="D2204" i="1"/>
  <c r="Q2203" i="1" a="1"/>
  <c r="Q2203" i="1" s="1"/>
  <c r="I2203" i="1"/>
  <c r="D2203" i="1"/>
  <c r="Q2202" i="1" a="1"/>
  <c r="Q2202" i="1" s="1"/>
  <c r="I2202" i="1"/>
  <c r="D2202" i="1"/>
  <c r="Q2201" i="1" a="1"/>
  <c r="Q2201" i="1" s="1"/>
  <c r="I2201" i="1"/>
  <c r="D2201" i="1"/>
  <c r="D2200" i="1"/>
  <c r="I2200" i="1"/>
  <c r="Q2200" i="1" a="1"/>
  <c r="Q2200" i="1" s="1"/>
  <c r="D2093" i="1"/>
  <c r="I2093" i="1"/>
  <c r="Q2093" i="1" a="1"/>
  <c r="Q2093" i="1" s="1"/>
  <c r="Q2198" i="1" a="1"/>
  <c r="Q2198" i="1" s="1"/>
  <c r="I2198" i="1"/>
  <c r="D2198" i="1"/>
  <c r="Q2197" i="1" a="1"/>
  <c r="Q2197" i="1" s="1"/>
  <c r="I2197" i="1"/>
  <c r="D2197" i="1"/>
  <c r="Q2196" i="1" a="1"/>
  <c r="Q2196" i="1" s="1"/>
  <c r="I2196" i="1"/>
  <c r="D2196" i="1"/>
  <c r="Q2195" i="1" a="1"/>
  <c r="Q2195" i="1" s="1"/>
  <c r="I2195" i="1"/>
  <c r="D2195" i="1"/>
  <c r="Q2194" i="1" a="1"/>
  <c r="Q2194" i="1" s="1"/>
  <c r="I2194" i="1"/>
  <c r="D2194" i="1"/>
  <c r="Q2193" i="1" a="1"/>
  <c r="Q2193" i="1" s="1"/>
  <c r="I2193" i="1"/>
  <c r="D2193" i="1"/>
  <c r="Q2192" i="1" a="1"/>
  <c r="Q2192" i="1" s="1"/>
  <c r="I2192" i="1"/>
  <c r="D2192" i="1"/>
  <c r="Q2191" i="1" a="1"/>
  <c r="Q2191" i="1" s="1"/>
  <c r="I2191" i="1"/>
  <c r="D2191" i="1"/>
  <c r="Q2190" i="1" a="1"/>
  <c r="Q2190" i="1" s="1"/>
  <c r="I2190" i="1"/>
  <c r="D2190" i="1"/>
  <c r="Q2189" i="1" a="1"/>
  <c r="Q2189" i="1" s="1"/>
  <c r="I2189" i="1"/>
  <c r="D2189" i="1"/>
  <c r="Q2188" i="1" a="1"/>
  <c r="Q2188" i="1" s="1"/>
  <c r="I2188" i="1"/>
  <c r="D2188" i="1"/>
  <c r="D2187" i="1"/>
  <c r="I2187" i="1"/>
  <c r="Q2187" i="1" a="1"/>
  <c r="Q2187" i="1" s="1"/>
  <c r="D2186" i="1"/>
  <c r="I2186" i="1"/>
  <c r="Q2186" i="1" a="1"/>
  <c r="Q2186" i="1" s="1"/>
  <c r="Q2185" i="1" a="1"/>
  <c r="Q2185" i="1" s="1"/>
  <c r="I2185" i="1"/>
  <c r="D2185" i="1"/>
  <c r="Q2184" i="1" a="1"/>
  <c r="Q2184" i="1" s="1"/>
  <c r="I2184" i="1"/>
  <c r="D2184" i="1"/>
  <c r="Q2183" i="1" a="1"/>
  <c r="Q2183" i="1" s="1"/>
  <c r="I2183" i="1"/>
  <c r="D2183" i="1"/>
  <c r="Q2182" i="1" a="1"/>
  <c r="Q2182" i="1" s="1"/>
  <c r="I2182" i="1"/>
  <c r="D2182" i="1"/>
  <c r="Q2181" i="1" a="1"/>
  <c r="Q2181" i="1" s="1"/>
  <c r="I2181" i="1"/>
  <c r="D2181" i="1"/>
  <c r="Q2180" i="1" a="1"/>
  <c r="Q2180" i="1" s="1"/>
  <c r="I2180" i="1"/>
  <c r="D2180" i="1"/>
  <c r="Q2179" i="1" a="1"/>
  <c r="Q2179" i="1" s="1"/>
  <c r="I2179" i="1"/>
  <c r="D2179" i="1"/>
  <c r="Q2178" i="1" a="1"/>
  <c r="Q2178" i="1" s="1"/>
  <c r="I2178" i="1"/>
  <c r="D2178" i="1"/>
  <c r="D2177" i="1"/>
  <c r="I2177" i="1"/>
  <c r="Q2177" i="1" a="1"/>
  <c r="Q2177" i="1" s="1"/>
  <c r="D2126" i="1"/>
  <c r="I2126" i="1"/>
  <c r="Q2126" i="1" a="1"/>
  <c r="Q2126" i="1" s="1"/>
  <c r="Q2176" i="1" a="1"/>
  <c r="Q2176" i="1" s="1"/>
  <c r="I2176" i="1"/>
  <c r="D2176" i="1"/>
  <c r="D2092" i="1"/>
  <c r="I2092" i="1"/>
  <c r="Q2092" i="1" a="1"/>
  <c r="Q2092" i="1" s="1"/>
  <c r="D2071" i="1"/>
  <c r="I2071" i="1"/>
  <c r="Q2071" i="1" a="1"/>
  <c r="Q2071" i="1" s="1"/>
  <c r="D2091" i="1"/>
  <c r="I2091" i="1"/>
  <c r="Q2091" i="1" a="1"/>
  <c r="Q2091" i="1" s="1"/>
  <c r="Q2175" i="1" a="1"/>
  <c r="Q2175" i="1" s="1"/>
  <c r="I2175" i="1"/>
  <c r="D2175" i="1"/>
  <c r="Q2174" i="1" a="1"/>
  <c r="Q2174" i="1" s="1"/>
  <c r="I2174" i="1"/>
  <c r="D2174" i="1"/>
  <c r="Q2173" i="1" a="1"/>
  <c r="Q2173" i="1" s="1"/>
  <c r="I2173" i="1"/>
  <c r="D2173" i="1"/>
  <c r="Q2172" i="1" a="1"/>
  <c r="Q2172" i="1" s="1"/>
  <c r="I2172" i="1"/>
  <c r="D2172" i="1"/>
  <c r="Q2171" i="1" a="1"/>
  <c r="Q2171" i="1" s="1"/>
  <c r="I2171" i="1"/>
  <c r="D2171" i="1"/>
  <c r="Q2170" i="1" a="1"/>
  <c r="Q2170" i="1" s="1"/>
  <c r="I2170" i="1"/>
  <c r="D2170" i="1"/>
  <c r="D2169" i="1"/>
  <c r="I2169" i="1"/>
  <c r="Q2169" i="1" a="1"/>
  <c r="Q2169" i="1" s="1"/>
  <c r="Q2168" i="1" a="1"/>
  <c r="Q2168" i="1" s="1"/>
  <c r="I2168" i="1"/>
  <c r="D2168" i="1"/>
  <c r="D2167" i="1"/>
  <c r="I2167" i="1"/>
  <c r="Q2167" i="1" a="1"/>
  <c r="Q2167" i="1" s="1"/>
  <c r="D2166" i="1"/>
  <c r="I2166" i="1"/>
  <c r="Q2166" i="1" a="1"/>
  <c r="Q2166" i="1" s="1"/>
  <c r="Q2165" i="1" a="1"/>
  <c r="Q2165" i="1" s="1"/>
  <c r="I2165" i="1"/>
  <c r="D2165" i="1"/>
  <c r="Q2164" i="1" a="1"/>
  <c r="Q2164" i="1" s="1"/>
  <c r="I2164" i="1"/>
  <c r="D2164" i="1"/>
  <c r="Q2163" i="1" a="1"/>
  <c r="Q2163" i="1" s="1"/>
  <c r="I2163" i="1"/>
  <c r="D2163" i="1"/>
  <c r="D2162" i="1"/>
  <c r="I2162" i="1"/>
  <c r="Q2162" i="1" a="1"/>
  <c r="Q2162" i="1" s="1"/>
  <c r="Q2161" i="1" a="1"/>
  <c r="Q2161" i="1" s="1"/>
  <c r="I2161" i="1"/>
  <c r="D2161" i="1"/>
  <c r="D2160" i="1"/>
  <c r="I2160" i="1"/>
  <c r="Q2160" i="1" a="1"/>
  <c r="Q2160" i="1" s="1"/>
  <c r="Q2159" i="1" a="1"/>
  <c r="Q2159" i="1" s="1"/>
  <c r="I2159" i="1"/>
  <c r="D2159" i="1"/>
  <c r="D2158" i="1"/>
  <c r="I2158" i="1"/>
  <c r="Q2158" i="1" a="1"/>
  <c r="Q2158" i="1" s="1"/>
  <c r="Q2157" i="1" a="1"/>
  <c r="Q2157" i="1" s="1"/>
  <c r="I2157" i="1"/>
  <c r="D2157" i="1"/>
  <c r="Q2156" i="1" a="1"/>
  <c r="Q2156" i="1" s="1"/>
  <c r="I2156" i="1"/>
  <c r="D2156" i="1"/>
  <c r="Q2155" i="1" a="1"/>
  <c r="Q2155" i="1" s="1"/>
  <c r="I2155" i="1"/>
  <c r="D2155" i="1"/>
  <c r="D2154" i="1"/>
  <c r="I2154" i="1"/>
  <c r="Q2154" i="1" a="1"/>
  <c r="Q2154" i="1" s="1"/>
  <c r="D2153" i="1"/>
  <c r="I2153" i="1"/>
  <c r="Q2153" i="1" a="1"/>
  <c r="Q2153" i="1" s="1"/>
  <c r="Q2017" i="1" a="1"/>
  <c r="Q2017" i="1" s="1"/>
  <c r="Q1867" i="1" a="1"/>
  <c r="Q1867" i="1" s="1"/>
  <c r="Q2152" i="1" a="1"/>
  <c r="Q2152" i="1" s="1"/>
  <c r="I2152" i="1"/>
  <c r="D2152" i="1"/>
  <c r="Q2151" i="1" a="1"/>
  <c r="Q2151" i="1" s="1"/>
  <c r="I2151" i="1"/>
  <c r="D2151" i="1"/>
  <c r="Q2150" i="1" a="1"/>
  <c r="Q2150" i="1" s="1"/>
  <c r="I2150" i="1"/>
  <c r="D2150" i="1"/>
  <c r="Q2149" i="1" a="1"/>
  <c r="Q2149" i="1" s="1"/>
  <c r="I2149" i="1"/>
  <c r="D2149" i="1"/>
  <c r="D2148" i="1"/>
  <c r="I2148" i="1"/>
  <c r="Q2148" i="1" a="1"/>
  <c r="Q2148" i="1" s="1"/>
  <c r="D2090" i="1"/>
  <c r="I2090" i="1"/>
  <c r="Q2090" i="1" a="1"/>
  <c r="Q2090" i="1" s="1"/>
  <c r="D2125" i="1"/>
  <c r="I2125" i="1"/>
  <c r="Q2125" i="1" a="1"/>
  <c r="Q2125" i="1" s="1"/>
  <c r="D2124" i="1"/>
  <c r="I2124" i="1"/>
  <c r="Q2124" i="1" a="1"/>
  <c r="Q2124" i="1" s="1"/>
  <c r="Q1955" i="1" a="1"/>
  <c r="Q1955" i="1" s="1"/>
  <c r="I1955" i="1"/>
  <c r="D1955" i="1"/>
  <c r="D2147" i="1"/>
  <c r="I2147" i="1"/>
  <c r="Q2147" i="1" a="1"/>
  <c r="Q2147" i="1" s="1"/>
  <c r="I1457" i="1"/>
  <c r="Q2146" i="1" a="1"/>
  <c r="Q2146" i="1" s="1"/>
  <c r="I2146" i="1"/>
  <c r="D2146" i="1"/>
  <c r="Q2145" i="1" a="1"/>
  <c r="Q2145" i="1" s="1"/>
  <c r="I2145" i="1"/>
  <c r="D2145" i="1"/>
  <c r="Q2144" i="1" a="1"/>
  <c r="Q2144" i="1" s="1"/>
  <c r="I2144" i="1"/>
  <c r="D2144" i="1"/>
  <c r="Q2143" i="1" a="1"/>
  <c r="Q2143" i="1" s="1"/>
  <c r="I2143" i="1"/>
  <c r="D2143" i="1"/>
  <c r="Q2142" i="1" a="1"/>
  <c r="Q2142" i="1" s="1"/>
  <c r="I2142" i="1"/>
  <c r="D2142" i="1"/>
  <c r="Q2141" i="1" a="1"/>
  <c r="Q2141" i="1" s="1"/>
  <c r="I2141" i="1"/>
  <c r="D2141" i="1"/>
  <c r="Q2140" i="1" a="1"/>
  <c r="Q2140" i="1" s="1"/>
  <c r="I2140" i="1"/>
  <c r="D2140" i="1"/>
  <c r="Q2139" i="1" a="1"/>
  <c r="Q2139" i="1" s="1"/>
  <c r="I2139" i="1"/>
  <c r="D2139" i="1"/>
  <c r="D2123" i="1"/>
  <c r="I2123" i="1"/>
  <c r="Q2123" i="1" a="1"/>
  <c r="Q2123" i="1" s="1"/>
  <c r="Q2122" i="1" a="1"/>
  <c r="Q2122" i="1" s="1"/>
  <c r="I2122" i="1"/>
  <c r="D2122" i="1"/>
  <c r="Q2089" i="1" a="1"/>
  <c r="Q2089" i="1" s="1"/>
  <c r="I2089" i="1"/>
  <c r="D2089" i="1"/>
  <c r="Q2138" i="1" a="1"/>
  <c r="Q2138" i="1" s="1"/>
  <c r="I2138" i="1"/>
  <c r="D2138" i="1"/>
  <c r="D2136" i="1"/>
  <c r="I2136" i="1"/>
  <c r="Q2136" i="1" a="1"/>
  <c r="Q2136" i="1" s="1"/>
  <c r="D2135" i="1"/>
  <c r="I2135" i="1"/>
  <c r="Q2135" i="1" a="1"/>
  <c r="Q2135" i="1" s="1"/>
  <c r="D2133" i="1"/>
  <c r="I2133" i="1"/>
  <c r="Q2133" i="1" a="1"/>
  <c r="Q2133" i="1" s="1"/>
  <c r="D2134" i="1"/>
  <c r="I2134" i="1"/>
  <c r="Q2134" i="1" a="1"/>
  <c r="Q2134" i="1" s="1"/>
  <c r="Q2137" i="1" a="1"/>
  <c r="Q2137" i="1" s="1"/>
  <c r="I2137" i="1"/>
  <c r="D2137" i="1"/>
  <c r="D2132" i="1"/>
  <c r="I2132" i="1"/>
  <c r="Q2132" i="1" a="1"/>
  <c r="Q2132" i="1" s="1"/>
  <c r="D2131" i="1"/>
  <c r="I2131" i="1"/>
  <c r="Q2131" i="1" a="1"/>
  <c r="Q2131" i="1" s="1"/>
  <c r="Q2130" i="1" a="1"/>
  <c r="Q2130" i="1" s="1"/>
  <c r="I2130" i="1"/>
  <c r="D2130" i="1"/>
  <c r="Q2129" i="1" a="1"/>
  <c r="Q2129" i="1" s="1"/>
  <c r="I2129" i="1"/>
  <c r="D2129" i="1"/>
  <c r="Q2128" i="1" a="1"/>
  <c r="Q2128" i="1" s="1"/>
  <c r="I2128" i="1"/>
  <c r="D2128" i="1"/>
  <c r="D2127" i="1"/>
  <c r="I2127" i="1"/>
  <c r="Q2127" i="1" a="1"/>
  <c r="Q2127" i="1" s="1"/>
  <c r="D1953" i="1"/>
  <c r="I1953" i="1"/>
  <c r="Q1953" i="1" a="1"/>
  <c r="Q1953" i="1" s="1"/>
  <c r="D1952" i="1"/>
  <c r="I1952" i="1"/>
  <c r="Q1952" i="1" a="1"/>
  <c r="Q1952" i="1" s="1"/>
  <c r="D1951" i="1"/>
  <c r="I1951" i="1"/>
  <c r="Q1951" i="1" a="1"/>
  <c r="Q1951" i="1" s="1"/>
  <c r="Q2095" i="1" a="1"/>
  <c r="Q2095" i="1" s="1"/>
  <c r="I2095" i="1"/>
  <c r="D2095" i="1"/>
  <c r="D2094" i="1"/>
  <c r="I2094" i="1"/>
  <c r="Q2094" i="1" a="1"/>
  <c r="Q2094" i="1" s="1"/>
  <c r="D2028" i="1"/>
  <c r="I2028" i="1"/>
  <c r="Q2028" i="1" a="1"/>
  <c r="Q2028" i="1" s="1"/>
  <c r="D1956" i="1"/>
  <c r="I1956" i="1"/>
  <c r="Q1956" i="1" a="1"/>
  <c r="Q1956" i="1" s="1"/>
  <c r="Q2120" i="1" a="1"/>
  <c r="Q2120" i="1" s="1"/>
  <c r="I2120" i="1"/>
  <c r="D2120" i="1"/>
  <c r="D2119" i="1"/>
  <c r="I2119" i="1"/>
  <c r="Q2119" i="1" a="1"/>
  <c r="Q2119" i="1" s="1"/>
  <c r="Q2118" i="1" a="1"/>
  <c r="Q2118" i="1" s="1"/>
  <c r="I2118" i="1"/>
  <c r="D2118" i="1"/>
  <c r="Q2117" i="1" a="1"/>
  <c r="Q2117" i="1" s="1"/>
  <c r="I2117" i="1"/>
  <c r="D2117" i="1"/>
  <c r="Q2116" i="1" a="1"/>
  <c r="Q2116" i="1" s="1"/>
  <c r="I2116" i="1"/>
  <c r="D2116" i="1"/>
  <c r="Q2115" i="1" a="1"/>
  <c r="Q2115" i="1" s="1"/>
  <c r="I2115" i="1"/>
  <c r="D2115" i="1"/>
  <c r="Q2114" i="1" a="1"/>
  <c r="Q2114" i="1" s="1"/>
  <c r="I2114" i="1"/>
  <c r="D2114" i="1"/>
  <c r="Q2113" i="1" a="1"/>
  <c r="Q2113" i="1" s="1"/>
  <c r="I2113" i="1"/>
  <c r="D2113" i="1"/>
  <c r="D2112" i="1"/>
  <c r="I2112" i="1"/>
  <c r="Q2112" i="1" a="1"/>
  <c r="Q2112" i="1" s="1"/>
  <c r="D2111" i="1"/>
  <c r="I2111" i="1"/>
  <c r="Q2111" i="1" a="1"/>
  <c r="Q2111" i="1" s="1"/>
  <c r="Q2110" i="1" a="1"/>
  <c r="Q2110" i="1" s="1"/>
  <c r="I2110" i="1"/>
  <c r="D2110" i="1"/>
  <c r="D2109" i="1"/>
  <c r="I2109" i="1"/>
  <c r="Q2109" i="1" a="1"/>
  <c r="Q2109" i="1" s="1"/>
  <c r="D2108" i="1"/>
  <c r="I2108" i="1"/>
  <c r="Q2108" i="1" a="1"/>
  <c r="Q2108" i="1" s="1"/>
  <c r="Q2107" i="1" a="1"/>
  <c r="Q2107" i="1" s="1"/>
  <c r="I2107" i="1"/>
  <c r="D2107" i="1"/>
  <c r="Q2106" i="1" a="1"/>
  <c r="Q2106" i="1" s="1"/>
  <c r="I2106" i="1"/>
  <c r="D2106" i="1"/>
  <c r="D2101" i="1"/>
  <c r="I2101" i="1"/>
  <c r="Q2101" i="1" a="1"/>
  <c r="Q2101" i="1" s="1"/>
  <c r="D2105" i="1"/>
  <c r="I2105" i="1"/>
  <c r="Q2105" i="1" a="1"/>
  <c r="Q2105" i="1" s="1"/>
  <c r="D2121" i="1"/>
  <c r="D2099" i="1"/>
  <c r="D2096" i="1"/>
  <c r="D2098" i="1"/>
  <c r="D2102" i="1"/>
  <c r="D2103" i="1"/>
  <c r="D2100" i="1"/>
  <c r="D2104" i="1"/>
  <c r="I2121" i="1"/>
  <c r="I2099" i="1"/>
  <c r="I2096" i="1"/>
  <c r="I2098" i="1"/>
  <c r="I2102" i="1"/>
  <c r="I2103" i="1"/>
  <c r="I2100" i="1"/>
  <c r="I2104" i="1"/>
  <c r="Q2121" i="1" a="1"/>
  <c r="Q2121" i="1" s="1"/>
  <c r="Q2099" i="1" a="1"/>
  <c r="Q2099" i="1" s="1"/>
  <c r="Q2096" i="1" a="1"/>
  <c r="Q2096" i="1" s="1"/>
  <c r="Q2098" i="1" a="1"/>
  <c r="Q2098" i="1" s="1"/>
  <c r="Q2102" i="1" a="1"/>
  <c r="Q2102" i="1" s="1"/>
  <c r="Q2103" i="1" a="1"/>
  <c r="Q2103" i="1" s="1"/>
  <c r="Q2100" i="1" a="1"/>
  <c r="Q2100" i="1" s="1"/>
  <c r="Q2104" i="1" a="1"/>
  <c r="Q2104" i="1" s="1"/>
  <c r="D2097" i="1"/>
  <c r="I2097" i="1"/>
  <c r="Q2097" i="1" a="1"/>
  <c r="Q2097" i="1" s="1"/>
  <c r="Q2086" i="1" a="1"/>
  <c r="Q2086" i="1" s="1"/>
  <c r="I2086" i="1"/>
  <c r="D2086" i="1"/>
  <c r="Q2087" i="1" a="1"/>
  <c r="Q2087" i="1" s="1"/>
  <c r="I2087" i="1"/>
  <c r="D2087" i="1"/>
  <c r="Q2075" i="1" a="1"/>
  <c r="Q2075" i="1" s="1"/>
  <c r="I2075" i="1"/>
  <c r="D2075" i="1"/>
  <c r="Q2074" i="1" a="1"/>
  <c r="Q2074" i="1" s="1"/>
  <c r="I2074" i="1"/>
  <c r="D2074" i="1"/>
  <c r="Q2073" i="1" a="1"/>
  <c r="Q2073" i="1" s="1"/>
  <c r="I2073" i="1"/>
  <c r="D2073" i="1"/>
  <c r="Q2076" i="1" a="1"/>
  <c r="Q2076" i="1" s="1"/>
  <c r="I2076" i="1"/>
  <c r="D2076" i="1"/>
  <c r="Q2085" i="1" a="1"/>
  <c r="Q2085" i="1" s="1"/>
  <c r="I2085" i="1"/>
  <c r="D2085" i="1"/>
  <c r="Q2082" i="1" a="1"/>
  <c r="Q2082" i="1" s="1"/>
  <c r="I2082" i="1"/>
  <c r="D2082" i="1"/>
  <c r="D2078" i="1"/>
  <c r="D2079" i="1"/>
  <c r="D2080" i="1"/>
  <c r="D2081" i="1"/>
  <c r="D2088" i="1"/>
  <c r="D2083" i="1"/>
  <c r="D2084" i="1"/>
  <c r="I2078" i="1"/>
  <c r="I2079" i="1"/>
  <c r="I2080" i="1"/>
  <c r="I2081" i="1"/>
  <c r="I2088" i="1"/>
  <c r="I2083" i="1"/>
  <c r="I2084" i="1"/>
  <c r="Q2078" i="1" a="1"/>
  <c r="Q2078" i="1" s="1"/>
  <c r="Q2079" i="1" a="1"/>
  <c r="Q2079" i="1" s="1"/>
  <c r="Q2080" i="1" a="1"/>
  <c r="Q2080" i="1" s="1"/>
  <c r="Q2081" i="1" a="1"/>
  <c r="Q2081" i="1" s="1"/>
  <c r="Q2088" i="1" a="1"/>
  <c r="Q2088" i="1" s="1"/>
  <c r="Q2083" i="1" a="1"/>
  <c r="Q2083" i="1" s="1"/>
  <c r="Q2084" i="1" a="1"/>
  <c r="Q2084" i="1" s="1"/>
  <c r="D2077" i="1"/>
  <c r="I2077" i="1"/>
  <c r="Q2077" i="1" a="1"/>
  <c r="Q2077" i="1" s="1"/>
  <c r="Q2053" i="1" a="1"/>
  <c r="Q2053" i="1" s="1"/>
  <c r="I2053" i="1"/>
  <c r="D2053" i="1"/>
  <c r="Q2049" i="1" a="1"/>
  <c r="Q2049" i="1" s="1"/>
  <c r="I2049" i="1"/>
  <c r="D2049" i="1"/>
  <c r="Q2056" i="1" a="1"/>
  <c r="Q2056" i="1" s="1"/>
  <c r="I2056" i="1"/>
  <c r="D2056" i="1"/>
  <c r="Q2055" i="1" a="1"/>
  <c r="Q2055" i="1" s="1"/>
  <c r="I2055" i="1"/>
  <c r="D2055" i="1"/>
  <c r="Q2054" i="1" a="1"/>
  <c r="Q2054" i="1" s="1"/>
  <c r="I2054" i="1"/>
  <c r="D2054" i="1"/>
  <c r="Q2051" i="1" a="1"/>
  <c r="Q2051" i="1" s="1"/>
  <c r="I2051" i="1"/>
  <c r="D2051" i="1"/>
  <c r="D2050" i="1"/>
  <c r="I2050" i="1"/>
  <c r="Q2050" i="1" a="1"/>
  <c r="Q2050" i="1" s="1"/>
  <c r="Q2052" i="1" a="1"/>
  <c r="Q2052" i="1" s="1"/>
  <c r="I2052" i="1"/>
  <c r="D2052" i="1"/>
  <c r="Q2060" i="1" a="1"/>
  <c r="Q2060" i="1" s="1"/>
  <c r="I2060" i="1"/>
  <c r="D2060" i="1"/>
  <c r="Q2069" i="1" a="1"/>
  <c r="Q2069" i="1" s="1"/>
  <c r="I2069" i="1"/>
  <c r="D2069" i="1"/>
  <c r="I2068" i="1"/>
  <c r="Q2068" i="1" a="1"/>
  <c r="Q2068" i="1" s="1"/>
  <c r="D2068" i="1"/>
  <c r="D2059" i="1"/>
  <c r="I2059" i="1"/>
  <c r="Q2059" i="1" a="1"/>
  <c r="Q2059" i="1" s="1"/>
  <c r="Q2067" i="1" a="1"/>
  <c r="Q2067" i="1" s="1"/>
  <c r="I2067" i="1"/>
  <c r="D2067" i="1"/>
  <c r="Q2066" i="1" a="1"/>
  <c r="Q2066" i="1" s="1"/>
  <c r="I2066" i="1"/>
  <c r="D2066" i="1"/>
  <c r="Q2065" i="1" a="1"/>
  <c r="Q2065" i="1" s="1"/>
  <c r="I2065" i="1"/>
  <c r="D2065" i="1"/>
  <c r="Q2058" i="1" a="1"/>
  <c r="Q2058" i="1" s="1"/>
  <c r="I2058" i="1"/>
  <c r="D2058" i="1"/>
  <c r="Q2057" i="1" a="1"/>
  <c r="Q2057" i="1" s="1"/>
  <c r="I2057" i="1"/>
  <c r="D2057" i="1"/>
  <c r="Q2063" i="1" a="1"/>
  <c r="Q2063" i="1" s="1"/>
  <c r="I2063" i="1"/>
  <c r="D2063" i="1"/>
  <c r="Q2062" i="1" a="1"/>
  <c r="Q2062" i="1" s="1"/>
  <c r="I2062" i="1"/>
  <c r="D2062" i="1"/>
  <c r="Q2061" i="1" a="1"/>
  <c r="Q2061" i="1" s="1"/>
  <c r="I2061" i="1"/>
  <c r="D2061" i="1"/>
  <c r="Q2070" i="1" a="1"/>
  <c r="Q2070" i="1" s="1"/>
  <c r="I2070" i="1"/>
  <c r="D2070" i="1"/>
  <c r="D2064" i="1"/>
  <c r="I2064" i="1"/>
  <c r="Q2064" i="1" a="1"/>
  <c r="Q2064" i="1" s="1"/>
  <c r="D2000" i="1"/>
  <c r="I2000" i="1"/>
  <c r="Q2000" i="1" a="1"/>
  <c r="Q2000" i="1" s="1"/>
  <c r="D2016" i="1"/>
  <c r="I2016" i="1"/>
  <c r="Q2016" i="1" a="1"/>
  <c r="Q2016" i="1" s="1"/>
  <c r="D2015" i="1"/>
  <c r="I2015" i="1"/>
  <c r="Q2015" i="1" a="1"/>
  <c r="Q2015" i="1" s="1"/>
  <c r="D2013" i="1"/>
  <c r="I2013" i="1"/>
  <c r="Q2013" i="1" a="1"/>
  <c r="Q2013" i="1" s="1"/>
  <c r="Q2040" i="1" a="1"/>
  <c r="Q2040" i="1" s="1"/>
  <c r="I2040" i="1"/>
  <c r="D2040" i="1"/>
  <c r="D2048" i="1"/>
  <c r="I2048" i="1"/>
  <c r="Q2048" i="1" a="1"/>
  <c r="Q2048" i="1" s="1"/>
  <c r="D2014" i="1"/>
  <c r="I2014" i="1"/>
  <c r="Q2014" i="1" a="1"/>
  <c r="Q2014" i="1" s="1"/>
  <c r="Q1916" i="1" a="1"/>
  <c r="Q1916" i="1" s="1"/>
  <c r="I1916" i="1"/>
  <c r="D1916" i="1"/>
  <c r="Q2018" i="1" a="1"/>
  <c r="Q2018" i="1" s="1"/>
  <c r="I2018" i="1"/>
  <c r="D2018" i="1"/>
  <c r="D1893" i="1"/>
  <c r="I1893" i="1"/>
  <c r="Q1893" i="1" a="1"/>
  <c r="Q1893" i="1" s="1"/>
  <c r="Q1906" i="1" a="1"/>
  <c r="Q1906" i="1" s="1"/>
  <c r="I1906" i="1"/>
  <c r="D1906" i="1"/>
  <c r="Q1895" i="1" a="1"/>
  <c r="Q1895" i="1" s="1"/>
  <c r="I1895" i="1"/>
  <c r="D1895" i="1"/>
  <c r="D1894" i="1"/>
  <c r="I1894" i="1"/>
  <c r="Q1894" i="1" a="1"/>
  <c r="Q1894" i="1" s="1"/>
  <c r="D1911" i="1"/>
  <c r="I1911" i="1"/>
  <c r="Q1911" i="1" a="1"/>
  <c r="Q1911" i="1" s="1"/>
  <c r="D1910" i="1"/>
  <c r="I1910" i="1"/>
  <c r="Q1910" i="1" a="1"/>
  <c r="Q1910" i="1" s="1"/>
  <c r="D1909" i="1"/>
  <c r="I1909" i="1"/>
  <c r="Q1909" i="1" a="1"/>
  <c r="Q1909" i="1" s="1"/>
  <c r="D1999" i="1"/>
  <c r="I1999" i="1"/>
  <c r="Q1999" i="1" a="1"/>
  <c r="Q1999" i="1" s="1"/>
  <c r="D2006" i="1"/>
  <c r="I2006" i="1"/>
  <c r="Q2006" i="1" a="1"/>
  <c r="Q2006" i="1" s="1"/>
  <c r="Q1982" i="1" a="1"/>
  <c r="Q1982" i="1" s="1"/>
  <c r="I1982" i="1"/>
  <c r="D1982" i="1"/>
  <c r="Q1981" i="1" a="1"/>
  <c r="Q1981" i="1" s="1"/>
  <c r="I1981" i="1"/>
  <c r="D1981" i="1"/>
  <c r="Q1978" i="1" a="1"/>
  <c r="Q1978" i="1" s="1"/>
  <c r="I1978" i="1"/>
  <c r="D1978" i="1"/>
  <c r="D1977" i="1"/>
  <c r="I1977" i="1"/>
  <c r="Q1977" i="1" a="1"/>
  <c r="Q1977" i="1" s="1"/>
  <c r="Q1976" i="1" a="1"/>
  <c r="Q1976" i="1" s="1"/>
  <c r="I1976" i="1"/>
  <c r="D1976" i="1"/>
  <c r="D1975" i="1"/>
  <c r="I1975" i="1"/>
  <c r="Q1975" i="1" a="1"/>
  <c r="Q1975" i="1" s="1"/>
  <c r="D1974" i="1"/>
  <c r="I1974" i="1"/>
  <c r="Q1974" i="1" a="1"/>
  <c r="Q1974" i="1" s="1"/>
  <c r="Q1973" i="1" a="1"/>
  <c r="Q1973" i="1" s="1"/>
  <c r="I1973" i="1"/>
  <c r="D1973" i="1"/>
  <c r="D1972" i="1"/>
  <c r="I1972" i="1"/>
  <c r="Q1972" i="1" a="1"/>
  <c r="Q1972" i="1" s="1"/>
  <c r="D1971" i="1"/>
  <c r="I1971" i="1"/>
  <c r="Q1971" i="1" a="1"/>
  <c r="Q1971" i="1" s="1"/>
  <c r="D1960" i="1"/>
  <c r="I1960" i="1"/>
  <c r="Q1960" i="1" a="1"/>
  <c r="Q1960" i="1" s="1"/>
  <c r="D1959" i="1"/>
  <c r="I1959" i="1"/>
  <c r="Q1959" i="1" a="1"/>
  <c r="Q1959" i="1" s="1"/>
  <c r="Q1958" i="1" a="1"/>
  <c r="Q1958" i="1" s="1"/>
  <c r="I1958" i="1"/>
  <c r="D1958" i="1"/>
  <c r="D1957" i="1"/>
  <c r="I1957" i="1"/>
  <c r="Q1957" i="1" a="1"/>
  <c r="Q1957" i="1" s="1"/>
  <c r="D2002" i="1"/>
  <c r="I2002" i="1"/>
  <c r="Q2002" i="1" a="1"/>
  <c r="Q2002" i="1" s="1"/>
  <c r="Q1954" i="1" a="1"/>
  <c r="Q1954" i="1" s="1"/>
  <c r="I1954" i="1"/>
  <c r="D1954" i="1"/>
  <c r="Q1950" i="1" a="1"/>
  <c r="Q1950" i="1" s="1"/>
  <c r="I1950" i="1"/>
  <c r="D1950" i="1"/>
  <c r="Q1949" i="1" a="1"/>
  <c r="Q1949" i="1" s="1"/>
  <c r="I1949" i="1"/>
  <c r="D1949" i="1"/>
  <c r="Q1948" i="1" a="1"/>
  <c r="Q1948" i="1" s="1"/>
  <c r="I1948" i="1"/>
  <c r="D1948" i="1"/>
  <c r="Q1947" i="1" a="1"/>
  <c r="Q1947" i="1" s="1"/>
  <c r="I1947" i="1"/>
  <c r="D1947" i="1"/>
  <c r="D1946" i="1"/>
  <c r="I1946" i="1"/>
  <c r="Q1946" i="1" a="1"/>
  <c r="Q1946" i="1" s="1"/>
  <c r="Q1933" i="1" a="1"/>
  <c r="Q1933" i="1" s="1"/>
  <c r="I1933" i="1"/>
  <c r="D1933" i="1"/>
  <c r="Q1932" i="1" a="1"/>
  <c r="Q1932" i="1" s="1"/>
  <c r="I1932" i="1"/>
  <c r="D1932" i="1"/>
  <c r="Q1931" i="1" a="1"/>
  <c r="Q1931" i="1" s="1"/>
  <c r="I1931" i="1"/>
  <c r="D1931" i="1"/>
  <c r="Q1930" i="1" a="1"/>
  <c r="Q1930" i="1" s="1"/>
  <c r="I1930" i="1"/>
  <c r="D1930" i="1"/>
  <c r="Q1929" i="1" a="1"/>
  <c r="Q1929" i="1" s="1"/>
  <c r="I1929" i="1"/>
  <c r="D1929" i="1"/>
  <c r="Q1939" i="1" a="1"/>
  <c r="Q1939" i="1" s="1"/>
  <c r="I1939" i="1"/>
  <c r="D1939" i="1"/>
  <c r="Q1938" i="1" a="1"/>
  <c r="Q1938" i="1" s="1"/>
  <c r="I1938" i="1"/>
  <c r="D1938" i="1"/>
  <c r="Q1937" i="1" a="1"/>
  <c r="Q1937" i="1" s="1"/>
  <c r="I1937" i="1"/>
  <c r="D1937" i="1"/>
  <c r="Q1936" i="1" a="1"/>
  <c r="Q1936" i="1" s="1"/>
  <c r="I1936" i="1"/>
  <c r="D1936" i="1"/>
  <c r="Q1935" i="1" a="1"/>
  <c r="Q1935" i="1" s="1"/>
  <c r="I1935" i="1"/>
  <c r="D1935" i="1"/>
  <c r="Q1934" i="1" a="1"/>
  <c r="Q1934" i="1" s="1"/>
  <c r="I1934" i="1"/>
  <c r="D1934" i="1"/>
  <c r="Q1945" i="1" a="1"/>
  <c r="Q1945" i="1" s="1"/>
  <c r="I1945" i="1"/>
  <c r="D1945" i="1"/>
  <c r="Q1944" i="1" a="1"/>
  <c r="Q1944" i="1" s="1"/>
  <c r="I1944" i="1"/>
  <c r="D1944" i="1"/>
  <c r="Q1943" i="1" a="1"/>
  <c r="Q1943" i="1" s="1"/>
  <c r="I1943" i="1"/>
  <c r="D1943" i="1"/>
  <c r="Q1942" i="1" a="1"/>
  <c r="Q1942" i="1" s="1"/>
  <c r="I1942" i="1"/>
  <c r="D1942" i="1"/>
  <c r="D1941" i="1"/>
  <c r="I1941" i="1"/>
  <c r="Q1941" i="1" a="1"/>
  <c r="Q1941" i="1" s="1"/>
  <c r="D1940" i="1"/>
  <c r="I1940" i="1"/>
  <c r="Q1940" i="1" a="1"/>
  <c r="Q1940" i="1" s="1"/>
  <c r="Q2047" i="1" a="1"/>
  <c r="Q2047" i="1" s="1"/>
  <c r="I2047" i="1"/>
  <c r="D2047" i="1"/>
  <c r="Q1220" i="1" a="1"/>
  <c r="Q1220" i="1" s="1"/>
  <c r="Q2043" i="1" a="1"/>
  <c r="Q2043" i="1" s="1"/>
  <c r="I2043" i="1"/>
  <c r="D2043" i="1"/>
  <c r="Q2044" i="1" a="1"/>
  <c r="Q2044" i="1" s="1"/>
  <c r="I2044" i="1"/>
  <c r="D2044" i="1"/>
  <c r="D2039" i="1"/>
  <c r="I2039" i="1"/>
  <c r="Q2039" i="1" a="1"/>
  <c r="Q2039" i="1" s="1"/>
  <c r="Q2038" i="1" a="1"/>
  <c r="Q2038" i="1" s="1"/>
  <c r="I2038" i="1"/>
  <c r="D2038" i="1"/>
  <c r="Q2042" i="1" a="1"/>
  <c r="Q2042" i="1" s="1"/>
  <c r="I2042" i="1"/>
  <c r="D2042" i="1"/>
  <c r="Q2031" i="1" a="1"/>
  <c r="Q2031" i="1" s="1"/>
  <c r="I2031" i="1"/>
  <c r="D2031" i="1"/>
  <c r="Q2032" i="1" a="1"/>
  <c r="Q2032" i="1" s="1"/>
  <c r="I2032" i="1"/>
  <c r="D2032" i="1"/>
  <c r="Q2029" i="1" a="1"/>
  <c r="Q2029" i="1" s="1"/>
  <c r="I2029" i="1"/>
  <c r="D2029" i="1"/>
  <c r="Q2035" i="1" a="1"/>
  <c r="Q2035" i="1" s="1"/>
  <c r="I2035" i="1"/>
  <c r="D2035" i="1"/>
  <c r="Q2034" i="1" a="1"/>
  <c r="Q2034" i="1" s="1"/>
  <c r="I2034" i="1"/>
  <c r="D2034" i="1"/>
  <c r="Q2046" i="1" a="1"/>
  <c r="Q2046" i="1" s="1"/>
  <c r="I2046" i="1"/>
  <c r="D2046" i="1"/>
  <c r="Q2045" i="1" a="1"/>
  <c r="Q2045" i="1" s="1"/>
  <c r="I2045" i="1"/>
  <c r="D2045" i="1"/>
  <c r="Q2037" i="1" a="1"/>
  <c r="Q2037" i="1" s="1"/>
  <c r="I2037" i="1"/>
  <c r="D2037" i="1"/>
  <c r="Q2036" i="1" a="1"/>
  <c r="Q2036" i="1" s="1"/>
  <c r="I2036" i="1"/>
  <c r="D2036" i="1"/>
  <c r="Q2033" i="1" a="1"/>
  <c r="Q2033" i="1" s="1"/>
  <c r="I2033" i="1"/>
  <c r="D2033" i="1"/>
  <c r="I2030" i="1"/>
  <c r="Q2030" i="1" a="1"/>
  <c r="Q2030" i="1" s="1"/>
  <c r="D2030" i="1"/>
  <c r="D2041" i="1"/>
  <c r="I2041" i="1"/>
  <c r="Q2041" i="1" a="1"/>
  <c r="Q2041" i="1" s="1"/>
  <c r="Q1998" i="1" a="1"/>
  <c r="Q1998" i="1" s="1"/>
  <c r="I1998" i="1"/>
  <c r="D1998" i="1"/>
  <c r="Q1997" i="1" a="1"/>
  <c r="Q1997" i="1" s="1"/>
  <c r="I1997" i="1"/>
  <c r="D1997" i="1"/>
  <c r="Q1996" i="1" a="1"/>
  <c r="Q1996" i="1" s="1"/>
  <c r="I1996" i="1"/>
  <c r="D1996" i="1"/>
  <c r="Q1995" i="1" a="1"/>
  <c r="Q1995" i="1" s="1"/>
  <c r="I1995" i="1"/>
  <c r="D1995" i="1"/>
  <c r="D1990" i="1"/>
  <c r="D1991" i="1"/>
  <c r="D1992" i="1"/>
  <c r="D1993" i="1"/>
  <c r="D1994" i="1"/>
  <c r="I1990" i="1"/>
  <c r="I1991" i="1"/>
  <c r="I1992" i="1"/>
  <c r="I1993" i="1"/>
  <c r="I1994" i="1"/>
  <c r="Q1990" i="1" a="1"/>
  <c r="Q1990" i="1" s="1"/>
  <c r="Q1991" i="1" a="1"/>
  <c r="Q1991" i="1" s="1"/>
  <c r="Q1992" i="1" a="1"/>
  <c r="Q1992" i="1" s="1"/>
  <c r="Q1993" i="1" a="1"/>
  <c r="Q1993" i="1" s="1"/>
  <c r="Q1994" i="1" a="1"/>
  <c r="Q1994" i="1" s="1"/>
  <c r="D1989" i="1"/>
  <c r="I1989" i="1"/>
  <c r="Q1989" i="1" a="1"/>
  <c r="Q1989" i="1" s="1"/>
  <c r="D1907" i="1"/>
  <c r="I1907" i="1"/>
  <c r="Q1907" i="1" a="1"/>
  <c r="Q1907" i="1" s="1"/>
  <c r="Q1881" i="1" a="1"/>
  <c r="Q1881" i="1" s="1"/>
  <c r="I1881" i="1"/>
  <c r="D1881" i="1"/>
  <c r="D1905" i="1"/>
  <c r="I1905" i="1"/>
  <c r="Q1905" i="1" a="1"/>
  <c r="Q1905" i="1" s="1"/>
  <c r="D1904" i="1"/>
  <c r="I1904" i="1"/>
  <c r="Q1904" i="1" a="1"/>
  <c r="Q1904" i="1" s="1"/>
  <c r="D2027" i="1"/>
  <c r="I2027" i="1"/>
  <c r="Q2027" i="1" a="1"/>
  <c r="Q2027" i="1" s="1"/>
  <c r="D1903" i="1"/>
  <c r="I1903" i="1"/>
  <c r="Q1903" i="1" a="1"/>
  <c r="Q1903" i="1" s="1"/>
  <c r="Q1902" i="1" a="1"/>
  <c r="Q1902" i="1" s="1"/>
  <c r="I1902" i="1"/>
  <c r="D1902" i="1"/>
  <c r="D1896" i="1"/>
  <c r="D1897" i="1"/>
  <c r="D1898" i="1"/>
  <c r="D1899" i="1"/>
  <c r="D1900" i="1"/>
  <c r="D1901" i="1"/>
  <c r="I1896" i="1"/>
  <c r="I1897" i="1"/>
  <c r="I1898" i="1"/>
  <c r="I1899" i="1"/>
  <c r="I1900" i="1"/>
  <c r="I1901" i="1"/>
  <c r="Q1896" i="1" a="1"/>
  <c r="Q1896" i="1" s="1"/>
  <c r="Q1897" i="1" a="1"/>
  <c r="Q1897" i="1" s="1"/>
  <c r="Q1898" i="1" a="1"/>
  <c r="Q1898" i="1" s="1"/>
  <c r="Q1899" i="1" a="1"/>
  <c r="Q1899" i="1" s="1"/>
  <c r="Q1900" i="1" a="1"/>
  <c r="Q1900" i="1" s="1"/>
  <c r="Q1901" i="1" a="1"/>
  <c r="Q1901" i="1" s="1"/>
  <c r="D1913" i="1"/>
  <c r="I1913" i="1"/>
  <c r="Q1913" i="1" a="1"/>
  <c r="Q1913" i="1" s="1"/>
  <c r="Q2025" i="1" a="1"/>
  <c r="Q2025" i="1" s="1"/>
  <c r="I2025" i="1"/>
  <c r="D2025" i="1"/>
  <c r="Q2003" i="1" a="1"/>
  <c r="Q2003" i="1" s="1"/>
  <c r="I2003" i="1"/>
  <c r="D2003" i="1"/>
  <c r="Q1969" i="1" a="1"/>
  <c r="Q1969" i="1" s="1"/>
  <c r="I1969" i="1"/>
  <c r="D1969" i="1"/>
  <c r="Q1968" i="1" a="1"/>
  <c r="Q1968" i="1" s="1"/>
  <c r="I1968" i="1"/>
  <c r="D1968" i="1"/>
  <c r="Q1967" i="1" a="1"/>
  <c r="Q1967" i="1" s="1"/>
  <c r="I1967" i="1"/>
  <c r="D1967" i="1"/>
  <c r="Q1966" i="1" a="1"/>
  <c r="Q1966" i="1" s="1"/>
  <c r="I1966" i="1"/>
  <c r="D1966" i="1"/>
  <c r="Q1965" i="1" a="1"/>
  <c r="Q1965" i="1" s="1"/>
  <c r="I1965" i="1"/>
  <c r="D1965" i="1"/>
  <c r="Q1964" i="1" a="1"/>
  <c r="Q1964" i="1" s="1"/>
  <c r="I1964" i="1"/>
  <c r="D1964" i="1"/>
  <c r="Q1963" i="1" a="1"/>
  <c r="Q1963" i="1" s="1"/>
  <c r="I1963" i="1"/>
  <c r="D1963" i="1"/>
  <c r="Q1962" i="1" a="1"/>
  <c r="Q1962" i="1" s="1"/>
  <c r="I1962" i="1"/>
  <c r="D1962" i="1"/>
  <c r="Q1961" i="1" a="1"/>
  <c r="Q1961" i="1" s="1"/>
  <c r="I1961" i="1"/>
  <c r="D1961" i="1"/>
  <c r="Q2001" i="1" a="1"/>
  <c r="Q2001" i="1" s="1"/>
  <c r="I2001" i="1"/>
  <c r="D2001" i="1"/>
  <c r="Q2023" i="1" a="1"/>
  <c r="Q2023" i="1" s="1"/>
  <c r="I2023" i="1"/>
  <c r="D2023" i="1"/>
  <c r="Q2012" i="1" a="1"/>
  <c r="Q2012" i="1" s="1"/>
  <c r="I2012" i="1"/>
  <c r="D2012" i="1"/>
  <c r="Q2004" i="1" a="1"/>
  <c r="Q2004" i="1" s="1"/>
  <c r="I2004" i="1"/>
  <c r="D2004" i="1"/>
  <c r="Q1988" i="1" a="1"/>
  <c r="Q1988" i="1" s="1"/>
  <c r="I1988" i="1"/>
  <c r="D1988" i="1"/>
  <c r="Q1987" i="1" a="1"/>
  <c r="Q1987" i="1" s="1"/>
  <c r="I1987" i="1"/>
  <c r="D1987" i="1"/>
  <c r="Q1986" i="1" a="1"/>
  <c r="Q1986" i="1" s="1"/>
  <c r="I1986" i="1"/>
  <c r="D1986" i="1"/>
  <c r="Q1985" i="1" a="1"/>
  <c r="Q1985" i="1" s="1"/>
  <c r="I1985" i="1"/>
  <c r="D1985" i="1"/>
  <c r="Q2007" i="1" a="1"/>
  <c r="Q2007" i="1" s="1"/>
  <c r="I2007" i="1"/>
  <c r="D2007" i="1"/>
  <c r="D2008" i="1"/>
  <c r="I2008" i="1"/>
  <c r="Q2008" i="1" a="1"/>
  <c r="Q2008" i="1" s="1"/>
  <c r="Q2021" i="1" a="1"/>
  <c r="Q2021" i="1" s="1"/>
  <c r="I2021" i="1"/>
  <c r="D2021" i="1"/>
  <c r="Q2022" i="1" a="1"/>
  <c r="Q2022" i="1" s="1"/>
  <c r="I2022" i="1"/>
  <c r="D2022" i="1"/>
  <c r="Q1984" i="1" a="1"/>
  <c r="Q1984" i="1" s="1"/>
  <c r="I1984" i="1"/>
  <c r="D1984" i="1"/>
  <c r="Q1983" i="1" a="1"/>
  <c r="Q1983" i="1" s="1"/>
  <c r="I1983" i="1"/>
  <c r="D1983" i="1"/>
  <c r="Q2024" i="1" a="1"/>
  <c r="Q2024" i="1" s="1"/>
  <c r="I2024" i="1"/>
  <c r="D2024" i="1"/>
  <c r="Q1980" i="1" a="1"/>
  <c r="Q1980" i="1" s="1"/>
  <c r="I1980" i="1"/>
  <c r="D1980" i="1"/>
  <c r="Q1979" i="1" a="1"/>
  <c r="Q1979" i="1" s="1"/>
  <c r="I1979" i="1"/>
  <c r="D1979" i="1"/>
  <c r="Q2009" i="1" a="1"/>
  <c r="Q2009" i="1" s="1"/>
  <c r="I2009" i="1"/>
  <c r="D2009" i="1"/>
  <c r="Q2026" i="1" a="1"/>
  <c r="Q2026" i="1" s="1"/>
  <c r="I2026" i="1"/>
  <c r="D2026" i="1"/>
  <c r="D2020" i="1"/>
  <c r="I2020" i="1"/>
  <c r="Q2020" i="1" a="1"/>
  <c r="Q2020" i="1" s="1"/>
  <c r="Q2011" i="1" a="1"/>
  <c r="Q2011" i="1" s="1"/>
  <c r="I2011" i="1"/>
  <c r="D2011" i="1"/>
  <c r="Q2010" i="1" a="1"/>
  <c r="Q2010" i="1" s="1"/>
  <c r="I2010" i="1"/>
  <c r="D2010" i="1"/>
  <c r="Q2019" i="1" a="1"/>
  <c r="Q2019" i="1" s="1"/>
  <c r="I2019" i="1"/>
  <c r="D2019" i="1"/>
  <c r="I2017" i="1"/>
  <c r="D2017" i="1"/>
  <c r="D2005" i="1"/>
  <c r="I2005" i="1"/>
  <c r="Q2005" i="1" a="1"/>
  <c r="Q2005" i="1" s="1"/>
  <c r="D1970" i="1"/>
  <c r="I1970" i="1"/>
  <c r="Q1970" i="1" a="1"/>
  <c r="Q1970" i="1" s="1"/>
  <c r="D1878" i="1"/>
  <c r="I1878" i="1"/>
  <c r="Q1878" i="1" a="1"/>
  <c r="Q1878" i="1" s="1"/>
  <c r="D1928" i="1"/>
  <c r="I1928" i="1"/>
  <c r="Q1928" i="1" a="1"/>
  <c r="Q1928" i="1" s="1"/>
  <c r="Q1917" i="1" a="1"/>
  <c r="Q1917" i="1" s="1"/>
  <c r="I1917" i="1"/>
  <c r="D1917" i="1"/>
  <c r="Q1915" i="1" a="1"/>
  <c r="Q1915" i="1" s="1"/>
  <c r="I1915" i="1"/>
  <c r="D1915" i="1"/>
  <c r="Q1914" i="1" a="1"/>
  <c r="Q1914" i="1" s="1"/>
  <c r="I1914" i="1"/>
  <c r="D1914" i="1"/>
  <c r="Q1892" i="1" a="1"/>
  <c r="Q1892" i="1" s="1"/>
  <c r="I1892" i="1"/>
  <c r="D1892" i="1"/>
  <c r="Q1891" i="1" a="1"/>
  <c r="Q1891" i="1" s="1"/>
  <c r="I1891" i="1"/>
  <c r="D1891" i="1"/>
  <c r="Q1890" i="1" a="1"/>
  <c r="Q1890" i="1" s="1"/>
  <c r="I1890" i="1"/>
  <c r="D1890" i="1"/>
  <c r="D1889" i="1"/>
  <c r="I1889" i="1"/>
  <c r="Q1889" i="1" a="1"/>
  <c r="Q1889" i="1" s="1"/>
  <c r="Q1888" i="1" a="1"/>
  <c r="Q1888" i="1" s="1"/>
  <c r="I1888" i="1"/>
  <c r="D1888" i="1"/>
  <c r="Q1924" i="1" a="1"/>
  <c r="Q1924" i="1" s="1"/>
  <c r="I1924" i="1"/>
  <c r="D1924" i="1"/>
  <c r="D1923" i="1"/>
  <c r="I1923" i="1"/>
  <c r="Q1923" i="1" a="1"/>
  <c r="Q1923" i="1" s="1"/>
  <c r="Q1919" i="1" a="1"/>
  <c r="Q1919" i="1" s="1"/>
  <c r="I1919" i="1"/>
  <c r="D1919" i="1"/>
  <c r="Q1887" i="1" a="1"/>
  <c r="Q1887" i="1" s="1"/>
  <c r="I1887" i="1"/>
  <c r="D1887" i="1"/>
  <c r="Q1922" i="1" a="1"/>
  <c r="Q1922" i="1" s="1"/>
  <c r="I1922" i="1"/>
  <c r="D1922" i="1"/>
  <c r="Q1920" i="1" a="1"/>
  <c r="Q1920" i="1" s="1"/>
  <c r="I1920" i="1"/>
  <c r="D1920" i="1"/>
  <c r="Q1912" i="1" a="1"/>
  <c r="Q1912" i="1" s="1"/>
  <c r="I1912" i="1"/>
  <c r="D1912" i="1"/>
  <c r="Q1918" i="1" a="1"/>
  <c r="Q1918" i="1" s="1"/>
  <c r="I1918" i="1"/>
  <c r="D1918" i="1"/>
  <c r="Q1921" i="1" a="1"/>
  <c r="Q1921" i="1" s="1"/>
  <c r="I1921" i="1"/>
  <c r="D1921" i="1"/>
  <c r="D1926" i="1"/>
  <c r="I1926" i="1"/>
  <c r="Q1926" i="1" a="1"/>
  <c r="Q1926" i="1" s="1"/>
  <c r="Q1886" i="1" a="1"/>
  <c r="Q1886" i="1" s="1"/>
  <c r="I1886" i="1"/>
  <c r="D1886" i="1"/>
  <c r="Q1908" i="1" a="1"/>
  <c r="Q1908" i="1" s="1"/>
  <c r="I1908" i="1"/>
  <c r="D1908" i="1"/>
  <c r="D1885" i="1"/>
  <c r="I1885" i="1"/>
  <c r="Q1885" i="1" a="1"/>
  <c r="Q1885" i="1" s="1"/>
  <c r="Q1925" i="1" a="1"/>
  <c r="Q1925" i="1" s="1"/>
  <c r="I1925" i="1"/>
  <c r="D1925" i="1"/>
  <c r="Q1927" i="1" a="1"/>
  <c r="Q1927" i="1" s="1"/>
  <c r="I1927" i="1"/>
  <c r="D1927" i="1"/>
  <c r="D1884" i="1"/>
  <c r="I1884" i="1"/>
  <c r="Q1884" i="1" a="1"/>
  <c r="Q1884" i="1" s="1"/>
  <c r="D1883" i="1"/>
  <c r="I1883" i="1"/>
  <c r="Q1883" i="1" a="1"/>
  <c r="Q1883" i="1" s="1"/>
  <c r="I1707" i="1"/>
  <c r="D1787" i="1"/>
  <c r="I1787" i="1"/>
  <c r="Q1787" i="1" a="1"/>
  <c r="Q1787" i="1" s="1"/>
  <c r="D1879" i="1"/>
  <c r="I1879" i="1"/>
  <c r="Q1879" i="1" a="1"/>
  <c r="Q1879" i="1" s="1"/>
  <c r="D1880" i="1"/>
  <c r="I1880" i="1"/>
  <c r="Q1880" i="1" a="1"/>
  <c r="Q1880" i="1" s="1"/>
  <c r="Q1856" i="1" a="1"/>
  <c r="Q1856" i="1" s="1"/>
  <c r="I1856" i="1"/>
  <c r="D1856" i="1"/>
  <c r="Q1854" i="1" a="1"/>
  <c r="Q1854" i="1" s="1"/>
  <c r="I1854" i="1"/>
  <c r="D1854" i="1"/>
  <c r="Q1869" i="1" a="1"/>
  <c r="Q1869" i="1" s="1"/>
  <c r="I1869" i="1"/>
  <c r="D1869" i="1"/>
  <c r="Q1868" i="1" a="1"/>
  <c r="Q1868" i="1" s="1"/>
  <c r="I1868" i="1"/>
  <c r="D1868" i="1"/>
  <c r="Q1871" i="1" a="1"/>
  <c r="Q1871" i="1" s="1"/>
  <c r="I1871" i="1"/>
  <c r="D1871" i="1"/>
  <c r="Q1853" i="1" a="1"/>
  <c r="Q1853" i="1" s="1"/>
  <c r="I1853" i="1"/>
  <c r="D1853" i="1"/>
  <c r="Q1874" i="1" a="1"/>
  <c r="Q1874" i="1" s="1"/>
  <c r="I1874" i="1"/>
  <c r="D1874" i="1"/>
  <c r="Q1852" i="1" a="1"/>
  <c r="Q1852" i="1" s="1"/>
  <c r="I1852" i="1"/>
  <c r="D1852" i="1"/>
  <c r="Q1851" i="1" a="1"/>
  <c r="Q1851" i="1" s="1"/>
  <c r="I1851" i="1"/>
  <c r="D1851" i="1"/>
  <c r="Q1850" i="1" a="1"/>
  <c r="Q1850" i="1" s="1"/>
  <c r="I1850" i="1"/>
  <c r="D1850" i="1"/>
  <c r="Q1849" i="1" a="1"/>
  <c r="Q1849" i="1" s="1"/>
  <c r="I1849" i="1"/>
  <c r="D1849" i="1"/>
  <c r="Q1848" i="1" a="1"/>
  <c r="Q1848" i="1" s="1"/>
  <c r="I1848" i="1"/>
  <c r="D1848" i="1"/>
  <c r="Q1847" i="1" a="1"/>
  <c r="Q1847" i="1" s="1"/>
  <c r="I1847" i="1"/>
  <c r="D1847" i="1"/>
  <c r="Q1846" i="1" a="1"/>
  <c r="Q1846" i="1" s="1"/>
  <c r="I1846" i="1"/>
  <c r="D1846" i="1"/>
  <c r="D1845" i="1"/>
  <c r="I1845" i="1"/>
  <c r="Q1845" i="1" a="1"/>
  <c r="Q1845" i="1" s="1"/>
  <c r="D1855" i="1"/>
  <c r="I1855" i="1"/>
  <c r="Q1855" i="1" a="1"/>
  <c r="Q1855" i="1" s="1"/>
  <c r="Q1844" i="1" a="1"/>
  <c r="Q1844" i="1" s="1"/>
  <c r="I1844" i="1"/>
  <c r="D1844" i="1"/>
  <c r="Q1843" i="1" a="1"/>
  <c r="Q1843" i="1" s="1"/>
  <c r="I1843" i="1"/>
  <c r="D1843" i="1"/>
  <c r="Q1842" i="1" a="1"/>
  <c r="Q1842" i="1" s="1"/>
  <c r="I1842" i="1"/>
  <c r="D1842" i="1"/>
  <c r="Q1841" i="1" a="1"/>
  <c r="Q1841" i="1" s="1"/>
  <c r="I1841" i="1"/>
  <c r="D1841" i="1"/>
  <c r="Q1864" i="1" a="1"/>
  <c r="Q1864" i="1" s="1"/>
  <c r="I1864" i="1"/>
  <c r="D1864" i="1"/>
  <c r="Q1840" i="1" a="1"/>
  <c r="Q1840" i="1" s="1"/>
  <c r="I1840" i="1"/>
  <c r="D1840" i="1"/>
  <c r="Q1863" i="1" a="1"/>
  <c r="Q1863" i="1" s="1"/>
  <c r="I1863" i="1"/>
  <c r="D1863" i="1"/>
  <c r="I1867" i="1"/>
  <c r="D1867" i="1"/>
  <c r="Q1875" i="1" a="1"/>
  <c r="Q1875" i="1" s="1"/>
  <c r="I1875" i="1"/>
  <c r="D1875" i="1"/>
  <c r="Q1865" i="1" a="1"/>
  <c r="Q1865" i="1" s="1"/>
  <c r="I1865" i="1"/>
  <c r="D1865" i="1"/>
  <c r="Q1839" i="1" a="1"/>
  <c r="Q1839" i="1" s="1"/>
  <c r="I1839" i="1"/>
  <c r="D1839" i="1"/>
  <c r="Q1838" i="1" a="1"/>
  <c r="Q1838" i="1" s="1"/>
  <c r="I1838" i="1"/>
  <c r="D1838" i="1"/>
  <c r="Q1837" i="1" a="1"/>
  <c r="Q1837" i="1" s="1"/>
  <c r="I1837" i="1"/>
  <c r="D1837" i="1"/>
  <c r="Q1836" i="1" a="1"/>
  <c r="Q1836" i="1" s="1"/>
  <c r="I1836" i="1"/>
  <c r="D1836" i="1"/>
  <c r="Q1835" i="1" a="1"/>
  <c r="Q1835" i="1" s="1"/>
  <c r="I1835" i="1"/>
  <c r="D1835" i="1"/>
  <c r="Q1876" i="1" a="1"/>
  <c r="Q1876" i="1" s="1"/>
  <c r="I1876" i="1"/>
  <c r="D1876" i="1"/>
  <c r="D1862" i="1"/>
  <c r="I1862" i="1"/>
  <c r="Q1862" i="1" a="1"/>
  <c r="Q1862" i="1" s="1"/>
  <c r="D1861" i="1"/>
  <c r="I1861" i="1"/>
  <c r="Q1861" i="1" a="1"/>
  <c r="Q1861" i="1" s="1"/>
  <c r="D1860" i="1"/>
  <c r="I1860" i="1"/>
  <c r="Q1860" i="1" a="1"/>
  <c r="Q1860" i="1" s="1"/>
  <c r="D1859" i="1"/>
  <c r="I1859" i="1"/>
  <c r="Q1859" i="1" a="1"/>
  <c r="Q1859" i="1" s="1"/>
  <c r="D1858" i="1"/>
  <c r="I1858" i="1"/>
  <c r="Q1858" i="1" a="1"/>
  <c r="Q1858" i="1" s="1"/>
  <c r="Q1857" i="1" a="1"/>
  <c r="Q1857" i="1" s="1"/>
  <c r="I1857" i="1"/>
  <c r="D1857" i="1"/>
  <c r="Q1866" i="1" a="1"/>
  <c r="Q1866" i="1" s="1"/>
  <c r="I1866" i="1"/>
  <c r="D1866" i="1"/>
  <c r="Q1872" i="1" a="1"/>
  <c r="Q1872" i="1" s="1"/>
  <c r="I1872" i="1"/>
  <c r="D1872" i="1"/>
  <c r="Q1834" i="1" a="1"/>
  <c r="Q1834" i="1" s="1"/>
  <c r="I1834" i="1"/>
  <c r="D1834" i="1"/>
  <c r="Q1873" i="1" a="1"/>
  <c r="Q1873" i="1" s="1"/>
  <c r="I1873" i="1"/>
  <c r="D1873" i="1"/>
  <c r="Q1833" i="1" a="1"/>
  <c r="Q1833" i="1" s="1"/>
  <c r="I1833" i="1"/>
  <c r="D1833" i="1"/>
  <c r="D1870" i="1"/>
  <c r="I1870" i="1"/>
  <c r="Q1870" i="1" a="1"/>
  <c r="Q1870" i="1" s="1"/>
  <c r="D1877" i="1"/>
  <c r="I1877" i="1"/>
  <c r="Q1877" i="1" a="1"/>
  <c r="Q1877" i="1" s="1"/>
  <c r="Q1827" i="1" a="1"/>
  <c r="Q1827" i="1" s="1"/>
  <c r="I1827" i="1"/>
  <c r="D1827" i="1"/>
  <c r="Q1826" i="1" a="1"/>
  <c r="Q1826" i="1" s="1"/>
  <c r="I1826" i="1"/>
  <c r="D1826" i="1"/>
  <c r="Q1829" i="1" a="1"/>
  <c r="Q1829" i="1" s="1"/>
  <c r="I1829" i="1"/>
  <c r="D1829" i="1"/>
  <c r="Q1825" i="1" a="1"/>
  <c r="Q1825" i="1" s="1"/>
  <c r="I1825" i="1"/>
  <c r="D1825" i="1"/>
  <c r="Q1824" i="1" a="1"/>
  <c r="Q1824" i="1" s="1"/>
  <c r="I1824" i="1"/>
  <c r="D1824" i="1"/>
  <c r="Q1831" i="1" a="1"/>
  <c r="Q1831" i="1" s="1"/>
  <c r="I1831" i="1"/>
  <c r="D1831" i="1"/>
  <c r="Q1823" i="1" a="1"/>
  <c r="Q1823" i="1" s="1"/>
  <c r="I1823" i="1"/>
  <c r="D1823" i="1"/>
  <c r="Q1822" i="1" a="1"/>
  <c r="Q1822" i="1" s="1"/>
  <c r="I1822" i="1"/>
  <c r="D1822" i="1"/>
  <c r="Q1821" i="1" a="1"/>
  <c r="Q1821" i="1" s="1"/>
  <c r="I1821" i="1"/>
  <c r="D1821" i="1"/>
  <c r="Q1820" i="1" a="1"/>
  <c r="Q1820" i="1" s="1"/>
  <c r="I1820" i="1"/>
  <c r="D1820" i="1"/>
  <c r="Q1819" i="1" a="1"/>
  <c r="Q1819" i="1" s="1"/>
  <c r="I1819" i="1"/>
  <c r="D1819" i="1"/>
  <c r="Q1830" i="1" a="1"/>
  <c r="Q1830" i="1" s="1"/>
  <c r="I1830" i="1"/>
  <c r="D1830" i="1"/>
  <c r="Q1828" i="1" a="1"/>
  <c r="Q1828" i="1" s="1"/>
  <c r="I1828" i="1"/>
  <c r="D1828" i="1"/>
  <c r="Q1818" i="1" a="1"/>
  <c r="Q1818" i="1" s="1"/>
  <c r="I1818" i="1"/>
  <c r="D1818" i="1"/>
  <c r="Q1817" i="1" a="1"/>
  <c r="Q1817" i="1" s="1"/>
  <c r="I1817" i="1"/>
  <c r="D1817" i="1"/>
  <c r="Q1832" i="1" a="1"/>
  <c r="Q1832" i="1" s="1"/>
  <c r="I1832" i="1"/>
  <c r="D1832" i="1"/>
  <c r="Q1816" i="1" a="1"/>
  <c r="Q1816" i="1" s="1"/>
  <c r="I1816" i="1"/>
  <c r="D1816" i="1"/>
  <c r="Q1815" i="1" a="1"/>
  <c r="Q1815" i="1" s="1"/>
  <c r="I1815" i="1"/>
  <c r="D1815" i="1"/>
  <c r="Q1814" i="1" a="1"/>
  <c r="Q1814" i="1" s="1"/>
  <c r="I1814" i="1"/>
  <c r="D1814" i="1"/>
  <c r="D1813" i="1"/>
  <c r="I1813" i="1"/>
  <c r="Q1813" i="1" a="1"/>
  <c r="Q1813" i="1" s="1"/>
  <c r="D1455" i="1"/>
  <c r="I1455" i="1"/>
  <c r="Q1455" i="1" a="1"/>
  <c r="Q1455" i="1" s="1"/>
  <c r="Q1233" i="1" a="1"/>
  <c r="Q1233" i="1" s="1"/>
  <c r="D1754" i="1"/>
  <c r="I1754" i="1"/>
  <c r="Q1754" i="1" a="1"/>
  <c r="Q1754" i="1" s="1"/>
  <c r="I1557" i="1"/>
  <c r="D1806" i="1"/>
  <c r="I1806" i="1"/>
  <c r="Q1806" i="1" a="1"/>
  <c r="Q1806" i="1" s="1"/>
  <c r="D1800" i="1"/>
  <c r="I1800" i="1"/>
  <c r="Q1800" i="1" a="1"/>
  <c r="Q1800" i="1" s="1"/>
  <c r="D1799" i="1"/>
  <c r="I1799" i="1"/>
  <c r="Q1799" i="1" a="1"/>
  <c r="Q1799" i="1" s="1"/>
  <c r="D1798" i="1"/>
  <c r="I1798" i="1"/>
  <c r="Q1798" i="1" a="1"/>
  <c r="Q1798" i="1" s="1"/>
  <c r="D1797" i="1"/>
  <c r="I1797" i="1"/>
  <c r="Q1797" i="1" a="1"/>
  <c r="Q1797" i="1" s="1"/>
  <c r="D1796" i="1"/>
  <c r="I1796" i="1"/>
  <c r="Q1796" i="1" a="1"/>
  <c r="Q1796" i="1" s="1"/>
  <c r="D1882" i="1"/>
  <c r="I1882" i="1"/>
  <c r="Q1882" i="1" a="1"/>
  <c r="Q1882" i="1" s="1"/>
  <c r="D1802" i="1"/>
  <c r="I1802" i="1"/>
  <c r="Q1802" i="1" a="1"/>
  <c r="Q1802" i="1" s="1"/>
  <c r="D1812" i="1"/>
  <c r="I1812" i="1"/>
  <c r="Q1812" i="1" a="1"/>
  <c r="Q1812" i="1" s="1"/>
  <c r="D1811" i="1"/>
  <c r="I1811" i="1"/>
  <c r="Q1811" i="1" a="1"/>
  <c r="Q1811" i="1" s="1"/>
  <c r="D1810" i="1"/>
  <c r="I1810" i="1"/>
  <c r="Q1810" i="1" a="1"/>
  <c r="Q1810" i="1" s="1"/>
  <c r="D1809" i="1"/>
  <c r="I1809" i="1"/>
  <c r="Q1809" i="1" a="1"/>
  <c r="Q1809" i="1" s="1"/>
  <c r="D1808" i="1"/>
  <c r="I1808" i="1"/>
  <c r="Q1808" i="1" a="1"/>
  <c r="Q1808" i="1" s="1"/>
  <c r="D1807" i="1"/>
  <c r="I1807" i="1"/>
  <c r="Q1807" i="1" a="1"/>
  <c r="Q1807" i="1" s="1"/>
  <c r="D1805" i="1"/>
  <c r="I1805" i="1"/>
  <c r="Q1805" i="1" a="1"/>
  <c r="Q1805" i="1" s="1"/>
  <c r="D1795" i="1"/>
  <c r="I1795" i="1"/>
  <c r="Q1795" i="1" a="1"/>
  <c r="Q1795" i="1" s="1"/>
  <c r="D1794" i="1"/>
  <c r="I1794" i="1"/>
  <c r="Q1794" i="1" a="1"/>
  <c r="Q1794" i="1" s="1"/>
  <c r="D1788" i="1"/>
  <c r="I1788" i="1"/>
  <c r="Q1788" i="1" a="1"/>
  <c r="Q1788" i="1" s="1"/>
  <c r="D1793" i="1"/>
  <c r="I1793" i="1"/>
  <c r="Q1793" i="1" a="1"/>
  <c r="Q1793" i="1" s="1"/>
  <c r="D1792" i="1"/>
  <c r="I1792" i="1"/>
  <c r="Q1792" i="1" a="1"/>
  <c r="Q1792" i="1" s="1"/>
  <c r="D1789" i="1"/>
  <c r="D1790" i="1"/>
  <c r="D1791" i="1"/>
  <c r="D1804" i="1"/>
  <c r="I1789" i="1"/>
  <c r="I1790" i="1"/>
  <c r="I1791" i="1"/>
  <c r="I1804" i="1"/>
  <c r="Q1789" i="1" a="1"/>
  <c r="Q1789" i="1" s="1"/>
  <c r="Q1790" i="1" a="1"/>
  <c r="Q1790" i="1" s="1"/>
  <c r="Q1791" i="1" a="1"/>
  <c r="Q1791" i="1" s="1"/>
  <c r="Q1804" i="1" a="1"/>
  <c r="Q1804" i="1" s="1"/>
  <c r="D1801" i="1"/>
  <c r="I1801" i="1"/>
  <c r="Q1801" i="1" a="1"/>
  <c r="Q1801" i="1" s="1"/>
  <c r="D1803" i="1"/>
  <c r="I1803" i="1"/>
  <c r="Q1803" i="1" a="1"/>
  <c r="Q1803" i="1" s="1"/>
  <c r="D1604" i="1"/>
  <c r="D1605" i="1"/>
  <c r="D1606" i="1"/>
  <c r="I1604" i="1"/>
  <c r="I1605" i="1"/>
  <c r="I1606" i="1"/>
  <c r="Q1604" i="1" a="1"/>
  <c r="Q1604" i="1" s="1"/>
  <c r="Q1605" i="1" a="1"/>
  <c r="Q1605" i="1" s="1"/>
  <c r="Q1606" i="1" a="1"/>
  <c r="Q1606" i="1" s="1"/>
  <c r="D1603" i="1"/>
  <c r="I1603" i="1"/>
  <c r="Q1603" i="1" a="1"/>
  <c r="Q1603" i="1" s="1"/>
  <c r="Q12" i="1" a="1"/>
  <c r="Q12" i="1" s="1"/>
  <c r="Q9" i="1" a="1"/>
  <c r="Q9" i="1" s="1"/>
  <c r="Q15" i="1" a="1"/>
  <c r="Q15" i="1" s="1"/>
  <c r="Q11" i="1" a="1"/>
  <c r="Q11" i="1" s="1"/>
  <c r="Q16" i="1" a="1"/>
  <c r="Q16" i="1" s="1"/>
  <c r="Q18" i="1" a="1"/>
  <c r="Q18" i="1" s="1"/>
  <c r="Q17" i="1" a="1"/>
  <c r="Q17" i="1" s="1"/>
  <c r="Q10" i="1" a="1"/>
  <c r="Q10" i="1" s="1"/>
  <c r="Q13" i="1" a="1"/>
  <c r="Q13" i="1" s="1"/>
  <c r="Q14" i="1" a="1"/>
  <c r="Q14" i="1" s="1"/>
  <c r="Q57" i="1" a="1"/>
  <c r="Q57" i="1" s="1"/>
  <c r="Q58" i="1" a="1"/>
  <c r="Q58" i="1" s="1"/>
  <c r="Q59" i="1" a="1"/>
  <c r="Q59" i="1" s="1"/>
  <c r="Q55" i="1" a="1"/>
  <c r="Q55" i="1" s="1"/>
  <c r="Q61" i="1" a="1"/>
  <c r="Q61" i="1" s="1"/>
  <c r="Q62" i="1" a="1"/>
  <c r="Q62" i="1" s="1"/>
  <c r="Q60" i="1" a="1"/>
  <c r="Q60" i="1" s="1"/>
  <c r="Q63" i="1" a="1"/>
  <c r="Q63" i="1" s="1"/>
  <c r="Q56" i="1" a="1"/>
  <c r="Q56" i="1" s="1"/>
  <c r="Q46" i="1" a="1"/>
  <c r="Q46" i="1" s="1"/>
  <c r="Q47" i="1" a="1"/>
  <c r="Q47" i="1" s="1"/>
  <c r="Q27" i="1" a="1"/>
  <c r="Q27" i="1" s="1"/>
  <c r="Q26" i="1" a="1"/>
  <c r="Q26" i="1" s="1"/>
  <c r="Q23" i="1" a="1"/>
  <c r="Q23" i="1" s="1"/>
  <c r="Q25" i="1" a="1"/>
  <c r="Q25" i="1" s="1"/>
  <c r="Q33" i="1" a="1"/>
  <c r="Q33" i="1" s="1"/>
  <c r="Q35" i="1" a="1"/>
  <c r="Q35" i="1" s="1"/>
  <c r="Q34" i="1" a="1"/>
  <c r="Q34" i="1" s="1"/>
  <c r="Q28" i="1" a="1"/>
  <c r="Q28" i="1" s="1"/>
  <c r="Q24" i="1" a="1"/>
  <c r="Q24" i="1" s="1"/>
  <c r="Q20" i="1" a="1"/>
  <c r="Q20" i="1" s="1"/>
  <c r="Q19" i="1" a="1"/>
  <c r="Q19" i="1" s="1"/>
  <c r="Q54" i="1" a="1"/>
  <c r="Q54" i="1" s="1"/>
  <c r="Q45" i="1" a="1"/>
  <c r="Q45" i="1" s="1"/>
  <c r="Q52" i="1" a="1"/>
  <c r="Q52" i="1" s="1"/>
  <c r="Q48" i="1" a="1"/>
  <c r="Q48" i="1" s="1"/>
  <c r="Q50" i="1" a="1"/>
  <c r="Q50" i="1" s="1"/>
  <c r="Q49" i="1" a="1"/>
  <c r="Q49" i="1" s="1"/>
  <c r="Q53" i="1" a="1"/>
  <c r="Q53" i="1" s="1"/>
  <c r="Q51" i="1" a="1"/>
  <c r="Q51" i="1" s="1"/>
  <c r="Q38" i="1" a="1"/>
  <c r="Q38" i="1" s="1"/>
  <c r="Q39" i="1" a="1"/>
  <c r="Q39" i="1" s="1"/>
  <c r="Q37" i="1" a="1"/>
  <c r="Q37" i="1" s="1"/>
  <c r="Q40" i="1" a="1"/>
  <c r="Q40" i="1" s="1"/>
  <c r="Q43" i="1" a="1"/>
  <c r="Q43" i="1" s="1"/>
  <c r="Q44" i="1" a="1"/>
  <c r="Q44" i="1" s="1"/>
  <c r="Q36" i="1" a="1"/>
  <c r="Q36" i="1" s="1"/>
  <c r="Q42" i="1" a="1"/>
  <c r="Q42" i="1" s="1"/>
  <c r="Q41" i="1" a="1"/>
  <c r="Q41" i="1" s="1"/>
  <c r="Q4" i="1" a="1"/>
  <c r="Q4" i="1" s="1"/>
  <c r="Q3" i="1" a="1"/>
  <c r="Q3" i="1" s="1"/>
  <c r="Q6" i="1" a="1"/>
  <c r="Q6" i="1" s="1"/>
  <c r="Q5" i="1" a="1"/>
  <c r="Q5" i="1" s="1"/>
  <c r="Q7" i="1" a="1"/>
  <c r="Q7" i="1" s="1"/>
  <c r="Q8" i="1" a="1"/>
  <c r="Q8" i="1" s="1"/>
  <c r="Q29" i="1" a="1"/>
  <c r="Q29" i="1" s="1"/>
  <c r="Q32" i="1" a="1"/>
  <c r="Q32" i="1" s="1"/>
  <c r="Q30" i="1" a="1"/>
  <c r="Q30" i="1" s="1"/>
  <c r="Q31" i="1" a="1"/>
  <c r="Q31" i="1" s="1"/>
  <c r="Q22" i="1" a="1"/>
  <c r="Q22" i="1" s="1"/>
  <c r="Q21" i="1" a="1"/>
  <c r="Q21" i="1" s="1"/>
  <c r="Q65" i="1" a="1"/>
  <c r="Q65" i="1" s="1"/>
  <c r="Q84" i="1" a="1"/>
  <c r="Q84" i="1" s="1"/>
  <c r="Q87" i="1" a="1"/>
  <c r="Q87" i="1" s="1"/>
  <c r="Q86" i="1" a="1"/>
  <c r="Q86" i="1" s="1"/>
  <c r="Q88" i="1" a="1"/>
  <c r="Q88" i="1" s="1"/>
  <c r="Q89" i="1" a="1"/>
  <c r="Q89" i="1" s="1"/>
  <c r="Q90" i="1" a="1"/>
  <c r="Q90" i="1" s="1"/>
  <c r="Q95" i="1" a="1"/>
  <c r="Q95" i="1" s="1"/>
  <c r="Q91" i="1" a="1"/>
  <c r="Q91" i="1" s="1"/>
  <c r="Q94" i="1" a="1"/>
  <c r="Q94" i="1" s="1"/>
  <c r="Q93" i="1" a="1"/>
  <c r="Q93" i="1" s="1"/>
  <c r="Q92" i="1" a="1"/>
  <c r="Q92" i="1" s="1"/>
  <c r="Q96" i="1" a="1"/>
  <c r="Q96" i="1" s="1"/>
  <c r="Q97" i="1" a="1"/>
  <c r="Q97" i="1" s="1"/>
  <c r="Q82" i="1" a="1"/>
  <c r="Q82" i="1" s="1"/>
  <c r="Q83" i="1" a="1"/>
  <c r="Q83" i="1" s="1"/>
  <c r="Q69" i="1" a="1"/>
  <c r="Q69" i="1" s="1"/>
  <c r="Q74" i="1" a="1"/>
  <c r="Q74" i="1" s="1"/>
  <c r="Q66" i="1" a="1"/>
  <c r="Q66" i="1" s="1"/>
  <c r="Q75" i="1" a="1"/>
  <c r="Q75" i="1" s="1"/>
  <c r="Q72" i="1" a="1"/>
  <c r="Q72" i="1" s="1"/>
  <c r="Q80" i="1" a="1"/>
  <c r="Q80" i="1" s="1"/>
  <c r="Q77" i="1" a="1"/>
  <c r="Q77" i="1" s="1"/>
  <c r="Q71" i="1" a="1"/>
  <c r="Q71" i="1" s="1"/>
  <c r="Q81" i="1" a="1"/>
  <c r="Q81" i="1" s="1"/>
  <c r="Q73" i="1" a="1"/>
  <c r="Q73" i="1" s="1"/>
  <c r="Q68" i="1" a="1"/>
  <c r="Q68" i="1" s="1"/>
  <c r="Q78" i="1" a="1"/>
  <c r="Q78" i="1" s="1"/>
  <c r="Q79" i="1" a="1"/>
  <c r="Q79" i="1" s="1"/>
  <c r="Q70" i="1" a="1"/>
  <c r="Q70" i="1" s="1"/>
  <c r="Q76" i="1" a="1"/>
  <c r="Q76" i="1" s="1"/>
  <c r="Q67" i="1" a="1"/>
  <c r="Q67" i="1" s="1"/>
  <c r="Q85" i="1" a="1"/>
  <c r="Q85" i="1" s="1"/>
  <c r="Q243" i="1" a="1"/>
  <c r="Q243" i="1" s="1"/>
  <c r="Q101" i="1" a="1"/>
  <c r="Q101" i="1" s="1"/>
  <c r="Q104" i="1" a="1"/>
  <c r="Q104" i="1" s="1"/>
  <c r="Q100" i="1" a="1"/>
  <c r="Q100" i="1" s="1"/>
  <c r="Q125" i="1" a="1"/>
  <c r="Q125" i="1" s="1"/>
  <c r="Q124" i="1" a="1"/>
  <c r="Q124" i="1" s="1"/>
  <c r="Q242" i="1" a="1"/>
  <c r="Q242" i="1" s="1"/>
  <c r="Q118" i="1" a="1"/>
  <c r="Q118" i="1" s="1"/>
  <c r="Q119" i="1" a="1"/>
  <c r="Q119" i="1" s="1"/>
  <c r="Q109" i="1" a="1"/>
  <c r="Q109" i="1" s="1"/>
  <c r="Q107" i="1" a="1"/>
  <c r="Q107" i="1" s="1"/>
  <c r="Q116" i="1" a="1"/>
  <c r="Q116" i="1" s="1"/>
  <c r="Q115" i="1" a="1"/>
  <c r="Q115" i="1" s="1"/>
  <c r="Q110" i="1" a="1"/>
  <c r="Q110" i="1" s="1"/>
  <c r="Q111" i="1" a="1"/>
  <c r="Q111" i="1" s="1"/>
  <c r="Q113" i="1" a="1"/>
  <c r="Q113" i="1" s="1"/>
  <c r="Q108" i="1" a="1"/>
  <c r="Q108" i="1" s="1"/>
  <c r="Q117" i="1" a="1"/>
  <c r="Q117" i="1" s="1"/>
  <c r="Q121" i="1" a="1"/>
  <c r="Q121" i="1" s="1"/>
  <c r="Q123" i="1" a="1"/>
  <c r="Q123" i="1" s="1"/>
  <c r="Q98" i="1" a="1"/>
  <c r="Q98" i="1" s="1"/>
  <c r="Q99" i="1" a="1"/>
  <c r="Q99" i="1" s="1"/>
  <c r="Q146" i="1" a="1"/>
  <c r="Q146" i="1" s="1"/>
  <c r="Q112" i="1" a="1"/>
  <c r="Q112" i="1" s="1"/>
  <c r="Q106" i="1" a="1"/>
  <c r="Q106" i="1" s="1"/>
  <c r="Q105" i="1" a="1"/>
  <c r="Q105" i="1" s="1"/>
  <c r="Q120" i="1" a="1"/>
  <c r="Q120" i="1" s="1"/>
  <c r="Q122" i="1" a="1"/>
  <c r="Q122" i="1" s="1"/>
  <c r="Q126" i="1" a="1"/>
  <c r="Q126" i="1" s="1"/>
  <c r="Q127" i="1" a="1"/>
  <c r="Q127" i="1" s="1"/>
  <c r="Q178" i="1" a="1"/>
  <c r="Q178" i="1" s="1"/>
  <c r="Q128" i="1" a="1"/>
  <c r="Q128" i="1" s="1"/>
  <c r="Q140" i="1" a="1"/>
  <c r="Q140" i="1" s="1"/>
  <c r="Q192" i="1" a="1"/>
  <c r="Q192" i="1" s="1"/>
  <c r="Q223" i="1" a="1"/>
  <c r="Q223" i="1" s="1"/>
  <c r="Q240" i="1" a="1"/>
  <c r="Q240" i="1" s="1"/>
  <c r="Q241" i="1" a="1"/>
  <c r="Q241" i="1" s="1"/>
  <c r="Q239" i="1" a="1"/>
  <c r="Q239" i="1" s="1"/>
  <c r="Q149" i="1" a="1"/>
  <c r="Q149" i="1" s="1"/>
  <c r="Q182" i="1" a="1"/>
  <c r="Q182" i="1" s="1"/>
  <c r="Q148" i="1" a="1"/>
  <c r="Q148" i="1" s="1"/>
  <c r="Q168" i="1" a="1"/>
  <c r="Q168" i="1" s="1"/>
  <c r="Q209" i="1" a="1"/>
  <c r="Q209" i="1" s="1"/>
  <c r="Q208" i="1" a="1"/>
  <c r="Q208" i="1" s="1"/>
  <c r="Q205" i="1" a="1"/>
  <c r="Q205" i="1" s="1"/>
  <c r="Q136" i="1" a="1"/>
  <c r="Q136" i="1" s="1"/>
  <c r="Q133" i="1" a="1"/>
  <c r="Q133" i="1" s="1"/>
  <c r="Q139" i="1" a="1"/>
  <c r="Q139" i="1" s="1"/>
  <c r="Q137" i="1" a="1"/>
  <c r="Q137" i="1" s="1"/>
  <c r="Q130" i="1" a="1"/>
  <c r="Q130" i="1" s="1"/>
  <c r="Q134" i="1" a="1"/>
  <c r="Q134" i="1" s="1"/>
  <c r="Q196" i="1" a="1"/>
  <c r="Q196" i="1" s="1"/>
  <c r="Q217" i="1" a="1"/>
  <c r="Q217" i="1" s="1"/>
  <c r="Q219" i="1" a="1"/>
  <c r="Q219" i="1" s="1"/>
  <c r="Q220" i="1" a="1"/>
  <c r="Q220" i="1" s="1"/>
  <c r="Q207" i="1" a="1"/>
  <c r="Q207" i="1" s="1"/>
  <c r="Q206" i="1" a="1"/>
  <c r="Q206" i="1" s="1"/>
  <c r="Q215" i="1" a="1"/>
  <c r="Q215" i="1" s="1"/>
  <c r="Q186" i="1" a="1"/>
  <c r="Q186" i="1" s="1"/>
  <c r="Q213" i="1" a="1"/>
  <c r="Q213" i="1" s="1"/>
  <c r="Q164" i="1" a="1"/>
  <c r="Q164" i="1" s="1"/>
  <c r="Q221" i="1" a="1"/>
  <c r="Q221" i="1" s="1"/>
  <c r="Q224" i="1" a="1"/>
  <c r="Q224" i="1" s="1"/>
  <c r="Q163" i="1" a="1"/>
  <c r="Q163" i="1" s="1"/>
  <c r="Q201" i="1" a="1"/>
  <c r="Q201" i="1" s="1"/>
  <c r="Q202" i="1" a="1"/>
  <c r="Q202" i="1" s="1"/>
  <c r="Q198" i="1" a="1"/>
  <c r="Q198" i="1" s="1"/>
  <c r="Q199" i="1" a="1"/>
  <c r="Q199" i="1" s="1"/>
  <c r="Q142" i="1" a="1"/>
  <c r="Q142" i="1" s="1"/>
  <c r="Q203" i="1" a="1"/>
  <c r="Q203" i="1" s="1"/>
  <c r="Q189" i="1" a="1"/>
  <c r="Q189" i="1" s="1"/>
  <c r="Q154" i="1" a="1"/>
  <c r="Q154" i="1" s="1"/>
  <c r="Q200" i="1" a="1"/>
  <c r="Q200" i="1" s="1"/>
  <c r="Q138" i="1" a="1"/>
  <c r="Q138" i="1" s="1"/>
  <c r="Q233" i="1" a="1"/>
  <c r="Q233" i="1" s="1"/>
  <c r="Q227" i="1" a="1"/>
  <c r="Q227" i="1" s="1"/>
  <c r="Q231" i="1" a="1"/>
  <c r="Q231" i="1" s="1"/>
  <c r="Q228" i="1" a="1"/>
  <c r="Q228" i="1" s="1"/>
  <c r="Q229" i="1" a="1"/>
  <c r="Q229" i="1" s="1"/>
  <c r="Q232" i="1" a="1"/>
  <c r="Q232" i="1" s="1"/>
  <c r="Q230" i="1" a="1"/>
  <c r="Q230" i="1" s="1"/>
  <c r="Q187" i="1" a="1"/>
  <c r="Q187" i="1" s="1"/>
  <c r="Q234" i="1" a="1"/>
  <c r="Q234" i="1" s="1"/>
  <c r="Q183" i="1" a="1"/>
  <c r="Q183" i="1" s="1"/>
  <c r="Q185" i="1" a="1"/>
  <c r="Q185" i="1" s="1"/>
  <c r="Q235" i="1" a="1"/>
  <c r="Q235" i="1" s="1"/>
  <c r="Q157" i="1" a="1"/>
  <c r="Q157" i="1" s="1"/>
  <c r="Q160" i="1" a="1"/>
  <c r="Q160" i="1" s="1"/>
  <c r="Q162" i="1" a="1"/>
  <c r="Q162" i="1" s="1"/>
  <c r="Q161" i="1" a="1"/>
  <c r="Q161" i="1" s="1"/>
  <c r="Q158" i="1" a="1"/>
  <c r="Q158" i="1" s="1"/>
  <c r="Q159" i="1" a="1"/>
  <c r="Q159" i="1" s="1"/>
  <c r="Q155" i="1" a="1"/>
  <c r="Q155" i="1" s="1"/>
  <c r="Q156" i="1" a="1"/>
  <c r="Q156" i="1" s="1"/>
  <c r="Q153" i="1" a="1"/>
  <c r="Q153" i="1" s="1"/>
  <c r="Q180" i="1" a="1"/>
  <c r="Q180" i="1" s="1"/>
  <c r="Q175" i="1" a="1"/>
  <c r="Q175" i="1" s="1"/>
  <c r="Q211" i="1" a="1"/>
  <c r="Q211" i="1" s="1"/>
  <c r="Q171" i="1" a="1"/>
  <c r="Q171" i="1" s="1"/>
  <c r="Q193" i="1" a="1"/>
  <c r="Q193" i="1" s="1"/>
  <c r="Q194" i="1" a="1"/>
  <c r="Q194" i="1" s="1"/>
  <c r="Q135" i="1" a="1"/>
  <c r="Q135" i="1" s="1"/>
  <c r="Q141" i="1" a="1"/>
  <c r="Q141" i="1" s="1"/>
  <c r="Q147" i="1" a="1"/>
  <c r="Q147" i="1" s="1"/>
  <c r="Q145" i="1" a="1"/>
  <c r="Q145" i="1" s="1"/>
  <c r="Q212" i="1" a="1"/>
  <c r="Q212" i="1" s="1"/>
  <c r="Q216" i="1" a="1"/>
  <c r="Q216" i="1" s="1"/>
  <c r="Q214" i="1" a="1"/>
  <c r="Q214" i="1" s="1"/>
  <c r="Q190" i="1" a="1"/>
  <c r="Q190" i="1" s="1"/>
  <c r="Q179" i="1" a="1"/>
  <c r="Q179" i="1" s="1"/>
  <c r="Q174" i="1" a="1"/>
  <c r="Q174" i="1" s="1"/>
  <c r="Q218" i="1" a="1"/>
  <c r="Q218" i="1" s="1"/>
  <c r="Q222" i="1" a="1"/>
  <c r="Q222" i="1" s="1"/>
  <c r="Q176" i="1" a="1"/>
  <c r="Q176" i="1" s="1"/>
  <c r="Q191" i="1" a="1"/>
  <c r="Q191" i="1" s="1"/>
  <c r="Q195" i="1" a="1"/>
  <c r="Q195" i="1" s="1"/>
  <c r="Q177" i="1" a="1"/>
  <c r="Q177" i="1" s="1"/>
  <c r="Q181" i="1" a="1"/>
  <c r="Q181" i="1" s="1"/>
  <c r="Q184" i="1" a="1"/>
  <c r="Q184" i="1" s="1"/>
  <c r="Q172" i="1" a="1"/>
  <c r="Q172" i="1" s="1"/>
  <c r="Q188" i="1" a="1"/>
  <c r="Q188" i="1" s="1"/>
  <c r="Q173" i="1" a="1"/>
  <c r="Q173" i="1" s="1"/>
  <c r="Q236" i="1" a="1"/>
  <c r="Q236" i="1" s="1"/>
  <c r="Q237" i="1" a="1"/>
  <c r="Q237" i="1" s="1"/>
  <c r="Q152" i="1" a="1"/>
  <c r="Q152" i="1" s="1"/>
  <c r="Q150" i="1" a="1"/>
  <c r="Q150" i="1" s="1"/>
  <c r="Q151" i="1" a="1"/>
  <c r="Q151" i="1" s="1"/>
  <c r="Q274" i="1" a="1"/>
  <c r="Q274" i="1" s="1"/>
  <c r="Q165" i="1" a="1"/>
  <c r="Q165" i="1" s="1"/>
  <c r="Q64" i="1" a="1"/>
  <c r="Q64" i="1" s="1"/>
  <c r="Q315" i="1" a="1"/>
  <c r="Q315" i="1" s="1"/>
  <c r="Q363" i="1" a="1"/>
  <c r="Q363" i="1" s="1"/>
  <c r="Q318" i="1" a="1"/>
  <c r="Q318" i="1" s="1"/>
  <c r="Q321" i="1" a="1"/>
  <c r="Q321" i="1" s="1"/>
  <c r="Q320" i="1" a="1"/>
  <c r="Q320" i="1" s="1"/>
  <c r="Q314" i="1" a="1"/>
  <c r="Q314" i="1" s="1"/>
  <c r="Q273" i="1" a="1"/>
  <c r="Q273" i="1" s="1"/>
  <c r="Q238" i="1" a="1"/>
  <c r="Q238" i="1" s="1"/>
  <c r="Q132" i="1" a="1"/>
  <c r="Q132" i="1" s="1"/>
  <c r="Q210" i="1" a="1"/>
  <c r="Q210" i="1" s="1"/>
  <c r="Q169" i="1" a="1"/>
  <c r="Q169" i="1" s="1"/>
  <c r="Q167" i="1" a="1"/>
  <c r="Q167" i="1" s="1"/>
  <c r="Q131" i="1" a="1"/>
  <c r="Q131" i="1" s="1"/>
  <c r="Q204" i="1" a="1"/>
  <c r="Q204" i="1" s="1"/>
  <c r="Q319" i="1" a="1"/>
  <c r="Q319" i="1" s="1"/>
  <c r="Q286" i="1" a="1"/>
  <c r="Q286" i="1" s="1"/>
  <c r="Q1240" i="1" a="1"/>
  <c r="Q1240" i="1" s="1"/>
  <c r="Q289" i="1" a="1"/>
  <c r="Q289" i="1" s="1"/>
  <c r="Q275" i="1" a="1"/>
  <c r="Q275" i="1" s="1"/>
  <c r="Q260" i="1" a="1"/>
  <c r="Q260" i="1" s="1"/>
  <c r="Q1272" i="1" a="1"/>
  <c r="Q1272" i="1" s="1"/>
  <c r="Q1295" i="1" a="1"/>
  <c r="Q1295" i="1" s="1"/>
  <c r="Q302" i="1" a="1"/>
  <c r="Q302" i="1" s="1"/>
  <c r="Q298" i="1" a="1"/>
  <c r="Q298" i="1" s="1"/>
  <c r="Q297" i="1" a="1"/>
  <c r="Q297" i="1" s="1"/>
  <c r="Q299" i="1" a="1"/>
  <c r="Q299" i="1" s="1"/>
  <c r="Q301" i="1" a="1"/>
  <c r="Q301" i="1" s="1"/>
  <c r="Q300" i="1" a="1"/>
  <c r="Q300" i="1" s="1"/>
  <c r="Q277" i="1" a="1"/>
  <c r="Q277" i="1" s="1"/>
  <c r="Q276" i="1" a="1"/>
  <c r="Q276" i="1" s="1"/>
  <c r="Q282" i="1" a="1"/>
  <c r="Q282" i="1" s="1"/>
  <c r="Q283" i="1" a="1"/>
  <c r="Q283" i="1" s="1"/>
  <c r="Q262" i="1" a="1"/>
  <c r="Q262" i="1" s="1"/>
  <c r="Q263" i="1" a="1"/>
  <c r="Q263" i="1" s="1"/>
  <c r="Q261" i="1" a="1"/>
  <c r="Q261" i="1" s="1"/>
  <c r="Q264" i="1" a="1"/>
  <c r="Q264" i="1" s="1"/>
  <c r="Q254" i="1" a="1"/>
  <c r="Q254" i="1" s="1"/>
  <c r="Q257" i="1" a="1"/>
  <c r="Q257" i="1" s="1"/>
  <c r="Q255" i="1" a="1"/>
  <c r="Q255" i="1" s="1"/>
  <c r="Q256" i="1" a="1"/>
  <c r="Q256" i="1" s="1"/>
  <c r="Q258" i="1" a="1"/>
  <c r="Q258" i="1" s="1"/>
  <c r="Q259" i="1" a="1"/>
  <c r="Q259" i="1" s="1"/>
  <c r="Q102" i="1" a="1"/>
  <c r="Q102" i="1" s="1"/>
  <c r="Q308" i="1" a="1"/>
  <c r="Q308" i="1" s="1"/>
  <c r="Q103" i="1" a="1"/>
  <c r="Q103" i="1" s="1"/>
  <c r="Q114" i="1" a="1"/>
  <c r="Q114" i="1" s="1"/>
  <c r="Q309" i="1" a="1"/>
  <c r="Q309" i="1" s="1"/>
  <c r="Q303" i="1" a="1"/>
  <c r="Q303" i="1" s="1"/>
  <c r="Q270" i="1" a="1"/>
  <c r="Q270" i="1" s="1"/>
  <c r="Q269" i="1" a="1"/>
  <c r="Q269" i="1" s="1"/>
  <c r="Q267" i="1" a="1"/>
  <c r="Q267" i="1" s="1"/>
  <c r="Q268" i="1" a="1"/>
  <c r="Q268" i="1" s="1"/>
  <c r="Q313" i="1" a="1"/>
  <c r="Q313" i="1" s="1"/>
  <c r="Q144" i="1" a="1"/>
  <c r="Q144" i="1" s="1"/>
  <c r="Q317" i="1" a="1"/>
  <c r="Q317" i="1" s="1"/>
  <c r="Q280" i="1" a="1"/>
  <c r="Q280" i="1" s="1"/>
  <c r="Q284" i="1" a="1"/>
  <c r="Q284" i="1" s="1"/>
  <c r="Q143" i="1" a="1"/>
  <c r="Q143" i="1" s="1"/>
  <c r="Q170" i="1" a="1"/>
  <c r="Q170" i="1" s="1"/>
  <c r="Q166" i="1" a="1"/>
  <c r="Q166" i="1" s="1"/>
  <c r="Q316" i="1" a="1"/>
  <c r="Q316" i="1" s="1"/>
  <c r="Q305" i="1" a="1"/>
  <c r="Q305" i="1" s="1"/>
  <c r="Q304" i="1" a="1"/>
  <c r="Q304" i="1" s="1"/>
  <c r="Q306" i="1" a="1"/>
  <c r="Q306" i="1" s="1"/>
  <c r="Q307" i="1" a="1"/>
  <c r="Q307" i="1" s="1"/>
  <c r="Q292" i="1" a="1"/>
  <c r="Q292" i="1" s="1"/>
  <c r="Q281" i="1" a="1"/>
  <c r="Q281" i="1" s="1"/>
  <c r="Q293" i="1" a="1"/>
  <c r="Q293" i="1" s="1"/>
  <c r="Q279" i="1" a="1"/>
  <c r="Q279" i="1" s="1"/>
  <c r="Q294" i="1" a="1"/>
  <c r="Q294" i="1" s="1"/>
  <c r="Q285" i="1" a="1"/>
  <c r="Q285" i="1" s="1"/>
  <c r="Q295" i="1" a="1"/>
  <c r="Q295" i="1" s="1"/>
  <c r="Q287" i="1" a="1"/>
  <c r="Q287" i="1" s="1"/>
  <c r="Q288" i="1" a="1"/>
  <c r="Q288" i="1" s="1"/>
  <c r="Q312" i="1" a="1"/>
  <c r="Q312" i="1" s="1"/>
  <c r="Q311" i="1" a="1"/>
  <c r="Q311" i="1" s="1"/>
  <c r="Q310" i="1" a="1"/>
  <c r="Q310" i="1" s="1"/>
  <c r="Q290" i="1" a="1"/>
  <c r="Q290" i="1" s="1"/>
  <c r="Q296" i="1" a="1"/>
  <c r="Q296" i="1" s="1"/>
  <c r="Q272" i="1" a="1"/>
  <c r="Q272" i="1" s="1"/>
  <c r="Q271" i="1" a="1"/>
  <c r="Q271" i="1" s="1"/>
  <c r="Q244" i="1" a="1"/>
  <c r="Q244" i="1" s="1"/>
  <c r="Q129" i="1" a="1"/>
  <c r="Q129" i="1" s="1"/>
  <c r="Q226" i="1" a="1"/>
  <c r="Q226" i="1" s="1"/>
  <c r="Q225" i="1" a="1"/>
  <c r="Q225" i="1" s="1"/>
  <c r="Q251" i="1" a="1"/>
  <c r="Q251" i="1" s="1"/>
  <c r="Q253" i="1" a="1"/>
  <c r="Q253" i="1" s="1"/>
  <c r="Q249" i="1" a="1"/>
  <c r="Q249" i="1" s="1"/>
  <c r="Q248" i="1" a="1"/>
  <c r="Q248" i="1" s="1"/>
  <c r="Q246" i="1" a="1"/>
  <c r="Q246" i="1" s="1"/>
  <c r="Q245" i="1" a="1"/>
  <c r="Q245" i="1" s="1"/>
  <c r="Q247" i="1" a="1"/>
  <c r="Q247" i="1" s="1"/>
  <c r="Q250" i="1" a="1"/>
  <c r="Q250" i="1" s="1"/>
  <c r="Q252" i="1" a="1"/>
  <c r="Q252" i="1" s="1"/>
  <c r="Q357" i="1" a="1"/>
  <c r="Q357" i="1" s="1"/>
  <c r="Q358" i="1" a="1"/>
  <c r="Q358" i="1" s="1"/>
  <c r="Q355" i="1" a="1"/>
  <c r="Q355" i="1" s="1"/>
  <c r="Q356" i="1" a="1"/>
  <c r="Q356" i="1" s="1"/>
  <c r="Q359" i="1" a="1"/>
  <c r="Q359" i="1" s="1"/>
  <c r="Q364" i="1" a="1"/>
  <c r="Q364" i="1" s="1"/>
  <c r="Q369" i="1" a="1"/>
  <c r="Q369" i="1" s="1"/>
  <c r="Q370" i="1" a="1"/>
  <c r="Q370" i="1" s="1"/>
  <c r="Q366" i="1" a="1"/>
  <c r="Q366" i="1" s="1"/>
  <c r="Q365" i="1" a="1"/>
  <c r="Q365" i="1" s="1"/>
  <c r="Q368" i="1" a="1"/>
  <c r="Q368" i="1" s="1"/>
  <c r="Q367" i="1" a="1"/>
  <c r="Q367" i="1" s="1"/>
  <c r="Q345" i="1" a="1"/>
  <c r="Q345" i="1" s="1"/>
  <c r="Q346" i="1" a="1"/>
  <c r="Q346" i="1" s="1"/>
  <c r="Q344" i="1" a="1"/>
  <c r="Q344" i="1" s="1"/>
  <c r="Q342" i="1" a="1"/>
  <c r="Q342" i="1" s="1"/>
  <c r="Q343" i="1" a="1"/>
  <c r="Q343" i="1" s="1"/>
  <c r="Q266" i="1" a="1"/>
  <c r="Q266" i="1" s="1"/>
  <c r="Q341" i="1" a="1"/>
  <c r="Q341" i="1" s="1"/>
  <c r="Q336" i="1" a="1"/>
  <c r="Q336" i="1" s="1"/>
  <c r="Q334" i="1" a="1"/>
  <c r="Q334" i="1" s="1"/>
  <c r="Q353" i="1" a="1"/>
  <c r="Q353" i="1" s="1"/>
  <c r="Q352" i="1" a="1"/>
  <c r="Q352" i="1" s="1"/>
  <c r="Q350" i="1" a="1"/>
  <c r="Q350" i="1" s="1"/>
  <c r="Q354" i="1" a="1"/>
  <c r="Q354" i="1" s="1"/>
  <c r="Q351" i="1" a="1"/>
  <c r="Q351" i="1" s="1"/>
  <c r="Q329" i="1" a="1"/>
  <c r="Q329" i="1" s="1"/>
  <c r="Q323" i="1" a="1"/>
  <c r="Q323" i="1" s="1"/>
  <c r="Q330" i="1" a="1"/>
  <c r="Q330" i="1" s="1"/>
  <c r="Q325" i="1" a="1"/>
  <c r="Q325" i="1" s="1"/>
  <c r="Q328" i="1" a="1"/>
  <c r="Q328" i="1" s="1"/>
  <c r="Q322" i="1" a="1"/>
  <c r="Q322" i="1" s="1"/>
  <c r="Q326" i="1" a="1"/>
  <c r="Q326" i="1" s="1"/>
  <c r="Q331" i="1" a="1"/>
  <c r="Q331" i="1" s="1"/>
  <c r="Q327" i="1" a="1"/>
  <c r="Q327" i="1" s="1"/>
  <c r="Q324" i="1" a="1"/>
  <c r="Q324" i="1" s="1"/>
  <c r="Q333" i="1" a="1"/>
  <c r="Q333" i="1" s="1"/>
  <c r="Q335" i="1" a="1"/>
  <c r="Q335" i="1" s="1"/>
  <c r="Q347" i="1" a="1"/>
  <c r="Q347" i="1" s="1"/>
  <c r="Q348" i="1" a="1"/>
  <c r="Q348" i="1" s="1"/>
  <c r="Q349" i="1" a="1"/>
  <c r="Q349" i="1" s="1"/>
  <c r="Q338" i="1" a="1"/>
  <c r="Q338" i="1" s="1"/>
  <c r="Q339" i="1" a="1"/>
  <c r="Q339" i="1" s="1"/>
  <c r="Q337" i="1" a="1"/>
  <c r="Q337" i="1" s="1"/>
  <c r="Q340" i="1" a="1"/>
  <c r="Q340" i="1" s="1"/>
  <c r="Q362" i="1" a="1"/>
  <c r="Q362" i="1" s="1"/>
  <c r="Q361" i="1" a="1"/>
  <c r="Q361" i="1" s="1"/>
  <c r="Q360" i="1" a="1"/>
  <c r="Q360" i="1" s="1"/>
  <c r="Q332" i="1" a="1"/>
  <c r="Q332" i="1" s="1"/>
  <c r="Q197" i="1" a="1"/>
  <c r="Q197" i="1" s="1"/>
  <c r="Q371" i="1" a="1"/>
  <c r="Q371" i="1" s="1"/>
  <c r="Q374" i="1" a="1"/>
  <c r="Q374" i="1" s="1"/>
  <c r="Q372" i="1" a="1"/>
  <c r="Q372" i="1" s="1"/>
  <c r="Q373" i="1" a="1"/>
  <c r="Q373" i="1" s="1"/>
  <c r="Q440" i="1" a="1"/>
  <c r="Q440" i="1" s="1"/>
  <c r="Q449" i="1" a="1"/>
  <c r="Q449" i="1" s="1"/>
  <c r="Q445" i="1" a="1"/>
  <c r="Q445" i="1" s="1"/>
  <c r="Q388" i="1" a="1"/>
  <c r="Q388" i="1" s="1"/>
  <c r="Q394" i="1" a="1"/>
  <c r="Q394" i="1" s="1"/>
  <c r="Q422" i="1" a="1"/>
  <c r="Q422" i="1" s="1"/>
  <c r="Q399" i="1" a="1"/>
  <c r="Q399" i="1" s="1"/>
  <c r="Q423" i="1" a="1"/>
  <c r="Q423" i="1" s="1"/>
  <c r="Q401" i="1" a="1"/>
  <c r="Q401" i="1" s="1"/>
  <c r="Q448" i="1" a="1"/>
  <c r="Q448" i="1" s="1"/>
  <c r="Q412" i="1" a="1"/>
  <c r="Q412" i="1" s="1"/>
  <c r="Q417" i="1" a="1"/>
  <c r="Q417" i="1" s="1"/>
  <c r="Q400" i="1" a="1"/>
  <c r="Q400" i="1" s="1"/>
  <c r="Q405" i="1" a="1"/>
  <c r="Q405" i="1" s="1"/>
  <c r="Q450" i="1" a="1"/>
  <c r="Q450" i="1" s="1"/>
  <c r="Q429" i="1" a="1"/>
  <c r="Q429" i="1" s="1"/>
  <c r="Q439" i="1" a="1"/>
  <c r="Q439" i="1" s="1"/>
  <c r="Q418" i="1" a="1"/>
  <c r="Q418" i="1" s="1"/>
  <c r="Q415" i="1" a="1"/>
  <c r="Q415" i="1" s="1"/>
  <c r="Q424" i="1" a="1"/>
  <c r="Q424" i="1" s="1"/>
  <c r="Q396" i="1" a="1"/>
  <c r="Q396" i="1" s="1"/>
  <c r="Q406" i="1" a="1"/>
  <c r="Q406" i="1" s="1"/>
  <c r="Q419" i="1" a="1"/>
  <c r="Q419" i="1" s="1"/>
  <c r="Q409" i="1" a="1"/>
  <c r="Q409" i="1" s="1"/>
  <c r="Q403" i="1" a="1"/>
  <c r="Q403" i="1" s="1"/>
  <c r="Q407" i="1" a="1"/>
  <c r="Q407" i="1" s="1"/>
  <c r="Q420" i="1" a="1"/>
  <c r="Q420" i="1" s="1"/>
  <c r="Q404" i="1" a="1"/>
  <c r="Q404" i="1" s="1"/>
  <c r="Q398" i="1" a="1"/>
  <c r="Q398" i="1" s="1"/>
  <c r="Q413" i="1" a="1"/>
  <c r="Q413" i="1" s="1"/>
  <c r="Q421" i="1" a="1"/>
  <c r="Q421" i="1" s="1"/>
  <c r="Q416" i="1" a="1"/>
  <c r="Q416" i="1" s="1"/>
  <c r="Q410" i="1" a="1"/>
  <c r="Q410" i="1" s="1"/>
  <c r="Q395" i="1" a="1"/>
  <c r="Q395" i="1" s="1"/>
  <c r="Q397" i="1" a="1"/>
  <c r="Q397" i="1" s="1"/>
  <c r="Q414" i="1" a="1"/>
  <c r="Q414" i="1" s="1"/>
  <c r="Q411" i="1" a="1"/>
  <c r="Q411" i="1" s="1"/>
  <c r="Q408" i="1" a="1"/>
  <c r="Q408" i="1" s="1"/>
  <c r="Q402" i="1" a="1"/>
  <c r="Q402" i="1" s="1"/>
  <c r="Q434" i="1" a="1"/>
  <c r="Q434" i="1" s="1"/>
  <c r="Q456" i="1" a="1"/>
  <c r="Q456" i="1" s="1"/>
  <c r="Q451" i="1" a="1"/>
  <c r="Q451" i="1" s="1"/>
  <c r="Q453" i="1" a="1"/>
  <c r="Q453" i="1" s="1"/>
  <c r="Q455" i="1" a="1"/>
  <c r="Q455" i="1" s="1"/>
  <c r="Q452" i="1" a="1"/>
  <c r="Q452" i="1" s="1"/>
  <c r="Q454" i="1" a="1"/>
  <c r="Q454" i="1" s="1"/>
  <c r="Q375" i="1" a="1"/>
  <c r="Q375" i="1" s="1"/>
  <c r="Q430" i="1" a="1"/>
  <c r="Q430" i="1" s="1"/>
  <c r="Q386" i="1" a="1"/>
  <c r="Q386" i="1" s="1"/>
  <c r="Q444" i="1" a="1"/>
  <c r="Q444" i="1" s="1"/>
  <c r="Q442" i="1" a="1"/>
  <c r="Q442" i="1" s="1"/>
  <c r="Q443" i="1" a="1"/>
  <c r="Q443" i="1" s="1"/>
  <c r="Q457" i="1" a="1"/>
  <c r="Q457" i="1" s="1"/>
  <c r="Q447" i="1" a="1"/>
  <c r="Q447" i="1" s="1"/>
  <c r="Q433" i="1" a="1"/>
  <c r="Q433" i="1" s="1"/>
  <c r="Q432" i="1" a="1"/>
  <c r="Q432" i="1" s="1"/>
  <c r="Q431" i="1" a="1"/>
  <c r="Q431" i="1" s="1"/>
  <c r="Q435" i="1" a="1"/>
  <c r="Q435" i="1" s="1"/>
  <c r="Q379" i="1" a="1"/>
  <c r="Q379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87" i="1" a="1"/>
  <c r="Q387" i="1" s="1"/>
  <c r="Q427" i="1" a="1"/>
  <c r="Q427" i="1" s="1"/>
  <c r="Q428" i="1" a="1"/>
  <c r="Q428" i="1" s="1"/>
  <c r="Q377" i="1" a="1"/>
  <c r="Q377" i="1" s="1"/>
  <c r="Q376" i="1" a="1"/>
  <c r="Q376" i="1" s="1"/>
  <c r="Q378" i="1" a="1"/>
  <c r="Q378" i="1" s="1"/>
  <c r="Q436" i="1" a="1"/>
  <c r="Q436" i="1" s="1"/>
  <c r="Q446" i="1" a="1"/>
  <c r="Q446" i="1" s="1"/>
  <c r="Q380" i="1" a="1"/>
  <c r="Q380" i="1" s="1"/>
  <c r="Q382" i="1" a="1"/>
  <c r="Q382" i="1" s="1"/>
  <c r="Q385" i="1" a="1"/>
  <c r="Q385" i="1" s="1"/>
  <c r="Q383" i="1" a="1"/>
  <c r="Q383" i="1" s="1"/>
  <c r="Q381" i="1" a="1"/>
  <c r="Q381" i="1" s="1"/>
  <c r="Q384" i="1" a="1"/>
  <c r="Q384" i="1" s="1"/>
  <c r="Q458" i="1" a="1"/>
  <c r="Q458" i="1" s="1"/>
  <c r="Q459" i="1" a="1"/>
  <c r="Q459" i="1" s="1"/>
  <c r="Q441" i="1" a="1"/>
  <c r="Q441" i="1" s="1"/>
  <c r="Q426" i="1" a="1"/>
  <c r="Q426" i="1" s="1"/>
  <c r="Q438" i="1" a="1"/>
  <c r="Q438" i="1" s="1"/>
  <c r="Q437" i="1" a="1"/>
  <c r="Q437" i="1" s="1"/>
  <c r="Q425" i="1" a="1"/>
  <c r="Q425" i="1" s="1"/>
  <c r="Q565" i="1" a="1"/>
  <c r="Q565" i="1" s="1"/>
  <c r="Q564" i="1" a="1"/>
  <c r="Q564" i="1" s="1"/>
  <c r="Q566" i="1" a="1"/>
  <c r="Q566" i="1" s="1"/>
  <c r="Q567" i="1" a="1"/>
  <c r="Q567" i="1" s="1"/>
  <c r="Q569" i="1" a="1"/>
  <c r="Q569" i="1" s="1"/>
  <c r="Q571" i="1" a="1"/>
  <c r="Q571" i="1" s="1"/>
  <c r="Q570" i="1" a="1"/>
  <c r="Q570" i="1" s="1"/>
  <c r="Q568" i="1" a="1"/>
  <c r="Q568" i="1" s="1"/>
  <c r="Q559" i="1" a="1"/>
  <c r="Q559" i="1" s="1"/>
  <c r="Q551" i="1" a="1"/>
  <c r="Q551" i="1" s="1"/>
  <c r="Q552" i="1" a="1"/>
  <c r="Q552" i="1" s="1"/>
  <c r="Q554" i="1" a="1"/>
  <c r="Q554" i="1" s="1"/>
  <c r="Q555" i="1" a="1"/>
  <c r="Q555" i="1" s="1"/>
  <c r="Q553" i="1" a="1"/>
  <c r="Q553" i="1" s="1"/>
  <c r="Q481" i="1" a="1"/>
  <c r="Q481" i="1" s="1"/>
  <c r="Q483" i="1" a="1"/>
  <c r="Q483" i="1" s="1"/>
  <c r="Q482" i="1" a="1"/>
  <c r="Q482" i="1" s="1"/>
  <c r="Q479" i="1" a="1"/>
  <c r="Q479" i="1" s="1"/>
  <c r="Q538" i="1" a="1"/>
  <c r="Q538" i="1" s="1"/>
  <c r="Q556" i="1" a="1"/>
  <c r="Q556" i="1" s="1"/>
  <c r="Q539" i="1" a="1"/>
  <c r="Q539" i="1" s="1"/>
  <c r="Q537" i="1" a="1"/>
  <c r="Q537" i="1" s="1"/>
  <c r="Q576" i="1" a="1"/>
  <c r="Q576" i="1" s="1"/>
  <c r="Q575" i="1" a="1"/>
  <c r="Q575" i="1" s="1"/>
  <c r="Q558" i="1" a="1"/>
  <c r="Q558" i="1" s="1"/>
  <c r="Q469" i="1" a="1"/>
  <c r="Q469" i="1" s="1"/>
  <c r="Q484" i="1" a="1"/>
  <c r="Q484" i="1" s="1"/>
  <c r="Q474" i="1" a="1"/>
  <c r="Q474" i="1" s="1"/>
  <c r="Q476" i="1" a="1"/>
  <c r="Q476" i="1" s="1"/>
  <c r="Q475" i="1" a="1"/>
  <c r="Q475" i="1" s="1"/>
  <c r="Q573" i="1" a="1"/>
  <c r="Q573" i="1" s="1"/>
  <c r="Q574" i="1" a="1"/>
  <c r="Q574" i="1" s="1"/>
  <c r="Q572" i="1" a="1"/>
  <c r="Q572" i="1" s="1"/>
  <c r="Q561" i="1" a="1"/>
  <c r="Q561" i="1" s="1"/>
  <c r="Q562" i="1" a="1"/>
  <c r="Q562" i="1" s="1"/>
  <c r="Q563" i="1" a="1"/>
  <c r="Q563" i="1" s="1"/>
  <c r="Q464" i="1" a="1"/>
  <c r="Q464" i="1" s="1"/>
  <c r="Q463" i="1" a="1"/>
  <c r="Q463" i="1" s="1"/>
  <c r="Q534" i="1" a="1"/>
  <c r="Q534" i="1" s="1"/>
  <c r="Q536" i="1" a="1"/>
  <c r="Q536" i="1" s="1"/>
  <c r="Q546" i="1" a="1"/>
  <c r="Q546" i="1" s="1"/>
  <c r="Q550" i="1" a="1"/>
  <c r="Q550" i="1" s="1"/>
  <c r="Q560" i="1" a="1"/>
  <c r="Q560" i="1" s="1"/>
  <c r="Q547" i="1" a="1"/>
  <c r="Q547" i="1" s="1"/>
  <c r="Q543" i="1" a="1"/>
  <c r="Q543" i="1" s="1"/>
  <c r="Q544" i="1" a="1"/>
  <c r="Q544" i="1" s="1"/>
  <c r="Q549" i="1" a="1"/>
  <c r="Q549" i="1" s="1"/>
  <c r="Q545" i="1" a="1"/>
  <c r="Q545" i="1" s="1"/>
  <c r="Q468" i="1" a="1"/>
  <c r="Q468" i="1" s="1"/>
  <c r="Q470" i="1" a="1"/>
  <c r="Q470" i="1" s="1"/>
  <c r="Q462" i="1" a="1"/>
  <c r="Q462" i="1" s="1"/>
  <c r="Q480" i="1" a="1"/>
  <c r="Q480" i="1" s="1"/>
  <c r="Q485" i="1" a="1"/>
  <c r="Q485" i="1" s="1"/>
  <c r="Q473" i="1" a="1"/>
  <c r="Q473" i="1" s="1"/>
  <c r="Q472" i="1" a="1"/>
  <c r="Q472" i="1" s="1"/>
  <c r="Q471" i="1" a="1"/>
  <c r="Q471" i="1" s="1"/>
  <c r="Q540" i="1" a="1"/>
  <c r="Q540" i="1" s="1"/>
  <c r="Q542" i="1" a="1"/>
  <c r="Q542" i="1" s="1"/>
  <c r="Q541" i="1" a="1"/>
  <c r="Q541" i="1" s="1"/>
  <c r="Q466" i="1" a="1"/>
  <c r="Q466" i="1" s="1"/>
  <c r="Q486" i="1" a="1"/>
  <c r="Q486" i="1" s="1"/>
  <c r="Q487" i="1" a="1"/>
  <c r="Q487" i="1" s="1"/>
  <c r="Q478" i="1" a="1"/>
  <c r="Q478" i="1" s="1"/>
  <c r="Q477" i="1" a="1"/>
  <c r="Q477" i="1" s="1"/>
  <c r="Q548" i="1" a="1"/>
  <c r="Q548" i="1" s="1"/>
  <c r="Q557" i="1" a="1"/>
  <c r="Q557" i="1" s="1"/>
  <c r="Q511" i="1" a="1"/>
  <c r="Q511" i="1" s="1"/>
  <c r="Q513" i="1" a="1"/>
  <c r="Q513" i="1" s="1"/>
  <c r="Q510" i="1" a="1"/>
  <c r="Q510" i="1" s="1"/>
  <c r="Q512" i="1" a="1"/>
  <c r="Q512" i="1" s="1"/>
  <c r="Q514" i="1" a="1"/>
  <c r="Q514" i="1" s="1"/>
  <c r="Q465" i="1" a="1"/>
  <c r="Q465" i="1" s="1"/>
  <c r="Q467" i="1" a="1"/>
  <c r="Q467" i="1" s="1"/>
  <c r="Q518" i="1" a="1"/>
  <c r="Q518" i="1" s="1"/>
  <c r="Q516" i="1" a="1"/>
  <c r="Q516" i="1" s="1"/>
  <c r="Q517" i="1" a="1"/>
  <c r="Q517" i="1" s="1"/>
  <c r="Q519" i="1" a="1"/>
  <c r="Q519" i="1" s="1"/>
  <c r="Q520" i="1" a="1"/>
  <c r="Q520" i="1" s="1"/>
  <c r="Q521" i="1" a="1"/>
  <c r="Q521" i="1" s="1"/>
  <c r="Q527" i="1" a="1"/>
  <c r="Q527" i="1" s="1"/>
  <c r="Q529" i="1" a="1"/>
  <c r="Q529" i="1" s="1"/>
  <c r="Q528" i="1" a="1"/>
  <c r="Q528" i="1" s="1"/>
  <c r="Q530" i="1" a="1"/>
  <c r="Q530" i="1" s="1"/>
  <c r="Q535" i="1" a="1"/>
  <c r="Q535" i="1" s="1"/>
  <c r="Q533" i="1" a="1"/>
  <c r="Q533" i="1" s="1"/>
  <c r="Q532" i="1" a="1"/>
  <c r="Q532" i="1" s="1"/>
  <c r="Q524" i="1" a="1"/>
  <c r="Q524" i="1" s="1"/>
  <c r="Q522" i="1" a="1"/>
  <c r="Q522" i="1" s="1"/>
  <c r="Q523" i="1" a="1"/>
  <c r="Q523" i="1" s="1"/>
  <c r="Q531" i="1" a="1"/>
  <c r="Q531" i="1" s="1"/>
  <c r="Q525" i="1" a="1"/>
  <c r="Q525" i="1" s="1"/>
  <c r="Q526" i="1" a="1"/>
  <c r="Q526" i="1" s="1"/>
  <c r="Q515" i="1" a="1"/>
  <c r="Q515" i="1" s="1"/>
  <c r="Q496" i="1" a="1"/>
  <c r="Q496" i="1" s="1"/>
  <c r="Q503" i="1" a="1"/>
  <c r="Q503" i="1" s="1"/>
  <c r="Q506" i="1" a="1"/>
  <c r="Q506" i="1" s="1"/>
  <c r="Q504" i="1" a="1"/>
  <c r="Q504" i="1" s="1"/>
  <c r="Q505" i="1" a="1"/>
  <c r="Q505" i="1" s="1"/>
  <c r="Q493" i="1" a="1"/>
  <c r="Q493" i="1" s="1"/>
  <c r="Q499" i="1" a="1"/>
  <c r="Q499" i="1" s="1"/>
  <c r="Q500" i="1" a="1"/>
  <c r="Q500" i="1" s="1"/>
  <c r="Q495" i="1" a="1"/>
  <c r="Q495" i="1" s="1"/>
  <c r="Q494" i="1" a="1"/>
  <c r="Q494" i="1" s="1"/>
  <c r="Q502" i="1" a="1"/>
  <c r="Q502" i="1" s="1"/>
  <c r="Q488" i="1" a="1"/>
  <c r="Q488" i="1" s="1"/>
  <c r="Q490" i="1" a="1"/>
  <c r="Q490" i="1" s="1"/>
  <c r="Q492" i="1" a="1"/>
  <c r="Q492" i="1" s="1"/>
  <c r="Q507" i="1" a="1"/>
  <c r="Q507" i="1" s="1"/>
  <c r="Q497" i="1" a="1"/>
  <c r="Q497" i="1" s="1"/>
  <c r="Q509" i="1" a="1"/>
  <c r="Q509" i="1" s="1"/>
  <c r="Q498" i="1" a="1"/>
  <c r="Q498" i="1" s="1"/>
  <c r="Q491" i="1" a="1"/>
  <c r="Q491" i="1" s="1"/>
  <c r="Q489" i="1" a="1"/>
  <c r="Q489" i="1" s="1"/>
  <c r="Q508" i="1" a="1"/>
  <c r="Q508" i="1" s="1"/>
  <c r="Q501" i="1" a="1"/>
  <c r="Q501" i="1" s="1"/>
  <c r="Q598" i="1" a="1"/>
  <c r="Q598" i="1" s="1"/>
  <c r="Q577" i="1" a="1"/>
  <c r="Q577" i="1" s="1"/>
  <c r="Q460" i="1" a="1"/>
  <c r="Q460" i="1" s="1"/>
  <c r="Q461" i="1" a="1"/>
  <c r="Q461" i="1" s="1"/>
  <c r="Q594" i="1" a="1"/>
  <c r="Q594" i="1" s="1"/>
  <c r="Q578" i="1" a="1"/>
  <c r="Q578" i="1" s="1"/>
  <c r="Q593" i="1" a="1"/>
  <c r="Q593" i="1" s="1"/>
  <c r="Q583" i="1" a="1"/>
  <c r="Q583" i="1" s="1"/>
  <c r="Q588" i="1" a="1"/>
  <c r="Q588" i="1" s="1"/>
  <c r="Q587" i="1" a="1"/>
  <c r="Q587" i="1" s="1"/>
  <c r="Q589" i="1" a="1"/>
  <c r="Q589" i="1" s="1"/>
  <c r="Q586" i="1" a="1"/>
  <c r="Q586" i="1" s="1"/>
  <c r="Q581" i="1" a="1"/>
  <c r="Q581" i="1" s="1"/>
  <c r="Q582" i="1" a="1"/>
  <c r="Q582" i="1" s="1"/>
  <c r="Q596" i="1" a="1"/>
  <c r="Q596" i="1" s="1"/>
  <c r="Q591" i="1" a="1"/>
  <c r="Q591" i="1" s="1"/>
  <c r="Q590" i="1" a="1"/>
  <c r="Q590" i="1" s="1"/>
  <c r="Q606" i="1" a="1"/>
  <c r="Q606" i="1" s="1"/>
  <c r="Q608" i="1" a="1"/>
  <c r="Q608" i="1" s="1"/>
  <c r="Q607" i="1" a="1"/>
  <c r="Q607" i="1" s="1"/>
  <c r="Q584" i="1" a="1"/>
  <c r="Q584" i="1" s="1"/>
  <c r="Q585" i="1" a="1"/>
  <c r="Q585" i="1" s="1"/>
  <c r="Q592" i="1" a="1"/>
  <c r="Q592" i="1" s="1"/>
  <c r="Q605" i="1" a="1"/>
  <c r="Q605" i="1" s="1"/>
  <c r="Q597" i="1" a="1"/>
  <c r="Q597" i="1" s="1"/>
  <c r="Q604" i="1" a="1"/>
  <c r="Q604" i="1" s="1"/>
  <c r="Q609" i="1" a="1"/>
  <c r="Q609" i="1" s="1"/>
  <c r="Q579" i="1" a="1"/>
  <c r="Q579" i="1" s="1"/>
  <c r="Q603" i="1" a="1"/>
  <c r="Q603" i="1" s="1"/>
  <c r="Q580" i="1" a="1"/>
  <c r="Q580" i="1" s="1"/>
  <c r="Q595" i="1" a="1"/>
  <c r="Q595" i="1" s="1"/>
  <c r="Q599" i="1" a="1"/>
  <c r="Q599" i="1" s="1"/>
  <c r="Q600" i="1" a="1"/>
  <c r="Q600" i="1" s="1"/>
  <c r="Q601" i="1" a="1"/>
  <c r="Q601" i="1" s="1"/>
  <c r="Q602" i="1" a="1"/>
  <c r="Q602" i="1" s="1"/>
  <c r="Q630" i="1" a="1"/>
  <c r="Q630" i="1" s="1"/>
  <c r="Q617" i="1" a="1"/>
  <c r="Q617" i="1" s="1"/>
  <c r="Q621" i="1" a="1"/>
  <c r="Q621" i="1" s="1"/>
  <c r="Q639" i="1" a="1"/>
  <c r="Q639" i="1" s="1"/>
  <c r="Q616" i="1" a="1"/>
  <c r="Q616" i="1" s="1"/>
  <c r="Q632" i="1" a="1"/>
  <c r="Q632" i="1" s="1"/>
  <c r="Q631" i="1" a="1"/>
  <c r="Q631" i="1" s="1"/>
  <c r="Q633" i="1" a="1"/>
  <c r="Q633" i="1" s="1"/>
  <c r="Q611" i="1" a="1"/>
  <c r="Q611" i="1" s="1"/>
  <c r="Q613" i="1" a="1"/>
  <c r="Q613" i="1" s="1"/>
  <c r="Q612" i="1" a="1"/>
  <c r="Q612" i="1" s="1"/>
  <c r="Q610" i="1" a="1"/>
  <c r="Q610" i="1" s="1"/>
  <c r="Q628" i="1" a="1"/>
  <c r="Q628" i="1" s="1"/>
  <c r="Q629" i="1" a="1"/>
  <c r="Q629" i="1" s="1"/>
  <c r="Q620" i="1" a="1"/>
  <c r="Q620" i="1" s="1"/>
  <c r="Q619" i="1" a="1"/>
  <c r="Q619" i="1" s="1"/>
  <c r="Q614" i="1" a="1"/>
  <c r="Q614" i="1" s="1"/>
  <c r="Q615" i="1" a="1"/>
  <c r="Q615" i="1" s="1"/>
  <c r="Q625" i="1" a="1"/>
  <c r="Q625" i="1" s="1"/>
  <c r="Q626" i="1" a="1"/>
  <c r="Q626" i="1" s="1"/>
  <c r="Q623" i="1" a="1"/>
  <c r="Q623" i="1" s="1"/>
  <c r="Q624" i="1" a="1"/>
  <c r="Q624" i="1" s="1"/>
  <c r="Q622" i="1" a="1"/>
  <c r="Q622" i="1" s="1"/>
  <c r="Q627" i="1" a="1"/>
  <c r="Q627" i="1" s="1"/>
  <c r="Q634" i="1" a="1"/>
  <c r="Q634" i="1" s="1"/>
  <c r="Q635" i="1" a="1"/>
  <c r="Q635" i="1" s="1"/>
  <c r="Q636" i="1" a="1"/>
  <c r="Q636" i="1" s="1"/>
  <c r="Q638" i="1" a="1"/>
  <c r="Q638" i="1" s="1"/>
  <c r="Q618" i="1" a="1"/>
  <c r="Q618" i="1" s="1"/>
  <c r="Q637" i="1" a="1"/>
  <c r="Q637" i="1" s="1"/>
  <c r="Q661" i="1" a="1"/>
  <c r="Q661" i="1" s="1"/>
  <c r="Q663" i="1" a="1"/>
  <c r="Q663" i="1" s="1"/>
  <c r="Q664" i="1" a="1"/>
  <c r="Q664" i="1" s="1"/>
  <c r="Q662" i="1" a="1"/>
  <c r="Q662" i="1" s="1"/>
  <c r="Q683" i="1" a="1"/>
  <c r="Q683" i="1" s="1"/>
  <c r="Q686" i="1" a="1"/>
  <c r="Q686" i="1" s="1"/>
  <c r="Q654" i="1" a="1"/>
  <c r="Q654" i="1" s="1"/>
  <c r="Q651" i="1" a="1"/>
  <c r="Q651" i="1" s="1"/>
  <c r="Q652" i="1" a="1"/>
  <c r="Q652" i="1" s="1"/>
  <c r="Q689" i="1" a="1"/>
  <c r="Q689" i="1" s="1"/>
  <c r="Q687" i="1" a="1"/>
  <c r="Q687" i="1" s="1"/>
  <c r="Q688" i="1" a="1"/>
  <c r="Q688" i="1" s="1"/>
  <c r="Q685" i="1" a="1"/>
  <c r="Q685" i="1" s="1"/>
  <c r="Q692" i="1" a="1"/>
  <c r="Q692" i="1" s="1"/>
  <c r="Q691" i="1" a="1"/>
  <c r="Q691" i="1" s="1"/>
  <c r="Q693" i="1" a="1"/>
  <c r="Q693" i="1" s="1"/>
  <c r="Q696" i="1" a="1"/>
  <c r="Q696" i="1" s="1"/>
  <c r="Q697" i="1" a="1"/>
  <c r="Q697" i="1" s="1"/>
  <c r="Q695" i="1" a="1"/>
  <c r="Q695" i="1" s="1"/>
  <c r="Q694" i="1" a="1"/>
  <c r="Q694" i="1" s="1"/>
  <c r="Q647" i="1" a="1"/>
  <c r="Q647" i="1" s="1"/>
  <c r="Q645" i="1" a="1"/>
  <c r="Q645" i="1" s="1"/>
  <c r="Q648" i="1" a="1"/>
  <c r="Q648" i="1" s="1"/>
  <c r="Q646" i="1" a="1"/>
  <c r="Q646" i="1" s="1"/>
  <c r="Q649" i="1" a="1"/>
  <c r="Q649" i="1" s="1"/>
  <c r="Q650" i="1" a="1"/>
  <c r="Q650" i="1" s="1"/>
  <c r="Q682" i="1" a="1"/>
  <c r="Q682" i="1" s="1"/>
  <c r="Q666" i="1" a="1"/>
  <c r="Q666" i="1" s="1"/>
  <c r="Q665" i="1" a="1"/>
  <c r="Q665" i="1" s="1"/>
  <c r="Q659" i="1" a="1"/>
  <c r="Q659" i="1" s="1"/>
  <c r="Q660" i="1" a="1"/>
  <c r="Q660" i="1" s="1"/>
  <c r="Q653" i="1" a="1"/>
  <c r="Q653" i="1" s="1"/>
  <c r="Q655" i="1" a="1"/>
  <c r="Q655" i="1" s="1"/>
  <c r="Q673" i="1" a="1"/>
  <c r="Q673" i="1" s="1"/>
  <c r="Q672" i="1" a="1"/>
  <c r="Q672" i="1" s="1"/>
  <c r="Q678" i="1" a="1"/>
  <c r="Q678" i="1" s="1"/>
  <c r="Q681" i="1" a="1"/>
  <c r="Q681" i="1" s="1"/>
  <c r="Q680" i="1" a="1"/>
  <c r="Q680" i="1" s="1"/>
  <c r="Q675" i="1" a="1"/>
  <c r="Q675" i="1" s="1"/>
  <c r="Q677" i="1" a="1"/>
  <c r="Q677" i="1" s="1"/>
  <c r="Q679" i="1" a="1"/>
  <c r="Q679" i="1" s="1"/>
  <c r="Q676" i="1" a="1"/>
  <c r="Q676" i="1" s="1"/>
  <c r="Q656" i="1" a="1"/>
  <c r="Q656" i="1" s="1"/>
  <c r="Q657" i="1" a="1"/>
  <c r="Q657" i="1" s="1"/>
  <c r="Q658" i="1" a="1"/>
  <c r="Q658" i="1" s="1"/>
  <c r="Q669" i="1" a="1"/>
  <c r="Q669" i="1" s="1"/>
  <c r="Q667" i="1" a="1"/>
  <c r="Q667" i="1" s="1"/>
  <c r="Q668" i="1" a="1"/>
  <c r="Q668" i="1" s="1"/>
  <c r="Q684" i="1" a="1"/>
  <c r="Q684" i="1" s="1"/>
  <c r="Q670" i="1" a="1"/>
  <c r="Q670" i="1" s="1"/>
  <c r="Q690" i="1" a="1"/>
  <c r="Q690" i="1" s="1"/>
  <c r="Q644" i="1" a="1"/>
  <c r="Q644" i="1" s="1"/>
  <c r="Q674" i="1" a="1"/>
  <c r="Q674" i="1" s="1"/>
  <c r="Q671" i="1" a="1"/>
  <c r="Q671" i="1" s="1"/>
  <c r="Q699" i="1" a="1"/>
  <c r="Q699" i="1" s="1"/>
  <c r="Q698" i="1" a="1"/>
  <c r="Q698" i="1" s="1"/>
  <c r="Q640" i="1" a="1"/>
  <c r="Q640" i="1" s="1"/>
  <c r="Q642" i="1" a="1"/>
  <c r="Q642" i="1" s="1"/>
  <c r="Q641" i="1" a="1"/>
  <c r="Q641" i="1" s="1"/>
  <c r="Q643" i="1" a="1"/>
  <c r="Q643" i="1" s="1"/>
  <c r="Q713" i="1" a="1"/>
  <c r="Q713" i="1" s="1"/>
  <c r="Q718" i="1" a="1"/>
  <c r="Q718" i="1" s="1"/>
  <c r="Q715" i="1" a="1"/>
  <c r="Q715" i="1" s="1"/>
  <c r="Q716" i="1" a="1"/>
  <c r="Q716" i="1" s="1"/>
  <c r="Q714" i="1" a="1"/>
  <c r="Q714" i="1" s="1"/>
  <c r="Q719" i="1" a="1"/>
  <c r="Q719" i="1" s="1"/>
  <c r="Q726" i="1" a="1"/>
  <c r="Q726" i="1" s="1"/>
  <c r="Q711" i="1" a="1"/>
  <c r="Q711" i="1" s="1"/>
  <c r="Q720" i="1" a="1"/>
  <c r="Q720" i="1" s="1"/>
  <c r="Q721" i="1" a="1"/>
  <c r="Q721" i="1" s="1"/>
  <c r="Q712" i="1" a="1"/>
  <c r="Q712" i="1" s="1"/>
  <c r="Q717" i="1" a="1"/>
  <c r="Q717" i="1" s="1"/>
  <c r="Q722" i="1" a="1"/>
  <c r="Q722" i="1" s="1"/>
  <c r="Q724" i="1" a="1"/>
  <c r="Q724" i="1" s="1"/>
  <c r="Q729" i="1" a="1"/>
  <c r="Q729" i="1" s="1"/>
  <c r="Q728" i="1" a="1"/>
  <c r="Q728" i="1" s="1"/>
  <c r="Q727" i="1" a="1"/>
  <c r="Q727" i="1" s="1"/>
  <c r="Q725" i="1" a="1"/>
  <c r="Q725" i="1" s="1"/>
  <c r="Q723" i="1" a="1"/>
  <c r="Q723" i="1" s="1"/>
  <c r="Q762" i="1" a="1"/>
  <c r="Q762" i="1" s="1"/>
  <c r="Q742" i="1" a="1"/>
  <c r="Q742" i="1" s="1"/>
  <c r="Q743" i="1" a="1"/>
  <c r="Q743" i="1" s="1"/>
  <c r="Q744" i="1" a="1"/>
  <c r="Q744" i="1" s="1"/>
  <c r="Q730" i="1" a="1"/>
  <c r="Q730" i="1" s="1"/>
  <c r="Q731" i="1" a="1"/>
  <c r="Q731" i="1" s="1"/>
  <c r="Q750" i="1" a="1"/>
  <c r="Q750" i="1" s="1"/>
  <c r="Q746" i="1" a="1"/>
  <c r="Q746" i="1" s="1"/>
  <c r="Q751" i="1" a="1"/>
  <c r="Q751" i="1" s="1"/>
  <c r="Q745" i="1" a="1"/>
  <c r="Q745" i="1" s="1"/>
  <c r="Q749" i="1" a="1"/>
  <c r="Q749" i="1" s="1"/>
  <c r="Q752" i="1" a="1"/>
  <c r="Q752" i="1" s="1"/>
  <c r="Q747" i="1" a="1"/>
  <c r="Q747" i="1" s="1"/>
  <c r="Q704" i="1" a="1"/>
  <c r="Q704" i="1" s="1"/>
  <c r="Q703" i="1" a="1"/>
  <c r="Q703" i="1" s="1"/>
  <c r="Q702" i="1" a="1"/>
  <c r="Q702" i="1" s="1"/>
  <c r="Q705" i="1" a="1"/>
  <c r="Q705" i="1" s="1"/>
  <c r="Q701" i="1" a="1"/>
  <c r="Q701" i="1" s="1"/>
  <c r="Q706" i="1" a="1"/>
  <c r="Q706" i="1" s="1"/>
  <c r="Q767" i="1" a="1"/>
  <c r="Q767" i="1" s="1"/>
  <c r="Q708" i="1" a="1"/>
  <c r="Q708" i="1" s="1"/>
  <c r="Q768" i="1" a="1"/>
  <c r="Q768" i="1" s="1"/>
  <c r="Q764" i="1" a="1"/>
  <c r="Q764" i="1" s="1"/>
  <c r="Q780" i="1" a="1"/>
  <c r="Q780" i="1" s="1"/>
  <c r="Q779" i="1" a="1"/>
  <c r="Q779" i="1" s="1"/>
  <c r="Q778" i="1" a="1"/>
  <c r="Q778" i="1" s="1"/>
  <c r="Q757" i="1" a="1"/>
  <c r="Q757" i="1" s="1"/>
  <c r="Q756" i="1" a="1"/>
  <c r="Q756" i="1" s="1"/>
  <c r="Q741" i="1" a="1"/>
  <c r="Q741" i="1" s="1"/>
  <c r="Q734" i="1" a="1"/>
  <c r="Q734" i="1" s="1"/>
  <c r="Q732" i="1" a="1"/>
  <c r="Q732" i="1" s="1"/>
  <c r="Q735" i="1" a="1"/>
  <c r="Q735" i="1" s="1"/>
  <c r="Q710" i="1" a="1"/>
  <c r="Q710" i="1" s="1"/>
  <c r="Q761" i="1" a="1"/>
  <c r="Q761" i="1" s="1"/>
  <c r="Q775" i="1" a="1"/>
  <c r="Q775" i="1" s="1"/>
  <c r="Q774" i="1" a="1"/>
  <c r="Q774" i="1" s="1"/>
  <c r="Q769" i="1" a="1"/>
  <c r="Q769" i="1" s="1"/>
  <c r="Q773" i="1" a="1"/>
  <c r="Q773" i="1" s="1"/>
  <c r="Q772" i="1" a="1"/>
  <c r="Q772" i="1" s="1"/>
  <c r="Q770" i="1" a="1"/>
  <c r="Q770" i="1" s="1"/>
  <c r="Q771" i="1" a="1"/>
  <c r="Q771" i="1" s="1"/>
  <c r="Q783" i="1" a="1"/>
  <c r="Q783" i="1" s="1"/>
  <c r="Q784" i="1" a="1"/>
  <c r="Q784" i="1" s="1"/>
  <c r="Q782" i="1" a="1"/>
  <c r="Q782" i="1" s="1"/>
  <c r="Q781" i="1" a="1"/>
  <c r="Q781" i="1" s="1"/>
  <c r="Q765" i="1" a="1"/>
  <c r="Q765" i="1" s="1"/>
  <c r="Q709" i="1" a="1"/>
  <c r="Q709" i="1" s="1"/>
  <c r="Q789" i="1" a="1"/>
  <c r="Q789" i="1" s="1"/>
  <c r="Q788" i="1" a="1"/>
  <c r="Q788" i="1" s="1"/>
  <c r="Q790" i="1" a="1"/>
  <c r="Q790" i="1" s="1"/>
  <c r="Q787" i="1" a="1"/>
  <c r="Q787" i="1" s="1"/>
  <c r="Q785" i="1" a="1"/>
  <c r="Q785" i="1" s="1"/>
  <c r="Q786" i="1" a="1"/>
  <c r="Q786" i="1" s="1"/>
  <c r="Q760" i="1" a="1"/>
  <c r="Q760" i="1" s="1"/>
  <c r="Q776" i="1" a="1"/>
  <c r="Q776" i="1" s="1"/>
  <c r="Q759" i="1" a="1"/>
  <c r="Q759" i="1" s="1"/>
  <c r="Q758" i="1" a="1"/>
  <c r="Q758" i="1" s="1"/>
  <c r="Q753" i="1" a="1"/>
  <c r="Q753" i="1" s="1"/>
  <c r="Q754" i="1" a="1"/>
  <c r="Q754" i="1" s="1"/>
  <c r="Q700" i="1" a="1"/>
  <c r="Q700" i="1" s="1"/>
  <c r="Q766" i="1" a="1"/>
  <c r="Q766" i="1" s="1"/>
  <c r="Q791" i="1" a="1"/>
  <c r="Q791" i="1" s="1"/>
  <c r="Q736" i="1" a="1"/>
  <c r="Q736" i="1" s="1"/>
  <c r="Q738" i="1" a="1"/>
  <c r="Q738" i="1" s="1"/>
  <c r="Q733" i="1" a="1"/>
  <c r="Q733" i="1" s="1"/>
  <c r="Q739" i="1" a="1"/>
  <c r="Q739" i="1" s="1"/>
  <c r="Q740" i="1" a="1"/>
  <c r="Q740" i="1" s="1"/>
  <c r="Q737" i="1" a="1"/>
  <c r="Q737" i="1" s="1"/>
  <c r="Q707" i="1" a="1"/>
  <c r="Q707" i="1" s="1"/>
  <c r="Q777" i="1" a="1"/>
  <c r="Q777" i="1" s="1"/>
  <c r="Q755" i="1" a="1"/>
  <c r="Q755" i="1" s="1"/>
  <c r="Q763" i="1" a="1"/>
  <c r="Q763" i="1" s="1"/>
  <c r="Q748" i="1" a="1"/>
  <c r="Q748" i="1" s="1"/>
  <c r="Q814" i="1" a="1"/>
  <c r="Q814" i="1" s="1"/>
  <c r="Q810" i="1" a="1"/>
  <c r="Q810" i="1" s="1"/>
  <c r="Q813" i="1" a="1"/>
  <c r="Q813" i="1" s="1"/>
  <c r="Q811" i="1" a="1"/>
  <c r="Q811" i="1" s="1"/>
  <c r="Q802" i="1" a="1"/>
  <c r="Q802" i="1" s="1"/>
  <c r="Q794" i="1" a="1"/>
  <c r="Q794" i="1" s="1"/>
  <c r="Q797" i="1" a="1"/>
  <c r="Q797" i="1" s="1"/>
  <c r="Q799" i="1" a="1"/>
  <c r="Q799" i="1" s="1"/>
  <c r="Q801" i="1" a="1"/>
  <c r="Q801" i="1" s="1"/>
  <c r="Q819" i="1" a="1"/>
  <c r="Q819" i="1" s="1"/>
  <c r="Q820" i="1" a="1"/>
  <c r="Q820" i="1" s="1"/>
  <c r="Q822" i="1" a="1"/>
  <c r="Q822" i="1" s="1"/>
  <c r="Q818" i="1" a="1"/>
  <c r="Q818" i="1" s="1"/>
  <c r="Q821" i="1" a="1"/>
  <c r="Q821" i="1" s="1"/>
  <c r="Q832" i="1" a="1"/>
  <c r="Q832" i="1" s="1"/>
  <c r="Q841" i="1" a="1"/>
  <c r="Q841" i="1" s="1"/>
  <c r="Q835" i="1" a="1"/>
  <c r="Q835" i="1" s="1"/>
  <c r="Q823" i="1" a="1"/>
  <c r="Q823" i="1" s="1"/>
  <c r="Q824" i="1" a="1"/>
  <c r="Q824" i="1" s="1"/>
  <c r="Q825" i="1" a="1"/>
  <c r="Q825" i="1" s="1"/>
  <c r="Q827" i="1" a="1"/>
  <c r="Q827" i="1" s="1"/>
  <c r="Q828" i="1" a="1"/>
  <c r="Q828" i="1" s="1"/>
  <c r="Q842" i="1" a="1"/>
  <c r="Q842" i="1" s="1"/>
  <c r="Q836" i="1" a="1"/>
  <c r="Q836" i="1" s="1"/>
  <c r="Q837" i="1" a="1"/>
  <c r="Q837" i="1" s="1"/>
  <c r="Q838" i="1" a="1"/>
  <c r="Q838" i="1" s="1"/>
  <c r="Q840" i="1" a="1"/>
  <c r="Q840" i="1" s="1"/>
  <c r="Q839" i="1" a="1"/>
  <c r="Q839" i="1" s="1"/>
  <c r="Q804" i="1" a="1"/>
  <c r="Q804" i="1" s="1"/>
  <c r="Q803" i="1" a="1"/>
  <c r="Q803" i="1" s="1"/>
  <c r="Q826" i="1" a="1"/>
  <c r="Q826" i="1" s="1"/>
  <c r="Q798" i="1" a="1"/>
  <c r="Q798" i="1" s="1"/>
  <c r="Q793" i="1" a="1"/>
  <c r="Q793" i="1" s="1"/>
  <c r="Q796" i="1" a="1"/>
  <c r="Q796" i="1" s="1"/>
  <c r="Q808" i="1" a="1"/>
  <c r="Q808" i="1" s="1"/>
  <c r="Q805" i="1" a="1"/>
  <c r="Q805" i="1" s="1"/>
  <c r="Q833" i="1" a="1"/>
  <c r="Q833" i="1" s="1"/>
  <c r="Q834" i="1" a="1"/>
  <c r="Q834" i="1" s="1"/>
  <c r="Q829" i="1" a="1"/>
  <c r="Q829" i="1" s="1"/>
  <c r="Q830" i="1" a="1"/>
  <c r="Q830" i="1" s="1"/>
  <c r="Q831" i="1" a="1"/>
  <c r="Q831" i="1" s="1"/>
  <c r="Q843" i="1" a="1"/>
  <c r="Q843" i="1" s="1"/>
  <c r="Q792" i="1" a="1"/>
  <c r="Q792" i="1" s="1"/>
  <c r="Q800" i="1" a="1"/>
  <c r="Q800" i="1" s="1"/>
  <c r="Q795" i="1" a="1"/>
  <c r="Q795" i="1" s="1"/>
  <c r="Q844" i="1" a="1"/>
  <c r="Q844" i="1" s="1"/>
  <c r="Q812" i="1" a="1"/>
  <c r="Q812" i="1" s="1"/>
  <c r="Q815" i="1" a="1"/>
  <c r="Q815" i="1" s="1"/>
  <c r="Q809" i="1" a="1"/>
  <c r="Q809" i="1" s="1"/>
  <c r="Q816" i="1" a="1"/>
  <c r="Q816" i="1" s="1"/>
  <c r="Q817" i="1" a="1"/>
  <c r="Q817" i="1" s="1"/>
  <c r="Q806" i="1" a="1"/>
  <c r="Q806" i="1" s="1"/>
  <c r="Q807" i="1" a="1"/>
  <c r="Q807" i="1" s="1"/>
  <c r="Q846" i="1" a="1"/>
  <c r="Q846" i="1" s="1"/>
  <c r="Q845" i="1" a="1"/>
  <c r="Q845" i="1" s="1"/>
  <c r="Q852" i="1" a="1"/>
  <c r="Q852" i="1" s="1"/>
  <c r="Q851" i="1" a="1"/>
  <c r="Q851" i="1" s="1"/>
  <c r="Q854" i="1" a="1"/>
  <c r="Q854" i="1" s="1"/>
  <c r="Q850" i="1" a="1"/>
  <c r="Q850" i="1" s="1"/>
  <c r="Q853" i="1" a="1"/>
  <c r="Q853" i="1" s="1"/>
  <c r="Q858" i="1" a="1"/>
  <c r="Q858" i="1" s="1"/>
  <c r="Q856" i="1" a="1"/>
  <c r="Q856" i="1" s="1"/>
  <c r="Q855" i="1" a="1"/>
  <c r="Q855" i="1" s="1"/>
  <c r="Q857" i="1" a="1"/>
  <c r="Q857" i="1" s="1"/>
  <c r="Q849" i="1" a="1"/>
  <c r="Q849" i="1" s="1"/>
  <c r="Q847" i="1" a="1"/>
  <c r="Q847" i="1" s="1"/>
  <c r="Q848" i="1" a="1"/>
  <c r="Q848" i="1" s="1"/>
  <c r="Q862" i="1" a="1"/>
  <c r="Q862" i="1" s="1"/>
  <c r="Q877" i="1" a="1"/>
  <c r="Q877" i="1" s="1"/>
  <c r="Q913" i="1" a="1"/>
  <c r="Q913" i="1" s="1"/>
  <c r="Q909" i="1" a="1"/>
  <c r="Q909" i="1" s="1"/>
  <c r="Q910" i="1" a="1"/>
  <c r="Q910" i="1" s="1"/>
  <c r="Q907" i="1" a="1"/>
  <c r="Q907" i="1" s="1"/>
  <c r="Q875" i="1" a="1"/>
  <c r="Q875" i="1" s="1"/>
  <c r="Q874" i="1" a="1"/>
  <c r="Q874" i="1" s="1"/>
  <c r="Q908" i="1" a="1"/>
  <c r="Q908" i="1" s="1"/>
  <c r="Q914" i="1" a="1"/>
  <c r="Q914" i="1" s="1"/>
  <c r="Q863" i="1" a="1"/>
  <c r="Q863" i="1" s="1"/>
  <c r="Q864" i="1" a="1"/>
  <c r="Q864" i="1" s="1"/>
  <c r="Q886" i="1" a="1"/>
  <c r="Q886" i="1" s="1"/>
  <c r="Q885" i="1" a="1"/>
  <c r="Q885" i="1" s="1"/>
  <c r="Q893" i="1" a="1"/>
  <c r="Q893" i="1" s="1"/>
  <c r="Q911" i="1" a="1"/>
  <c r="Q911" i="1" s="1"/>
  <c r="Q901" i="1" a="1"/>
  <c r="Q901" i="1" s="1"/>
  <c r="Q902" i="1" a="1"/>
  <c r="Q902" i="1" s="1"/>
  <c r="Q900" i="1" a="1"/>
  <c r="Q900" i="1" s="1"/>
  <c r="Q903" i="1" a="1"/>
  <c r="Q903" i="1" s="1"/>
  <c r="Q904" i="1" a="1"/>
  <c r="Q904" i="1" s="1"/>
  <c r="Q905" i="1" a="1"/>
  <c r="Q905" i="1" s="1"/>
  <c r="Q897" i="1" a="1"/>
  <c r="Q897" i="1" s="1"/>
  <c r="Q895" i="1" a="1"/>
  <c r="Q895" i="1" s="1"/>
  <c r="Q896" i="1" a="1"/>
  <c r="Q896" i="1" s="1"/>
  <c r="Q879" i="1" a="1"/>
  <c r="Q879" i="1" s="1"/>
  <c r="Q898" i="1" a="1"/>
  <c r="Q898" i="1" s="1"/>
  <c r="Q859" i="1" a="1"/>
  <c r="Q859" i="1" s="1"/>
  <c r="Q899" i="1" a="1"/>
  <c r="Q899" i="1" s="1"/>
  <c r="Q865" i="1" a="1"/>
  <c r="Q865" i="1" s="1"/>
  <c r="Q916" i="1" a="1"/>
  <c r="Q916" i="1" s="1"/>
  <c r="Q880" i="1" a="1"/>
  <c r="Q880" i="1" s="1"/>
  <c r="Q891" i="1" a="1"/>
  <c r="Q891" i="1" s="1"/>
  <c r="Q860" i="1" a="1"/>
  <c r="Q860" i="1" s="1"/>
  <c r="Q861" i="1" a="1"/>
  <c r="Q861" i="1" s="1"/>
  <c r="Q915" i="1" a="1"/>
  <c r="Q915" i="1" s="1"/>
  <c r="Q917" i="1" a="1"/>
  <c r="Q917" i="1" s="1"/>
  <c r="Q867" i="1" a="1"/>
  <c r="Q867" i="1" s="1"/>
  <c r="Q871" i="1" a="1"/>
  <c r="Q871" i="1" s="1"/>
  <c r="Q868" i="1" a="1"/>
  <c r="Q868" i="1" s="1"/>
  <c r="Q892" i="1" a="1"/>
  <c r="Q892" i="1" s="1"/>
  <c r="Q887" i="1" a="1"/>
  <c r="Q887" i="1" s="1"/>
  <c r="Q888" i="1" a="1"/>
  <c r="Q888" i="1" s="1"/>
  <c r="Q889" i="1" a="1"/>
  <c r="Q889" i="1" s="1"/>
  <c r="Q890" i="1" a="1"/>
  <c r="Q890" i="1" s="1"/>
  <c r="Q881" i="1" a="1"/>
  <c r="Q881" i="1" s="1"/>
  <c r="Q882" i="1" a="1"/>
  <c r="Q882" i="1" s="1"/>
  <c r="Q883" i="1" a="1"/>
  <c r="Q883" i="1" s="1"/>
  <c r="Q884" i="1" a="1"/>
  <c r="Q884" i="1" s="1"/>
  <c r="Q876" i="1" a="1"/>
  <c r="Q876" i="1" s="1"/>
  <c r="Q894" i="1" a="1"/>
  <c r="Q894" i="1" s="1"/>
  <c r="Q1016" i="1" a="1"/>
  <c r="Q1016" i="1" s="1"/>
  <c r="Q1014" i="1" a="1"/>
  <c r="Q1014" i="1" s="1"/>
  <c r="Q1015" i="1" a="1"/>
  <c r="Q1015" i="1" s="1"/>
  <c r="Q920" i="1" a="1"/>
  <c r="Q920" i="1" s="1"/>
  <c r="Q921" i="1" a="1"/>
  <c r="Q921" i="1" s="1"/>
  <c r="Q1009" i="1" a="1"/>
  <c r="Q1009" i="1" s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 s="1"/>
  <c r="Q1005" i="1" a="1"/>
  <c r="Q1005" i="1" s="1"/>
  <c r="Q1003" i="1" a="1"/>
  <c r="Q1003" i="1" s="1"/>
  <c r="Q1001" i="1" a="1"/>
  <c r="Q1001" i="1" s="1"/>
  <c r="Q1002" i="1" a="1"/>
  <c r="Q1002" i="1" s="1"/>
  <c r="Q928" i="1" a="1"/>
  <c r="Q928" i="1" s="1"/>
  <c r="Q955" i="1" a="1"/>
  <c r="Q955" i="1" s="1"/>
  <c r="Q963" i="1" a="1"/>
  <c r="Q963" i="1" s="1"/>
  <c r="Q972" i="1" a="1"/>
  <c r="Q972" i="1" s="1"/>
  <c r="Q959" i="1" a="1"/>
  <c r="Q959" i="1" s="1"/>
  <c r="Q960" i="1" a="1"/>
  <c r="Q960" i="1" s="1"/>
  <c r="Q969" i="1" a="1"/>
  <c r="Q969" i="1" s="1"/>
  <c r="Q965" i="1" a="1"/>
  <c r="Q965" i="1" s="1"/>
  <c r="Q970" i="1" a="1"/>
  <c r="Q970" i="1" s="1"/>
  <c r="Q994" i="1" a="1"/>
  <c r="Q994" i="1" s="1"/>
  <c r="Q1004" i="1" a="1"/>
  <c r="Q1004" i="1" s="1"/>
  <c r="Q1000" i="1" a="1"/>
  <c r="Q1000" i="1" s="1"/>
  <c r="Q982" i="1" a="1"/>
  <c r="Q982" i="1" s="1"/>
  <c r="Q981" i="1" a="1"/>
  <c r="Q981" i="1" s="1"/>
  <c r="Q990" i="1" a="1"/>
  <c r="Q990" i="1" s="1"/>
  <c r="Q989" i="1" a="1"/>
  <c r="Q989" i="1" s="1"/>
  <c r="Q985" i="1" a="1"/>
  <c r="Q985" i="1" s="1"/>
  <c r="Q992" i="1" a="1"/>
  <c r="Q992" i="1" s="1"/>
  <c r="Q984" i="1" a="1"/>
  <c r="Q984" i="1" s="1"/>
  <c r="Q986" i="1" a="1"/>
  <c r="Q986" i="1" s="1"/>
  <c r="Q983" i="1" a="1"/>
  <c r="Q983" i="1" s="1"/>
  <c r="Q991" i="1" a="1"/>
  <c r="Q991" i="1" s="1"/>
  <c r="Q988" i="1" a="1"/>
  <c r="Q988" i="1" s="1"/>
  <c r="Q987" i="1" a="1"/>
  <c r="Q987" i="1" s="1"/>
  <c r="Q1011" i="1" a="1"/>
  <c r="Q1011" i="1" s="1"/>
  <c r="Q950" i="1" a="1"/>
  <c r="Q950" i="1" s="1"/>
  <c r="Q1024" i="1" a="1"/>
  <c r="Q1024" i="1" s="1"/>
  <c r="Q999" i="1" a="1"/>
  <c r="Q999" i="1" s="1"/>
  <c r="Q998" i="1" a="1"/>
  <c r="Q998" i="1" s="1"/>
  <c r="Q997" i="1" a="1"/>
  <c r="Q997" i="1" s="1"/>
  <c r="Q1029" i="1" a="1"/>
  <c r="Q1029" i="1" s="1"/>
  <c r="Q1027" i="1" a="1"/>
  <c r="Q1027" i="1" s="1"/>
  <c r="Q1028" i="1" a="1"/>
  <c r="Q1028" i="1" s="1"/>
  <c r="Q932" i="1" a="1"/>
  <c r="Q932" i="1" s="1"/>
  <c r="Q931" i="1" a="1"/>
  <c r="Q931" i="1" s="1"/>
  <c r="Q933" i="1" a="1"/>
  <c r="Q933" i="1" s="1"/>
  <c r="Q929" i="1" a="1"/>
  <c r="Q929" i="1" s="1"/>
  <c r="Q930" i="1" a="1"/>
  <c r="Q930" i="1" s="1"/>
  <c r="Q934" i="1" a="1"/>
  <c r="Q934" i="1" s="1"/>
  <c r="Q957" i="1" a="1"/>
  <c r="Q957" i="1" s="1"/>
  <c r="Q973" i="1" a="1"/>
  <c r="Q973" i="1" s="1"/>
  <c r="Q966" i="1" a="1"/>
  <c r="Q966" i="1" s="1"/>
  <c r="Q967" i="1" a="1"/>
  <c r="Q967" i="1" s="1"/>
  <c r="Q956" i="1" a="1"/>
  <c r="Q956" i="1" s="1"/>
  <c r="Q974" i="1" a="1"/>
  <c r="Q974" i="1" s="1"/>
  <c r="Q975" i="1" a="1"/>
  <c r="Q975" i="1" s="1"/>
  <c r="Q961" i="1" a="1"/>
  <c r="Q961" i="1" s="1"/>
  <c r="Q962" i="1" a="1"/>
  <c r="Q962" i="1" s="1"/>
  <c r="Q971" i="1" a="1"/>
  <c r="Q971" i="1" s="1"/>
  <c r="Q958" i="1" a="1"/>
  <c r="Q958" i="1" s="1"/>
  <c r="Q979" i="1" a="1"/>
  <c r="Q979" i="1" s="1"/>
  <c r="Q978" i="1" a="1"/>
  <c r="Q978" i="1" s="1"/>
  <c r="Q976" i="1" a="1"/>
  <c r="Q976" i="1" s="1"/>
  <c r="Q964" i="1" a="1"/>
  <c r="Q964" i="1" s="1"/>
  <c r="Q980" i="1" a="1"/>
  <c r="Q980" i="1" s="1"/>
  <c r="Q977" i="1" a="1"/>
  <c r="Q977" i="1" s="1"/>
  <c r="Q968" i="1" a="1"/>
  <c r="Q968" i="1" s="1"/>
  <c r="Q1026" i="1" a="1"/>
  <c r="Q1026" i="1" s="1"/>
  <c r="Q1008" i="1" a="1"/>
  <c r="Q1008" i="1" s="1"/>
  <c r="Q918" i="1" a="1"/>
  <c r="Q918" i="1" s="1"/>
  <c r="Q919" i="1" a="1"/>
  <c r="Q919" i="1" s="1"/>
  <c r="Q1010" i="1" a="1"/>
  <c r="Q1010" i="1" s="1"/>
  <c r="Q1013" i="1" a="1"/>
  <c r="Q1013" i="1" s="1"/>
  <c r="Q1019" i="1" a="1"/>
  <c r="Q1019" i="1" s="1"/>
  <c r="Q952" i="1" a="1"/>
  <c r="Q952" i="1" s="1"/>
  <c r="Q951" i="1" a="1"/>
  <c r="Q951" i="1" s="1"/>
  <c r="Q1025" i="1" a="1"/>
  <c r="Q1025" i="1" s="1"/>
  <c r="Q940" i="1" a="1"/>
  <c r="Q940" i="1" s="1"/>
  <c r="Q939" i="1" a="1"/>
  <c r="Q939" i="1" s="1"/>
  <c r="Q937" i="1" a="1"/>
  <c r="Q937" i="1" s="1"/>
  <c r="Q938" i="1" a="1"/>
  <c r="Q938" i="1" s="1"/>
  <c r="Q936" i="1" a="1"/>
  <c r="Q936" i="1" s="1"/>
  <c r="Q935" i="1" a="1"/>
  <c r="Q935" i="1" s="1"/>
  <c r="Q941" i="1" a="1"/>
  <c r="Q941" i="1" s="1"/>
  <c r="Q1018" i="1" a="1"/>
  <c r="Q1018" i="1" s="1"/>
  <c r="Q1017" i="1" a="1"/>
  <c r="Q1017" i="1" s="1"/>
  <c r="Q1021" i="1" a="1"/>
  <c r="Q1021" i="1" s="1"/>
  <c r="Q1022" i="1" a="1"/>
  <c r="Q1022" i="1" s="1"/>
  <c r="Q1023" i="1" a="1"/>
  <c r="Q1023" i="1" s="1"/>
  <c r="Q1020" i="1" a="1"/>
  <c r="Q1020" i="1" s="1"/>
  <c r="Q996" i="1" a="1"/>
  <c r="Q996" i="1" s="1"/>
  <c r="Q1012" i="1" a="1"/>
  <c r="Q1012" i="1" s="1"/>
  <c r="Q954" i="1" a="1"/>
  <c r="Q954" i="1" s="1"/>
  <c r="Q953" i="1" a="1"/>
  <c r="Q953" i="1" s="1"/>
  <c r="Q995" i="1" a="1"/>
  <c r="Q995" i="1" s="1"/>
  <c r="Q1006" i="1" a="1"/>
  <c r="Q1006" i="1" s="1"/>
  <c r="Q1007" i="1" a="1"/>
  <c r="Q1007" i="1" s="1"/>
  <c r="Q949" i="1" a="1"/>
  <c r="Q949" i="1" s="1"/>
  <c r="Q943" i="1" a="1"/>
  <c r="Q943" i="1" s="1"/>
  <c r="Q993" i="1" a="1"/>
  <c r="Q993" i="1" s="1"/>
  <c r="Q946" i="1" a="1"/>
  <c r="Q946" i="1" s="1"/>
  <c r="Q945" i="1" a="1"/>
  <c r="Q945" i="1" s="1"/>
  <c r="Q947" i="1" a="1"/>
  <c r="Q947" i="1" s="1"/>
  <c r="Q944" i="1" a="1"/>
  <c r="Q944" i="1" s="1"/>
  <c r="Q942" i="1" a="1"/>
  <c r="Q942" i="1" s="1"/>
  <c r="Q948" i="1" a="1"/>
  <c r="Q948" i="1" s="1"/>
  <c r="Q1084" i="1" a="1"/>
  <c r="Q1084" i="1" s="1"/>
  <c r="Q1088" i="1" a="1"/>
  <c r="Q1088" i="1" s="1"/>
  <c r="Q1096" i="1" a="1"/>
  <c r="Q1096" i="1" s="1"/>
  <c r="Q1091" i="1" a="1"/>
  <c r="Q1091" i="1" s="1"/>
  <c r="Q1095" i="1" a="1"/>
  <c r="Q1095" i="1" s="1"/>
  <c r="Q1092" i="1" a="1"/>
  <c r="Q1092" i="1" s="1"/>
  <c r="Q1093" i="1" a="1"/>
  <c r="Q1093" i="1" s="1"/>
  <c r="Q1090" i="1" a="1"/>
  <c r="Q1090" i="1" s="1"/>
  <c r="Q1089" i="1" a="1"/>
  <c r="Q1089" i="1" s="1"/>
  <c r="Q1094" i="1" a="1"/>
  <c r="Q1094" i="1" s="1"/>
  <c r="Q1066" i="1" a="1"/>
  <c r="Q1066" i="1" s="1"/>
  <c r="Q1072" i="1" a="1"/>
  <c r="Q1072" i="1" s="1"/>
  <c r="Q1073" i="1" a="1"/>
  <c r="Q1073" i="1" s="1"/>
  <c r="Q1069" i="1" a="1"/>
  <c r="Q1069" i="1" s="1"/>
  <c r="Q1077" i="1" a="1"/>
  <c r="Q1077" i="1" s="1"/>
  <c r="Q1076" i="1" a="1"/>
  <c r="Q1076" i="1" s="1"/>
  <c r="Q1071" i="1" a="1"/>
  <c r="Q1071" i="1" s="1"/>
  <c r="Q1074" i="1" a="1"/>
  <c r="Q1074" i="1" s="1"/>
  <c r="Q1067" i="1" a="1"/>
  <c r="Q1067" i="1" s="1"/>
  <c r="Q1065" i="1" a="1"/>
  <c r="Q1065" i="1" s="1"/>
  <c r="Q1060" i="1" a="1"/>
  <c r="Q1060" i="1" s="1"/>
  <c r="Q1059" i="1" a="1"/>
  <c r="Q1059" i="1" s="1"/>
  <c r="Q1062" i="1" a="1"/>
  <c r="Q1062" i="1" s="1"/>
  <c r="Q1075" i="1" a="1"/>
  <c r="Q1075" i="1" s="1"/>
  <c r="Q1070" i="1" a="1"/>
  <c r="Q1070" i="1" s="1"/>
  <c r="Q1068" i="1" a="1"/>
  <c r="Q1068" i="1" s="1"/>
  <c r="Q1063" i="1" a="1"/>
  <c r="Q1063" i="1" s="1"/>
  <c r="Q1064" i="1" a="1"/>
  <c r="Q1064" i="1" s="1"/>
  <c r="Q1061" i="1" a="1"/>
  <c r="Q1061" i="1" s="1"/>
  <c r="Q1055" i="1" a="1"/>
  <c r="Q1055" i="1" s="1"/>
  <c r="Q1058" i="1" a="1"/>
  <c r="Q1058" i="1" s="1"/>
  <c r="Q1056" i="1" a="1"/>
  <c r="Q1056" i="1" s="1"/>
  <c r="Q1057" i="1" a="1"/>
  <c r="Q1057" i="1" s="1"/>
  <c r="Q1053" i="1" a="1"/>
  <c r="Q1053" i="1" s="1"/>
  <c r="Q1052" i="1" a="1"/>
  <c r="Q1052" i="1" s="1"/>
  <c r="Q1054" i="1" a="1"/>
  <c r="Q1054" i="1" s="1"/>
  <c r="Q1080" i="1" a="1"/>
  <c r="Q1080" i="1" s="1"/>
  <c r="Q1083" i="1" a="1"/>
  <c r="Q1083" i="1" s="1"/>
  <c r="Q1078" i="1" a="1"/>
  <c r="Q1078" i="1" s="1"/>
  <c r="Q1079" i="1" a="1"/>
  <c r="Q1079" i="1" s="1"/>
  <c r="Q1087" i="1" a="1"/>
  <c r="Q1087" i="1" s="1"/>
  <c r="Q1081" i="1" a="1"/>
  <c r="Q1081" i="1" s="1"/>
  <c r="Q1082" i="1" a="1"/>
  <c r="Q1082" i="1" s="1"/>
  <c r="Q1050" i="1" a="1"/>
  <c r="Q1050" i="1" s="1"/>
  <c r="Q1051" i="1" a="1"/>
  <c r="Q1051" i="1" s="1"/>
  <c r="Q1097" i="1" a="1"/>
  <c r="Q1097" i="1" s="1"/>
  <c r="Q1086" i="1" a="1"/>
  <c r="Q1086" i="1" s="1"/>
  <c r="Q1085" i="1" a="1"/>
  <c r="Q1085" i="1" s="1"/>
  <c r="Q1048" i="1" a="1"/>
  <c r="Q1048" i="1" s="1"/>
  <c r="Q1049" i="1" a="1"/>
  <c r="Q1049" i="1" s="1"/>
  <c r="Q1098" i="1" a="1"/>
  <c r="Q1098" i="1" s="1"/>
  <c r="Q1105" i="1" a="1"/>
  <c r="Q1105" i="1" s="1"/>
  <c r="Q1104" i="1" a="1"/>
  <c r="Q1104" i="1" s="1"/>
  <c r="Q1102" i="1" a="1"/>
  <c r="Q1102" i="1" s="1"/>
  <c r="Q1103" i="1" a="1"/>
  <c r="Q1103" i="1" s="1"/>
  <c r="Q1099" i="1" a="1"/>
  <c r="Q1099" i="1" s="1"/>
  <c r="Q1101" i="1" a="1"/>
  <c r="Q1101" i="1" s="1"/>
  <c r="Q1100" i="1" a="1"/>
  <c r="Q1100" i="1" s="1"/>
  <c r="Q1045" i="1" a="1"/>
  <c r="Q1045" i="1" s="1"/>
  <c r="Q1044" i="1" a="1"/>
  <c r="Q1044" i="1" s="1"/>
  <c r="Q1043" i="1" a="1"/>
  <c r="Q1043" i="1" s="1"/>
  <c r="Q1040" i="1" a="1"/>
  <c r="Q1040" i="1" s="1"/>
  <c r="Q1042" i="1" a="1"/>
  <c r="Q1042" i="1" s="1"/>
  <c r="Q1041" i="1" a="1"/>
  <c r="Q1041" i="1" s="1"/>
  <c r="Q1039" i="1" a="1"/>
  <c r="Q1039" i="1" s="1"/>
  <c r="Q1046" i="1" a="1"/>
  <c r="Q1046" i="1" s="1"/>
  <c r="Q1047" i="1" a="1"/>
  <c r="Q1047" i="1" s="1"/>
  <c r="Q1035" i="1" a="1"/>
  <c r="Q1035" i="1" s="1"/>
  <c r="Q1037" i="1" a="1"/>
  <c r="Q1037" i="1" s="1"/>
  <c r="Q1030" i="1" a="1"/>
  <c r="Q1030" i="1" s="1"/>
  <c r="Q1036" i="1" a="1"/>
  <c r="Q1036" i="1" s="1"/>
  <c r="Q1031" i="1" a="1"/>
  <c r="Q1031" i="1" s="1"/>
  <c r="Q1032" i="1" a="1"/>
  <c r="Q1032" i="1" s="1"/>
  <c r="Q1033" i="1" a="1"/>
  <c r="Q1033" i="1" s="1"/>
  <c r="Q1034" i="1" a="1"/>
  <c r="Q1034" i="1" s="1"/>
  <c r="Q1038" i="1" a="1"/>
  <c r="Q1038" i="1" s="1"/>
  <c r="Q906" i="1" a="1"/>
  <c r="Q906" i="1" s="1"/>
  <c r="Q912" i="1" a="1"/>
  <c r="Q912" i="1" s="1"/>
  <c r="Q869" i="1" a="1"/>
  <c r="Q869" i="1" s="1"/>
  <c r="Q873" i="1" a="1"/>
  <c r="Q873" i="1" s="1"/>
  <c r="Q870" i="1" a="1"/>
  <c r="Q870" i="1" s="1"/>
  <c r="Q866" i="1" a="1"/>
  <c r="Q866" i="1" s="1"/>
  <c r="Q872" i="1" a="1"/>
  <c r="Q872" i="1" s="1"/>
  <c r="Q878" i="1" a="1"/>
  <c r="Q878" i="1" s="1"/>
  <c r="Q1114" i="1" a="1"/>
  <c r="Q1114" i="1" s="1"/>
  <c r="Q1128" i="1" a="1"/>
  <c r="Q1128" i="1" s="1"/>
  <c r="Q1124" i="1" a="1"/>
  <c r="Q1124" i="1" s="1"/>
  <c r="Q1125" i="1" a="1"/>
  <c r="Q1125" i="1" s="1"/>
  <c r="Q1126" i="1" a="1"/>
  <c r="Q1126" i="1" s="1"/>
  <c r="Q1127" i="1" a="1"/>
  <c r="Q1127" i="1" s="1"/>
  <c r="Q1153" i="1" a="1"/>
  <c r="Q1153" i="1" s="1"/>
  <c r="Q1149" i="1" a="1"/>
  <c r="Q1149" i="1" s="1"/>
  <c r="Q1113" i="1" a="1"/>
  <c r="Q1113" i="1" s="1"/>
  <c r="Q1151" i="1" a="1"/>
  <c r="Q1151" i="1" s="1"/>
  <c r="Q1150" i="1" a="1"/>
  <c r="Q1150" i="1" s="1"/>
  <c r="Q1148" i="1" a="1"/>
  <c r="Q1148" i="1" s="1"/>
  <c r="Q1161" i="1" a="1"/>
  <c r="Q1161" i="1" s="1"/>
  <c r="Q1163" i="1" a="1"/>
  <c r="Q1163" i="1" s="1"/>
  <c r="Q1107" i="1" a="1"/>
  <c r="Q1107" i="1" s="1"/>
  <c r="Q1109" i="1" a="1"/>
  <c r="Q1109" i="1" s="1"/>
  <c r="Q1108" i="1" a="1"/>
  <c r="Q1108" i="1" s="1"/>
  <c r="Q1111" i="1" a="1"/>
  <c r="Q1111" i="1" s="1"/>
  <c r="Q1110" i="1" a="1"/>
  <c r="Q1110" i="1" s="1"/>
  <c r="Q1106" i="1" a="1"/>
  <c r="Q1106" i="1" s="1"/>
  <c r="Q1129" i="1" a="1"/>
  <c r="Q1129" i="1" s="1"/>
  <c r="Q1123" i="1" a="1"/>
  <c r="Q1123" i="1" s="1"/>
  <c r="Q1152" i="1" a="1"/>
  <c r="Q1152" i="1" s="1"/>
  <c r="Q1145" i="1" a="1"/>
  <c r="Q1145" i="1" s="1"/>
  <c r="Q1146" i="1" a="1"/>
  <c r="Q1146" i="1" s="1"/>
  <c r="Q1147" i="1" a="1"/>
  <c r="Q1147" i="1" s="1"/>
  <c r="Q1144" i="1" a="1"/>
  <c r="Q1144" i="1" s="1"/>
  <c r="Q1116" i="1" a="1"/>
  <c r="Q1116" i="1" s="1"/>
  <c r="Q1119" i="1" a="1"/>
  <c r="Q1119" i="1" s="1"/>
  <c r="Q1112" i="1" a="1"/>
  <c r="Q1112" i="1" s="1"/>
  <c r="Q1130" i="1" a="1"/>
  <c r="Q1130" i="1" s="1"/>
  <c r="Q1164" i="1" a="1"/>
  <c r="Q1164" i="1" s="1"/>
  <c r="Q1121" i="1" a="1"/>
  <c r="Q1121" i="1" s="1"/>
  <c r="Q1117" i="1" a="1"/>
  <c r="Q1117" i="1" s="1"/>
  <c r="Q1122" i="1" a="1"/>
  <c r="Q1122" i="1" s="1"/>
  <c r="Q1120" i="1" a="1"/>
  <c r="Q1120" i="1" s="1"/>
  <c r="Q1118" i="1" a="1"/>
  <c r="Q1118" i="1" s="1"/>
  <c r="Q1143" i="1" a="1"/>
  <c r="Q1143" i="1" s="1"/>
  <c r="Q1137" i="1" a="1"/>
  <c r="Q1137" i="1" s="1"/>
  <c r="Q1139" i="1" a="1"/>
  <c r="Q1139" i="1" s="1"/>
  <c r="Q1141" i="1" a="1"/>
  <c r="Q1141" i="1" s="1"/>
  <c r="Q1138" i="1" a="1"/>
  <c r="Q1138" i="1" s="1"/>
  <c r="Q1142" i="1" a="1"/>
  <c r="Q1142" i="1" s="1"/>
  <c r="Q1136" i="1" a="1"/>
  <c r="Q1136" i="1" s="1"/>
  <c r="Q1140" i="1" a="1"/>
  <c r="Q1140" i="1" s="1"/>
  <c r="Q1166" i="1" a="1"/>
  <c r="Q1166" i="1" s="1"/>
  <c r="Q1165" i="1" a="1"/>
  <c r="Q1165" i="1" s="1"/>
  <c r="Q1167" i="1" a="1"/>
  <c r="Q1167" i="1" s="1"/>
  <c r="Q1135" i="1" a="1"/>
  <c r="Q1135" i="1" s="1"/>
  <c r="Q1134" i="1" a="1"/>
  <c r="Q1134" i="1" s="1"/>
  <c r="Q1131" i="1" a="1"/>
  <c r="Q1131" i="1" s="1"/>
  <c r="Q1132" i="1" a="1"/>
  <c r="Q1132" i="1" s="1"/>
  <c r="Q1133" i="1" a="1"/>
  <c r="Q1133" i="1" s="1"/>
  <c r="Q1155" i="1" a="1"/>
  <c r="Q1155" i="1" s="1"/>
  <c r="Q1156" i="1" a="1"/>
  <c r="Q1156" i="1" s="1"/>
  <c r="Q1157" i="1" a="1"/>
  <c r="Q1157" i="1" s="1"/>
  <c r="Q1158" i="1" a="1"/>
  <c r="Q1158" i="1" s="1"/>
  <c r="Q1160" i="1" a="1"/>
  <c r="Q1160" i="1" s="1"/>
  <c r="Q1159" i="1" a="1"/>
  <c r="Q1159" i="1" s="1"/>
  <c r="Q1154" i="1" a="1"/>
  <c r="Q1154" i="1" s="1"/>
  <c r="Q1162" i="1" a="1"/>
  <c r="Q1162" i="1" s="1"/>
  <c r="Q1115" i="1" a="1"/>
  <c r="Q1115" i="1" s="1"/>
  <c r="Q265" i="1" a="1"/>
  <c r="Q265" i="1" s="1"/>
  <c r="Q1171" i="1" a="1"/>
  <c r="Q1171" i="1" s="1"/>
  <c r="Q1172" i="1" a="1"/>
  <c r="Q1172" i="1" s="1"/>
  <c r="Q1218" i="1" a="1"/>
  <c r="Q1218" i="1" s="1"/>
  <c r="Q1217" i="1" a="1"/>
  <c r="Q1217" i="1" s="1"/>
  <c r="Q1208" i="1" a="1"/>
  <c r="Q1208" i="1" s="1"/>
  <c r="Q1209" i="1" a="1"/>
  <c r="Q1209" i="1" s="1"/>
  <c r="Q1204" i="1" a="1"/>
  <c r="Q1204" i="1" s="1"/>
  <c r="Q1207" i="1" a="1"/>
  <c r="Q1207" i="1" s="1"/>
  <c r="Q1170" i="1" a="1"/>
  <c r="Q1170" i="1" s="1"/>
  <c r="Q1178" i="1" a="1"/>
  <c r="Q1178" i="1" s="1"/>
  <c r="Q1177" i="1" a="1"/>
  <c r="Q1177" i="1" s="1"/>
  <c r="Q1181" i="1" a="1"/>
  <c r="Q1181" i="1" s="1"/>
  <c r="Q1180" i="1" a="1"/>
  <c r="Q1180" i="1" s="1"/>
  <c r="Q1212" i="1" a="1"/>
  <c r="Q1212" i="1" s="1"/>
  <c r="Q1168" i="1" a="1"/>
  <c r="Q1168" i="1" s="1"/>
  <c r="Q1179" i="1" a="1"/>
  <c r="Q1179" i="1" s="1"/>
  <c r="Q1182" i="1" a="1"/>
  <c r="Q1182" i="1" s="1"/>
  <c r="Q278" i="1" a="1"/>
  <c r="Q278" i="1" s="1"/>
  <c r="Q1222" i="1" a="1"/>
  <c r="Q1222" i="1" s="1"/>
  <c r="Q1221" i="1" a="1"/>
  <c r="Q1221" i="1" s="1"/>
  <c r="Q291" i="1" a="1"/>
  <c r="Q291" i="1" s="1"/>
  <c r="Q1205" i="1" a="1"/>
  <c r="Q1205" i="1" s="1"/>
  <c r="Q1185" i="1" a="1"/>
  <c r="Q1185" i="1" s="1"/>
  <c r="Q1203" i="1" a="1"/>
  <c r="Q1203" i="1" s="1"/>
  <c r="Q1223" i="1" a="1"/>
  <c r="Q1223" i="1" s="1"/>
  <c r="Q1202" i="1" a="1"/>
  <c r="Q1202" i="1" s="1"/>
  <c r="Q1224" i="1" a="1"/>
  <c r="Q1224" i="1" s="1"/>
  <c r="Q1210" i="1" a="1"/>
  <c r="Q1210" i="1" s="1"/>
  <c r="Q1216" i="1" a="1"/>
  <c r="Q1216" i="1" s="1"/>
  <c r="Q1211" i="1" a="1"/>
  <c r="Q1211" i="1" s="1"/>
  <c r="Q1174" i="1" a="1"/>
  <c r="Q1174" i="1" s="1"/>
  <c r="Q1175" i="1" a="1"/>
  <c r="Q1175" i="1" s="1"/>
  <c r="Q1176" i="1" a="1"/>
  <c r="Q1176" i="1" s="1"/>
  <c r="Q1215" i="1" a="1"/>
  <c r="Q1215" i="1" s="1"/>
  <c r="Q1196" i="1" a="1"/>
  <c r="Q1196" i="1" s="1"/>
  <c r="Q1197" i="1" a="1"/>
  <c r="Q1197" i="1" s="1"/>
  <c r="Q1206" i="1" a="1"/>
  <c r="Q1206" i="1" s="1"/>
  <c r="Q1195" i="1" a="1"/>
  <c r="Q1195" i="1" s="1"/>
  <c r="Q1169" i="1" a="1"/>
  <c r="Q1169" i="1" s="1"/>
  <c r="Q1213" i="1" a="1"/>
  <c r="Q1213" i="1" s="1"/>
  <c r="Q1214" i="1" a="1"/>
  <c r="Q1214" i="1" s="1"/>
  <c r="Q1173" i="1" a="1"/>
  <c r="Q1173" i="1" s="1"/>
  <c r="Q1189" i="1" a="1"/>
  <c r="Q1189" i="1" s="1"/>
  <c r="Q1183" i="1" a="1"/>
  <c r="Q1183" i="1" s="1"/>
  <c r="Q1200" i="1" a="1"/>
  <c r="Q1200" i="1" s="1"/>
  <c r="Q1187" i="1" a="1"/>
  <c r="Q1187" i="1" s="1"/>
  <c r="Q1199" i="1" a="1"/>
  <c r="Q1199" i="1" s="1"/>
  <c r="Q1201" i="1" a="1"/>
  <c r="Q1201" i="1" s="1"/>
  <c r="Q1198" i="1" a="1"/>
  <c r="Q1198" i="1" s="1"/>
  <c r="Q1193" i="1" a="1"/>
  <c r="Q1193" i="1" s="1"/>
  <c r="Q1192" i="1" a="1"/>
  <c r="Q1192" i="1" s="1"/>
  <c r="Q1184" i="1" a="1"/>
  <c r="Q1184" i="1" s="1"/>
  <c r="Q1194" i="1" a="1"/>
  <c r="Q1194" i="1" s="1"/>
  <c r="Q1190" i="1" a="1"/>
  <c r="Q1190" i="1" s="1"/>
  <c r="Q1243" i="1" a="1"/>
  <c r="Q1243" i="1" s="1"/>
  <c r="Q1242" i="1" a="1"/>
  <c r="Q1242" i="1" s="1"/>
  <c r="Q1245" i="1" a="1"/>
  <c r="Q1245" i="1" s="1"/>
  <c r="Q1244" i="1" a="1"/>
  <c r="Q1244" i="1" s="1"/>
  <c r="Q1186" i="1" a="1"/>
  <c r="Q1186" i="1" s="1"/>
  <c r="Q1250" i="1" a="1"/>
  <c r="Q1250" i="1" s="1"/>
  <c r="Q1252" i="1" a="1"/>
  <c r="Q1252" i="1" s="1"/>
  <c r="Q1258" i="1" a="1"/>
  <c r="Q1258" i="1" s="1"/>
  <c r="Q1253" i="1" a="1"/>
  <c r="Q1253" i="1" s="1"/>
  <c r="Q1257" i="1" a="1"/>
  <c r="Q1257" i="1" s="1"/>
  <c r="Q1259" i="1" a="1"/>
  <c r="Q1259" i="1" s="1"/>
  <c r="Q1256" i="1" a="1"/>
  <c r="Q1256" i="1" s="1"/>
  <c r="Q1255" i="1" a="1"/>
  <c r="Q1255" i="1" s="1"/>
  <c r="Q1254" i="1" a="1"/>
  <c r="Q1254" i="1" s="1"/>
  <c r="Q1251" i="1" a="1"/>
  <c r="Q1251" i="1" s="1"/>
  <c r="Q1249" i="1" a="1"/>
  <c r="Q1249" i="1" s="1"/>
  <c r="Q1231" i="1" a="1"/>
  <c r="Q1231" i="1" s="1"/>
  <c r="Q1235" i="1" a="1"/>
  <c r="Q1235" i="1" s="1"/>
  <c r="Q1229" i="1" a="1"/>
  <c r="Q1229" i="1" s="1"/>
  <c r="Q1230" i="1" a="1"/>
  <c r="Q1230" i="1" s="1"/>
  <c r="Q1188" i="1" a="1"/>
  <c r="Q1188" i="1" s="1"/>
  <c r="Q1227" i="1" a="1"/>
  <c r="Q1227" i="1" s="1"/>
  <c r="Q1246" i="1" a="1"/>
  <c r="Q1246" i="1" s="1"/>
  <c r="Q1232" i="1" a="1"/>
  <c r="Q1232" i="1" s="1"/>
  <c r="Q1234" i="1" a="1"/>
  <c r="Q1234" i="1" s="1"/>
  <c r="Q1236" i="1" a="1"/>
  <c r="Q1236" i="1" s="1"/>
  <c r="Q1191" i="1" a="1"/>
  <c r="Q1191" i="1" s="1"/>
  <c r="Q1225" i="1" a="1"/>
  <c r="Q1225" i="1" s="1"/>
  <c r="Q1241" i="1" a="1"/>
  <c r="Q1241" i="1" s="1"/>
  <c r="Q1237" i="1" a="1"/>
  <c r="Q1237" i="1" s="1"/>
  <c r="Q1238" i="1" a="1"/>
  <c r="Q1238" i="1" s="1"/>
  <c r="Q1239" i="1" a="1"/>
  <c r="Q1239" i="1" s="1"/>
  <c r="Q1247" i="1" a="1"/>
  <c r="Q1247" i="1" s="1"/>
  <c r="Q1248" i="1" a="1"/>
  <c r="Q1248" i="1" s="1"/>
  <c r="Q1219" i="1" a="1"/>
  <c r="Q1219" i="1" s="1"/>
  <c r="Q1228" i="1" a="1"/>
  <c r="Q1228" i="1" s="1"/>
  <c r="Q1262" i="1" a="1"/>
  <c r="Q1262" i="1" s="1"/>
  <c r="Q1265" i="1" a="1"/>
  <c r="Q1265" i="1" s="1"/>
  <c r="Q1264" i="1" a="1"/>
  <c r="Q1264" i="1" s="1"/>
  <c r="Q1263" i="1" a="1"/>
  <c r="Q1263" i="1" s="1"/>
  <c r="Q1268" i="1" a="1"/>
  <c r="Q1268" i="1" s="1"/>
  <c r="Q1226" i="1" a="1"/>
  <c r="Q1226" i="1" s="1"/>
  <c r="Q1270" i="1" a="1"/>
  <c r="Q1270" i="1" s="1"/>
  <c r="Q1274" i="1" a="1"/>
  <c r="Q1274" i="1" s="1"/>
  <c r="Q1276" i="1" a="1"/>
  <c r="Q1276" i="1" s="1"/>
  <c r="Q1277" i="1" a="1"/>
  <c r="Q1277" i="1" s="1"/>
  <c r="Q1278" i="1" a="1"/>
  <c r="Q1278" i="1" s="1"/>
  <c r="Q1279" i="1" a="1"/>
  <c r="Q1279" i="1" s="1"/>
  <c r="Q1280" i="1" a="1"/>
  <c r="Q1280" i="1" s="1"/>
  <c r="Q1275" i="1" a="1"/>
  <c r="Q1275" i="1" s="1"/>
  <c r="Q1269" i="1" a="1"/>
  <c r="Q1269" i="1" s="1"/>
  <c r="Q1261" i="1" a="1"/>
  <c r="Q1261" i="1" s="1"/>
  <c r="Q1260" i="1" a="1"/>
  <c r="Q1260" i="1" s="1"/>
  <c r="Q1267" i="1" a="1"/>
  <c r="Q1267" i="1" s="1"/>
  <c r="Q1273" i="1" a="1"/>
  <c r="Q1273" i="1" s="1"/>
  <c r="Q1266" i="1" a="1"/>
  <c r="Q1266" i="1" s="1"/>
  <c r="Q1289" i="1" a="1"/>
  <c r="Q1289" i="1" s="1"/>
  <c r="Q1291" i="1" a="1"/>
  <c r="Q1291" i="1" s="1"/>
  <c r="Q1287" i="1" a="1"/>
  <c r="Q1287" i="1" s="1"/>
  <c r="Q1288" i="1" a="1"/>
  <c r="Q1288" i="1" s="1"/>
  <c r="Q1285" i="1" a="1"/>
  <c r="Q1285" i="1" s="1"/>
  <c r="Q1284" i="1" a="1"/>
  <c r="Q1284" i="1" s="1"/>
  <c r="Q1281" i="1" a="1"/>
  <c r="Q1281" i="1" s="1"/>
  <c r="Q1283" i="1" a="1"/>
  <c r="Q1283" i="1" s="1"/>
  <c r="Q1282" i="1" a="1"/>
  <c r="Q1282" i="1" s="1"/>
  <c r="Q1286" i="1" a="1"/>
  <c r="Q1286" i="1" s="1"/>
  <c r="Q1290" i="1" a="1"/>
  <c r="Q1290" i="1" s="1"/>
  <c r="Q1307" i="1" a="1"/>
  <c r="Q1307" i="1" s="1"/>
  <c r="Q1271" i="1" a="1"/>
  <c r="Q1271" i="1" s="1"/>
  <c r="Q1292" i="1" a="1"/>
  <c r="Q1292" i="1" s="1"/>
  <c r="Q1303" i="1" a="1"/>
  <c r="Q1303" i="1" s="1"/>
  <c r="Q1306" i="1" a="1"/>
  <c r="Q1306" i="1" s="1"/>
  <c r="Q1301" i="1" a="1"/>
  <c r="Q1301" i="1" s="1"/>
  <c r="Q1299" i="1" a="1"/>
  <c r="Q1299" i="1" s="1"/>
  <c r="Q1300" i="1" a="1"/>
  <c r="Q1300" i="1" s="1"/>
  <c r="Q1308" i="1" a="1"/>
  <c r="Q1308" i="1" s="1"/>
  <c r="Q1310" i="1" a="1"/>
  <c r="Q1310" i="1" s="1"/>
  <c r="Q1305" i="1" a="1"/>
  <c r="Q1305" i="1" s="1"/>
  <c r="Q1293" i="1" a="1"/>
  <c r="Q1293" i="1" s="1"/>
  <c r="Q1294" i="1" a="1"/>
  <c r="Q1294" i="1" s="1"/>
  <c r="Q1304" i="1" a="1"/>
  <c r="Q1304" i="1" s="1"/>
  <c r="Q1302" i="1" a="1"/>
  <c r="Q1302" i="1" s="1"/>
  <c r="Q1309" i="1" a="1"/>
  <c r="Q1309" i="1" s="1"/>
  <c r="Q1296" i="1" a="1"/>
  <c r="Q1296" i="1" s="1"/>
  <c r="Q1297" i="1" a="1"/>
  <c r="Q1297" i="1" s="1"/>
  <c r="Q1298" i="1" a="1"/>
  <c r="Q1298" i="1" s="1"/>
  <c r="Q1323" i="1" a="1"/>
  <c r="Q1323" i="1" s="1"/>
  <c r="Q1327" i="1" a="1"/>
  <c r="Q1327" i="1" s="1"/>
  <c r="Q1326" i="1" a="1"/>
  <c r="Q1326" i="1" s="1"/>
  <c r="Q1325" i="1" a="1"/>
  <c r="Q1325" i="1" s="1"/>
  <c r="Q1312" i="1" a="1"/>
  <c r="Q1312" i="1" s="1"/>
  <c r="Q1313" i="1" a="1"/>
  <c r="Q1313" i="1" s="1"/>
  <c r="Q1311" i="1" a="1"/>
  <c r="Q1311" i="1" s="1"/>
  <c r="Q1316" i="1" a="1"/>
  <c r="Q1316" i="1" s="1"/>
  <c r="Q1318" i="1" a="1"/>
  <c r="Q1318" i="1" s="1"/>
  <c r="Q1320" i="1" a="1"/>
  <c r="Q1320" i="1" s="1"/>
  <c r="Q1315" i="1" a="1"/>
  <c r="Q1315" i="1" s="1"/>
  <c r="Q1317" i="1" a="1"/>
  <c r="Q1317" i="1" s="1"/>
  <c r="Q1324" i="1" a="1"/>
  <c r="Q1324" i="1" s="1"/>
  <c r="Q1314" i="1" a="1"/>
  <c r="Q1314" i="1" s="1"/>
  <c r="Q1322" i="1" a="1"/>
  <c r="Q1322" i="1" s="1"/>
  <c r="Q1321" i="1" a="1"/>
  <c r="Q1321" i="1" s="1"/>
  <c r="Q1319" i="1" a="1"/>
  <c r="Q1319" i="1" s="1"/>
  <c r="Q1331" i="1" a="1"/>
  <c r="Q1331" i="1" s="1"/>
  <c r="Q1345" i="1" a="1"/>
  <c r="Q1345" i="1" s="1"/>
  <c r="Q1344" i="1" a="1"/>
  <c r="Q1344" i="1" s="1"/>
  <c r="Q1336" i="1" a="1"/>
  <c r="Q1336" i="1" s="1"/>
  <c r="Q1332" i="1" a="1"/>
  <c r="Q1332" i="1" s="1"/>
  <c r="Q1334" i="1" a="1"/>
  <c r="Q1334" i="1" s="1"/>
  <c r="Q1333" i="1" a="1"/>
  <c r="Q1333" i="1" s="1"/>
  <c r="Q1335" i="1" a="1"/>
  <c r="Q1335" i="1" s="1"/>
  <c r="Q1347" i="1" a="1"/>
  <c r="Q1347" i="1" s="1"/>
  <c r="Q1349" i="1" a="1"/>
  <c r="Q1349" i="1" s="1"/>
  <c r="Q1348" i="1" a="1"/>
  <c r="Q1348" i="1" s="1"/>
  <c r="Q1328" i="1" a="1"/>
  <c r="Q1328" i="1" s="1"/>
  <c r="Q1343" i="1" a="1"/>
  <c r="Q1343" i="1" s="1"/>
  <c r="Q1340" i="1" a="1"/>
  <c r="Q1340" i="1" s="1"/>
  <c r="Q1341" i="1" a="1"/>
  <c r="Q1341" i="1" s="1"/>
  <c r="Q1337" i="1" a="1"/>
  <c r="Q1337" i="1" s="1"/>
  <c r="Q1338" i="1" a="1"/>
  <c r="Q1338" i="1" s="1"/>
  <c r="Q1339" i="1" a="1"/>
  <c r="Q1339" i="1" s="1"/>
  <c r="Q1329" i="1" a="1"/>
  <c r="Q1329" i="1" s="1"/>
  <c r="Q1342" i="1" a="1"/>
  <c r="Q1342" i="1" s="1"/>
  <c r="Q1346" i="1" a="1"/>
  <c r="Q1346" i="1" s="1"/>
  <c r="Q1330" i="1" a="1"/>
  <c r="Q1330" i="1" s="1"/>
  <c r="Q1356" i="1" a="1"/>
  <c r="Q1356" i="1" s="1"/>
  <c r="Q1357" i="1" a="1"/>
  <c r="Q1357" i="1" s="1"/>
  <c r="Q1358" i="1" a="1"/>
  <c r="Q1358" i="1" s="1"/>
  <c r="Q1365" i="1" a="1"/>
  <c r="Q1365" i="1" s="1"/>
  <c r="Q1364" i="1" a="1"/>
  <c r="Q1364" i="1" s="1"/>
  <c r="Q1367" i="1" a="1"/>
  <c r="Q1367" i="1" s="1"/>
  <c r="Q1363" i="1" a="1"/>
  <c r="Q1363" i="1" s="1"/>
  <c r="Q1368" i="1" a="1"/>
  <c r="Q1368" i="1" s="1"/>
  <c r="Q1366" i="1" a="1"/>
  <c r="Q1366" i="1" s="1"/>
  <c r="Q1355" i="1" a="1"/>
  <c r="Q1355" i="1" s="1"/>
  <c r="Q1354" i="1" a="1"/>
  <c r="Q1354" i="1" s="1"/>
  <c r="Q1374" i="1" a="1"/>
  <c r="Q1374" i="1" s="1"/>
  <c r="Q1373" i="1" a="1"/>
  <c r="Q1373" i="1" s="1"/>
  <c r="Q1369" i="1" a="1"/>
  <c r="Q1369" i="1" s="1"/>
  <c r="Q1372" i="1" a="1"/>
  <c r="Q1372" i="1" s="1"/>
  <c r="Q1371" i="1" a="1"/>
  <c r="Q1371" i="1" s="1"/>
  <c r="Q1370" i="1" a="1"/>
  <c r="Q1370" i="1" s="1"/>
  <c r="Q1360" i="1" a="1"/>
  <c r="Q1360" i="1" s="1"/>
  <c r="Q1359" i="1" a="1"/>
  <c r="Q1359" i="1" s="1"/>
  <c r="Q1352" i="1" a="1"/>
  <c r="Q1352" i="1" s="1"/>
  <c r="Q1353" i="1" a="1"/>
  <c r="Q1353" i="1" s="1"/>
  <c r="Q1362" i="1" a="1"/>
  <c r="Q1362" i="1" s="1"/>
  <c r="Q1350" i="1" a="1"/>
  <c r="Q1350" i="1" s="1"/>
  <c r="Q1361" i="1" a="1"/>
  <c r="Q1361" i="1" s="1"/>
  <c r="Q1351" i="1" a="1"/>
  <c r="Q1351" i="1" s="1"/>
  <c r="Q1375" i="1" a="1"/>
  <c r="Q1375" i="1" s="1"/>
  <c r="Q1376" i="1" a="1"/>
  <c r="Q1376" i="1" s="1"/>
  <c r="Q1377" i="1" a="1"/>
  <c r="Q1377" i="1" s="1"/>
  <c r="Q1380" i="1" a="1"/>
  <c r="Q1380" i="1" s="1"/>
  <c r="Q1382" i="1" a="1"/>
  <c r="Q1382" i="1" s="1"/>
  <c r="Q1384" i="1" a="1"/>
  <c r="Q1384" i="1" s="1"/>
  <c r="Q1387" i="1" a="1"/>
  <c r="Q1387" i="1" s="1"/>
  <c r="Q1389" i="1" a="1"/>
  <c r="Q1389" i="1" s="1"/>
  <c r="Q1386" i="1" a="1"/>
  <c r="Q1386" i="1" s="1"/>
  <c r="Q1388" i="1" a="1"/>
  <c r="Q1388" i="1" s="1"/>
  <c r="Q1381" i="1" a="1"/>
  <c r="Q1381" i="1" s="1"/>
  <c r="Q1379" i="1" a="1"/>
  <c r="Q1379" i="1" s="1"/>
  <c r="Q1385" i="1" a="1"/>
  <c r="Q1385" i="1" s="1"/>
  <c r="Q1378" i="1" a="1"/>
  <c r="Q1378" i="1" s="1"/>
  <c r="Q1383" i="1" a="1"/>
  <c r="Q1383" i="1" s="1"/>
  <c r="Q1406" i="1" a="1"/>
  <c r="Q1406" i="1" s="1"/>
  <c r="Q1407" i="1" a="1"/>
  <c r="Q1407" i="1" s="1"/>
  <c r="Q1404" i="1" a="1"/>
  <c r="Q1404" i="1" s="1"/>
  <c r="Q1397" i="1" a="1"/>
  <c r="Q1397" i="1" s="1"/>
  <c r="Q1394" i="1" a="1"/>
  <c r="Q1394" i="1" s="1"/>
  <c r="Q1405" i="1" a="1"/>
  <c r="Q1405" i="1" s="1"/>
  <c r="Q1401" i="1" a="1"/>
  <c r="Q1401" i="1" s="1"/>
  <c r="Q1402" i="1" a="1"/>
  <c r="Q1402" i="1" s="1"/>
  <c r="Q1403" i="1" a="1"/>
  <c r="Q1403" i="1" s="1"/>
  <c r="Q1392" i="1" a="1"/>
  <c r="Q1392" i="1" s="1"/>
  <c r="Q1398" i="1" a="1"/>
  <c r="Q1398" i="1" s="1"/>
  <c r="Q1396" i="1" a="1"/>
  <c r="Q1396" i="1" s="1"/>
  <c r="Q1391" i="1" a="1"/>
  <c r="Q1391" i="1" s="1"/>
  <c r="Q1395" i="1" a="1"/>
  <c r="Q1395" i="1" s="1"/>
  <c r="Q1400" i="1" a="1"/>
  <c r="Q1400" i="1" s="1"/>
  <c r="Q1390" i="1" a="1"/>
  <c r="Q1390" i="1" s="1"/>
  <c r="Q1393" i="1" a="1"/>
  <c r="Q1393" i="1" s="1"/>
  <c r="Q1399" i="1" a="1"/>
  <c r="Q1399" i="1" s="1"/>
  <c r="Q1418" i="1" a="1"/>
  <c r="Q1418" i="1" s="1"/>
  <c r="Q1408" i="1" a="1"/>
  <c r="Q1408" i="1" s="1"/>
  <c r="Q1417" i="1" a="1"/>
  <c r="Q1417" i="1" s="1"/>
  <c r="Q1416" i="1" a="1"/>
  <c r="Q1416" i="1" s="1"/>
  <c r="Q1411" i="1" a="1"/>
  <c r="Q1411" i="1" s="1"/>
  <c r="Q1412" i="1" a="1"/>
  <c r="Q1412" i="1" s="1"/>
  <c r="Q1419" i="1" a="1"/>
  <c r="Q1419" i="1" s="1"/>
  <c r="Q1413" i="1" a="1"/>
  <c r="Q1413" i="1" s="1"/>
  <c r="Q1409" i="1" a="1"/>
  <c r="Q1409" i="1" s="1"/>
  <c r="Q1410" i="1" a="1"/>
  <c r="Q1410" i="1" s="1"/>
  <c r="Q1414" i="1" a="1"/>
  <c r="Q1414" i="1" s="1"/>
  <c r="Q1415" i="1" a="1"/>
  <c r="Q1415" i="1" s="1"/>
  <c r="Q1420" i="1" a="1"/>
  <c r="Q1420" i="1" s="1"/>
  <c r="Q1421" i="1" a="1"/>
  <c r="Q1421" i="1" s="1"/>
  <c r="Q1422" i="1" a="1"/>
  <c r="Q1422" i="1" s="1"/>
  <c r="Q1424" i="1" a="1"/>
  <c r="Q1424" i="1" s="1"/>
  <c r="Q1423" i="1" a="1"/>
  <c r="Q1423" i="1" s="1"/>
  <c r="Q1425" i="1" a="1"/>
  <c r="Q1425" i="1" s="1"/>
  <c r="Q1426" i="1" a="1"/>
  <c r="Q1426" i="1" s="1"/>
  <c r="Q1434" i="1" a="1"/>
  <c r="Q1434" i="1" s="1"/>
  <c r="Q1435" i="1" a="1"/>
  <c r="Q1435" i="1" s="1"/>
  <c r="Q1436" i="1" a="1"/>
  <c r="Q1436" i="1" s="1"/>
  <c r="Q1437" i="1" a="1"/>
  <c r="Q1437" i="1" s="1"/>
  <c r="Q1438" i="1" a="1"/>
  <c r="Q1438" i="1" s="1"/>
  <c r="Q1433" i="1" a="1"/>
  <c r="Q1433" i="1" s="1"/>
  <c r="Q1431" i="1" a="1"/>
  <c r="Q1431" i="1" s="1"/>
  <c r="Q1432" i="1" a="1"/>
  <c r="Q1432" i="1" s="1"/>
  <c r="Q1445" i="1" a="1"/>
  <c r="Q1445" i="1" s="1"/>
  <c r="Q1442" i="1" a="1"/>
  <c r="Q1442" i="1" s="1"/>
  <c r="Q1443" i="1" a="1"/>
  <c r="Q1443" i="1" s="1"/>
  <c r="Q1444" i="1" a="1"/>
  <c r="Q1444" i="1" s="1"/>
  <c r="Q1430" i="1" a="1"/>
  <c r="Q1430" i="1" s="1"/>
  <c r="Q1439" i="1" a="1"/>
  <c r="Q1439" i="1" s="1"/>
  <c r="Q1440" i="1" a="1"/>
  <c r="Q1440" i="1" s="1"/>
  <c r="Q1441" i="1" a="1"/>
  <c r="Q1441" i="1" s="1"/>
  <c r="Q1446" i="1" a="1"/>
  <c r="Q1446" i="1" s="1"/>
  <c r="Q1427" i="1" a="1"/>
  <c r="Q1427" i="1" s="1"/>
  <c r="Q1429" i="1" a="1"/>
  <c r="Q1429" i="1" s="1"/>
  <c r="Q1428" i="1" a="1"/>
  <c r="Q1428" i="1" s="1"/>
  <c r="Q1450" i="1" a="1"/>
  <c r="Q1450" i="1" s="1"/>
  <c r="Q1451" i="1" a="1"/>
  <c r="Q1451" i="1" s="1"/>
  <c r="Q1452" i="1" a="1"/>
  <c r="Q1452" i="1" s="1"/>
  <c r="Q1454" i="1" a="1"/>
  <c r="Q1454" i="1" s="1"/>
  <c r="Q1449" i="1" a="1"/>
  <c r="Q1449" i="1" s="1"/>
  <c r="Q1453" i="1" a="1"/>
  <c r="Q1453" i="1" s="1"/>
  <c r="Q1448" i="1" a="1"/>
  <c r="Q1448" i="1" s="1"/>
  <c r="Q1447" i="1" a="1"/>
  <c r="Q1447" i="1" s="1"/>
  <c r="Q1456" i="1" a="1"/>
  <c r="Q1456" i="1" s="1"/>
  <c r="Q1487" i="1" a="1"/>
  <c r="Q1487" i="1" s="1"/>
  <c r="Q1478" i="1" a="1"/>
  <c r="Q1478" i="1" s="1"/>
  <c r="Q1459" i="1" a="1"/>
  <c r="Q1459" i="1" s="1"/>
  <c r="Q1467" i="1" a="1"/>
  <c r="Q1467" i="1" s="1"/>
  <c r="Q1463" i="1" a="1"/>
  <c r="Q1463" i="1" s="1"/>
  <c r="Q1486" i="1" a="1"/>
  <c r="Q1486" i="1" s="1"/>
  <c r="Q1485" i="1" a="1"/>
  <c r="Q1485" i="1" s="1"/>
  <c r="Q1460" i="1" a="1"/>
  <c r="Q1460" i="1" s="1"/>
  <c r="Q1483" i="1" a="1"/>
  <c r="Q1483" i="1" s="1"/>
  <c r="Q1482" i="1" a="1"/>
  <c r="Q1482" i="1" s="1"/>
  <c r="Q1490" i="1" a="1"/>
  <c r="Q1490" i="1" s="1"/>
  <c r="Q1488" i="1" a="1"/>
  <c r="Q1488" i="1" s="1"/>
  <c r="Q1480" i="1" a="1"/>
  <c r="Q1480" i="1" s="1"/>
  <c r="Q1481" i="1" a="1"/>
  <c r="Q1481" i="1" s="1"/>
  <c r="Q1484" i="1" a="1"/>
  <c r="Q1484" i="1" s="1"/>
  <c r="Q1489" i="1" a="1"/>
  <c r="Q1489" i="1" s="1"/>
  <c r="Q1491" i="1" a="1"/>
  <c r="Q1491" i="1" s="1"/>
  <c r="Q1458" i="1" a="1"/>
  <c r="Q1458" i="1" s="1"/>
  <c r="Q1462" i="1" a="1"/>
  <c r="Q1462" i="1" s="1"/>
  <c r="Q1468" i="1" a="1"/>
  <c r="Q1468" i="1" s="1"/>
  <c r="Q1464" i="1" a="1"/>
  <c r="Q1464" i="1" s="1"/>
  <c r="Q1461" i="1" a="1"/>
  <c r="Q1461" i="1" s="1"/>
  <c r="Q1469" i="1" a="1"/>
  <c r="Q1469" i="1" s="1"/>
  <c r="Q1465" i="1" a="1"/>
  <c r="Q1465" i="1" s="1"/>
  <c r="Q1466" i="1" a="1"/>
  <c r="Q1466" i="1" s="1"/>
  <c r="Q1479" i="1" a="1"/>
  <c r="Q1479" i="1" s="1"/>
  <c r="Q1457" i="1" a="1"/>
  <c r="Q1457" i="1" s="1"/>
  <c r="Q1470" i="1" a="1"/>
  <c r="Q1470" i="1" s="1"/>
  <c r="Q1473" i="1" a="1"/>
  <c r="Q1473" i="1" s="1"/>
  <c r="Q1474" i="1" a="1"/>
  <c r="Q1474" i="1" s="1"/>
  <c r="Q1471" i="1" a="1"/>
  <c r="Q1471" i="1" s="1"/>
  <c r="Q1472" i="1" a="1"/>
  <c r="Q1472" i="1" s="1"/>
  <c r="Q1475" i="1" a="1"/>
  <c r="Q1475" i="1" s="1"/>
  <c r="Q1476" i="1" a="1"/>
  <c r="Q1476" i="1" s="1"/>
  <c r="Q1477" i="1" a="1"/>
  <c r="Q1477" i="1" s="1"/>
  <c r="Q1524" i="1" a="1"/>
  <c r="Q1524" i="1" s="1"/>
  <c r="Q1514" i="1" a="1"/>
  <c r="Q1514" i="1" s="1"/>
  <c r="Q1517" i="1" a="1"/>
  <c r="Q1517" i="1" s="1"/>
  <c r="Q1492" i="1" a="1"/>
  <c r="Q1492" i="1" s="1"/>
  <c r="Q1512" i="1" a="1"/>
  <c r="Q1512" i="1" s="1"/>
  <c r="Q1508" i="1" a="1"/>
  <c r="Q1508" i="1" s="1"/>
  <c r="Q1511" i="1" a="1"/>
  <c r="Q1511" i="1" s="1"/>
  <c r="Q1507" i="1" a="1"/>
  <c r="Q1507" i="1" s="1"/>
  <c r="Q1509" i="1" a="1"/>
  <c r="Q1509" i="1" s="1"/>
  <c r="Q1510" i="1" a="1"/>
  <c r="Q1510" i="1" s="1"/>
  <c r="Q1513" i="1" a="1"/>
  <c r="Q1513" i="1" s="1"/>
  <c r="Q1498" i="1" a="1"/>
  <c r="Q1498" i="1" s="1"/>
  <c r="Q1499" i="1" a="1"/>
  <c r="Q1499" i="1" s="1"/>
  <c r="Q1497" i="1" a="1"/>
  <c r="Q1497" i="1" s="1"/>
  <c r="Q1542" i="1" a="1"/>
  <c r="Q1542" i="1" s="1"/>
  <c r="Q1541" i="1" a="1"/>
  <c r="Q1541" i="1" s="1"/>
  <c r="Q1537" i="1" a="1"/>
  <c r="Q1537" i="1" s="1"/>
  <c r="Q1535" i="1" a="1"/>
  <c r="Q1535" i="1" s="1"/>
  <c r="Q1536" i="1" a="1"/>
  <c r="Q1536" i="1" s="1"/>
  <c r="Q1538" i="1" a="1"/>
  <c r="Q1538" i="1" s="1"/>
  <c r="Q1539" i="1" a="1"/>
  <c r="Q1539" i="1" s="1"/>
  <c r="Q1540" i="1" a="1"/>
  <c r="Q1540" i="1" s="1"/>
  <c r="Q1515" i="1" a="1"/>
  <c r="Q1515" i="1" s="1"/>
  <c r="Q1518" i="1" a="1"/>
  <c r="Q1518" i="1" s="1"/>
  <c r="Q1529" i="1" a="1"/>
  <c r="Q1529" i="1" s="1"/>
  <c r="Q1519" i="1" a="1"/>
  <c r="Q1519" i="1" s="1"/>
  <c r="Q1504" i="1" a="1"/>
  <c r="Q1504" i="1" s="1"/>
  <c r="Q1495" i="1" a="1"/>
  <c r="Q1495" i="1" s="1"/>
  <c r="Q1496" i="1" a="1"/>
  <c r="Q1496" i="1" s="1"/>
  <c r="Q1494" i="1" a="1"/>
  <c r="Q1494" i="1" s="1"/>
  <c r="Q1502" i="1" a="1"/>
  <c r="Q1502" i="1" s="1"/>
  <c r="Q1506" i="1" a="1"/>
  <c r="Q1506" i="1" s="1"/>
  <c r="Q1505" i="1" a="1"/>
  <c r="Q1505" i="1" s="1"/>
  <c r="Q1503" i="1" a="1"/>
  <c r="Q1503" i="1" s="1"/>
  <c r="Q1520" i="1" a="1"/>
  <c r="Q1520" i="1" s="1"/>
  <c r="Q1532" i="1" a="1"/>
  <c r="Q1532" i="1" s="1"/>
  <c r="Q1493" i="1" a="1"/>
  <c r="Q1493" i="1" s="1"/>
  <c r="Q1500" i="1" a="1"/>
  <c r="Q1500" i="1" s="1"/>
  <c r="Q1533" i="1" a="1"/>
  <c r="Q1533" i="1" s="1"/>
  <c r="Q1525" i="1" a="1"/>
  <c r="Q1525" i="1" s="1"/>
  <c r="Q1531" i="1" a="1"/>
  <c r="Q1531" i="1" s="1"/>
  <c r="Q1530" i="1" a="1"/>
  <c r="Q1530" i="1" s="1"/>
  <c r="Q1521" i="1" a="1"/>
  <c r="Q1521" i="1" s="1"/>
  <c r="Q1523" i="1" a="1"/>
  <c r="Q1523" i="1" s="1"/>
  <c r="Q1501" i="1" a="1"/>
  <c r="Q1501" i="1" s="1"/>
  <c r="Q1522" i="1" a="1"/>
  <c r="Q1522" i="1" s="1"/>
  <c r="Q1516" i="1" a="1"/>
  <c r="Q1516" i="1" s="1"/>
  <c r="Q1534" i="1" a="1"/>
  <c r="Q1534" i="1" s="1"/>
  <c r="Q1527" i="1" a="1"/>
  <c r="Q1527" i="1" s="1"/>
  <c r="Q1528" i="1" a="1"/>
  <c r="Q1528" i="1" s="1"/>
  <c r="Q1526" i="1" a="1"/>
  <c r="Q1526" i="1" s="1"/>
  <c r="Q1543" i="1" a="1"/>
  <c r="Q1543" i="1" s="1"/>
  <c r="Q1556" i="1" a="1"/>
  <c r="Q1556" i="1" s="1"/>
  <c r="Q1555" i="1" a="1"/>
  <c r="Q1555" i="1" s="1"/>
  <c r="Q1557" i="1" a="1"/>
  <c r="Q1557" i="1" s="1"/>
  <c r="Q1560" i="1" a="1"/>
  <c r="Q1560" i="1" s="1"/>
  <c r="Q1558" i="1" a="1"/>
  <c r="Q1558" i="1" s="1"/>
  <c r="Q1544" i="1" a="1"/>
  <c r="Q1544" i="1" s="1"/>
  <c r="Q1545" i="1" a="1"/>
  <c r="Q1545" i="1" s="1"/>
  <c r="Q1559" i="1" a="1"/>
  <c r="Q1559" i="1" s="1"/>
  <c r="Q1584" i="1" a="1"/>
  <c r="Q1584" i="1" s="1"/>
  <c r="Q1583" i="1" a="1"/>
  <c r="Q1583" i="1" s="1"/>
  <c r="Q1568" i="1" a="1"/>
  <c r="Q1568" i="1" s="1"/>
  <c r="Q1572" i="1" a="1"/>
  <c r="Q1572" i="1" s="1"/>
  <c r="Q1577" i="1" a="1"/>
  <c r="Q1577" i="1" s="1"/>
  <c r="Q1566" i="1" a="1"/>
  <c r="Q1566" i="1" s="1"/>
  <c r="Q1578" i="1" a="1"/>
  <c r="Q1578" i="1" s="1"/>
  <c r="Q1574" i="1" a="1"/>
  <c r="Q1574" i="1" s="1"/>
  <c r="Q1573" i="1" a="1"/>
  <c r="Q1573" i="1" s="1"/>
  <c r="Q1585" i="1" a="1"/>
  <c r="Q1585" i="1" s="1"/>
  <c r="Q1596" i="1" a="1"/>
  <c r="Q1596" i="1" s="1"/>
  <c r="Q1591" i="1" a="1"/>
  <c r="Q1591" i="1" s="1"/>
  <c r="Q1593" i="1" a="1"/>
  <c r="Q1593" i="1" s="1"/>
  <c r="Q1586" i="1" a="1"/>
  <c r="Q1586" i="1" s="1"/>
  <c r="Q1587" i="1" a="1"/>
  <c r="Q1587" i="1" s="1"/>
  <c r="Q1588" i="1" a="1"/>
  <c r="Q1588" i="1" s="1"/>
  <c r="Q1589" i="1" a="1"/>
  <c r="Q1589" i="1" s="1"/>
  <c r="Q1590" i="1" a="1"/>
  <c r="Q1590" i="1" s="1"/>
  <c r="Q1592" i="1" a="1"/>
  <c r="Q1592" i="1" s="1"/>
  <c r="Q1579" i="1" a="1"/>
  <c r="Q1579" i="1" s="1"/>
  <c r="Q1567" i="1" a="1"/>
  <c r="Q1567" i="1" s="1"/>
  <c r="Q1569" i="1" a="1"/>
  <c r="Q1569" i="1" s="1"/>
  <c r="Q1580" i="1" a="1"/>
  <c r="Q1580" i="1" s="1"/>
  <c r="Q1581" i="1" a="1"/>
  <c r="Q1581" i="1" s="1"/>
  <c r="Q1582" i="1" a="1"/>
  <c r="Q1582" i="1" s="1"/>
  <c r="Q1570" i="1" a="1"/>
  <c r="Q1570" i="1" s="1"/>
  <c r="Q1575" i="1" a="1"/>
  <c r="Q1575" i="1" s="1"/>
  <c r="Q1571" i="1" a="1"/>
  <c r="Q1571" i="1" s="1"/>
  <c r="Q1576" i="1" a="1"/>
  <c r="Q1576" i="1" s="1"/>
  <c r="Q1564" i="1" a="1"/>
  <c r="Q1564" i="1" s="1"/>
  <c r="Q1594" i="1" a="1"/>
  <c r="Q1594" i="1" s="1"/>
  <c r="Q1562" i="1" a="1"/>
  <c r="Q1562" i="1" s="1"/>
  <c r="Q1595" i="1" a="1"/>
  <c r="Q1595" i="1" s="1"/>
  <c r="Q1563" i="1" a="1"/>
  <c r="Q1563" i="1" s="1"/>
  <c r="Q1565" i="1" a="1"/>
  <c r="Q1565" i="1" s="1"/>
  <c r="Q1597" i="1" a="1"/>
  <c r="Q1597" i="1" s="1"/>
  <c r="Q1620" i="1" a="1"/>
  <c r="Q1620" i="1" s="1"/>
  <c r="Q1602" i="1" a="1"/>
  <c r="Q1602" i="1" s="1"/>
  <c r="Q1636" i="1" a="1"/>
  <c r="Q1636" i="1" s="1"/>
  <c r="Q1637" i="1" a="1"/>
  <c r="Q1637" i="1" s="1"/>
  <c r="Q1599" i="1" a="1"/>
  <c r="Q1599" i="1" s="1"/>
  <c r="Q1601" i="1" a="1"/>
  <c r="Q1601" i="1" s="1"/>
  <c r="Q1600" i="1" a="1"/>
  <c r="Q1600" i="1" s="1"/>
  <c r="Q1611" i="1" a="1"/>
  <c r="Q1611" i="1" s="1"/>
  <c r="Q1622" i="1" a="1"/>
  <c r="Q1622" i="1" s="1"/>
  <c r="Q1619" i="1" a="1"/>
  <c r="Q1619" i="1" s="1"/>
  <c r="Q1615" i="1" a="1"/>
  <c r="Q1615" i="1" s="1"/>
  <c r="Q1616" i="1" a="1"/>
  <c r="Q1616" i="1" s="1"/>
  <c r="Q1614" i="1" a="1"/>
  <c r="Q1614" i="1" s="1"/>
  <c r="Q1617" i="1" a="1"/>
  <c r="Q1617" i="1" s="1"/>
  <c r="Q1609" i="1" a="1"/>
  <c r="Q1609" i="1" s="1"/>
  <c r="Q1639" i="1" a="1"/>
  <c r="Q1639" i="1" s="1"/>
  <c r="Q1638" i="1" a="1"/>
  <c r="Q1638" i="1" s="1"/>
  <c r="Q1645" i="1" a="1"/>
  <c r="Q1645" i="1" s="1"/>
  <c r="Q1608" i="1" a="1"/>
  <c r="Q1608" i="1" s="1"/>
  <c r="Q1598" i="1" a="1"/>
  <c r="Q1598" i="1" s="1"/>
  <c r="Q1607" i="1" a="1"/>
  <c r="Q1607" i="1" s="1"/>
  <c r="Q1610" i="1" a="1"/>
  <c r="Q1610" i="1" s="1"/>
  <c r="Q1612" i="1" a="1"/>
  <c r="Q1612" i="1" s="1"/>
  <c r="Q1624" i="1" a="1"/>
  <c r="Q1624" i="1" s="1"/>
  <c r="Q1561" i="1" a="1"/>
  <c r="Q1561" i="1" s="1"/>
  <c r="Q1628" i="1" a="1"/>
  <c r="Q1628" i="1" s="1"/>
  <c r="Q1613" i="1" a="1"/>
  <c r="Q1613" i="1" s="1"/>
  <c r="Q1618" i="1" a="1"/>
  <c r="Q1618" i="1" s="1"/>
  <c r="Q1546" i="1" a="1"/>
  <c r="Q1546" i="1" s="1"/>
  <c r="Q1621" i="1" a="1"/>
  <c r="Q1621" i="1" s="1"/>
  <c r="Q1550" i="1" a="1"/>
  <c r="Q1550" i="1" s="1"/>
  <c r="Q1549" i="1" a="1"/>
  <c r="Q1549" i="1" s="1"/>
  <c r="Q1554" i="1" a="1"/>
  <c r="Q1554" i="1" s="1"/>
  <c r="Q1623" i="1" a="1"/>
  <c r="Q1623" i="1" s="1"/>
  <c r="Q1633" i="1" a="1"/>
  <c r="Q1633" i="1" s="1"/>
  <c r="Q1634" i="1" a="1"/>
  <c r="Q1634" i="1" s="1"/>
  <c r="Q1635" i="1" a="1"/>
  <c r="Q1635" i="1" s="1"/>
  <c r="Q1629" i="1" a="1"/>
  <c r="Q1629" i="1" s="1"/>
  <c r="Q1547" i="1" a="1"/>
  <c r="Q1547" i="1" s="1"/>
  <c r="Q1551" i="1" a="1"/>
  <c r="Q1551" i="1" s="1"/>
  <c r="Q1552" i="1" a="1"/>
  <c r="Q1552" i="1" s="1"/>
  <c r="Q1553" i="1" a="1"/>
  <c r="Q1553" i="1" s="1"/>
  <c r="Q1630" i="1" a="1"/>
  <c r="Q1630" i="1" s="1"/>
  <c r="Q1548" i="1" a="1"/>
  <c r="Q1548" i="1" s="1"/>
  <c r="Q1654" i="1" a="1"/>
  <c r="Q1654" i="1" s="1"/>
  <c r="Q1655" i="1" a="1"/>
  <c r="Q1655" i="1" s="1"/>
  <c r="Q1625" i="1" a="1"/>
  <c r="Q1625" i="1" s="1"/>
  <c r="Q1631" i="1" a="1"/>
  <c r="Q1631" i="1" s="1"/>
  <c r="Q1626" i="1" a="1"/>
  <c r="Q1626" i="1" s="1"/>
  <c r="Q1632" i="1" a="1"/>
  <c r="Q1632" i="1" s="1"/>
  <c r="Q1627" i="1" a="1"/>
  <c r="Q1627" i="1" s="1"/>
  <c r="Q1647" i="1" a="1"/>
  <c r="Q1647" i="1" s="1"/>
  <c r="Q1648" i="1" a="1"/>
  <c r="Q1648" i="1" s="1"/>
  <c r="Q1646" i="1" a="1"/>
  <c r="Q1646" i="1" s="1"/>
  <c r="Q1643" i="1" a="1"/>
  <c r="Q1643" i="1" s="1"/>
  <c r="Q1644" i="1" a="1"/>
  <c r="Q1644" i="1" s="1"/>
  <c r="Q1652" i="1" a="1"/>
  <c r="Q1652" i="1" s="1"/>
  <c r="Q1656" i="1" a="1"/>
  <c r="Q1656" i="1" s="1"/>
  <c r="Q1686" i="1" a="1"/>
  <c r="Q1686" i="1" s="1"/>
  <c r="Q1681" i="1" a="1"/>
  <c r="Q1681" i="1" s="1"/>
  <c r="Q1682" i="1" a="1"/>
  <c r="Q1682" i="1" s="1"/>
  <c r="Q1673" i="1" a="1"/>
  <c r="Q1673" i="1" s="1"/>
  <c r="Q1640" i="1" a="1"/>
  <c r="Q1640" i="1" s="1"/>
  <c r="Q1641" i="1" a="1"/>
  <c r="Q1641" i="1" s="1"/>
  <c r="Q1664" i="1" a="1"/>
  <c r="Q1664" i="1" s="1"/>
  <c r="Q1665" i="1" a="1"/>
  <c r="Q1665" i="1" s="1"/>
  <c r="Q1666" i="1" a="1"/>
  <c r="Q1666" i="1" s="1"/>
  <c r="Q1667" i="1" a="1"/>
  <c r="Q1667" i="1" s="1"/>
  <c r="Q1670" i="1" a="1"/>
  <c r="Q1670" i="1" s="1"/>
  <c r="Q1672" i="1" a="1"/>
  <c r="Q1672" i="1" s="1"/>
  <c r="Q1675" i="1" a="1"/>
  <c r="Q1675" i="1" s="1"/>
  <c r="Q1674" i="1" a="1"/>
  <c r="Q1674" i="1" s="1"/>
  <c r="Q1671" i="1" a="1"/>
  <c r="Q1671" i="1" s="1"/>
  <c r="Q1668" i="1" a="1"/>
  <c r="Q1668" i="1" s="1"/>
  <c r="Q1669" i="1" a="1"/>
  <c r="Q1669" i="1" s="1"/>
  <c r="Q1687" i="1" a="1"/>
  <c r="Q1687" i="1" s="1"/>
  <c r="Q1699" i="1" a="1"/>
  <c r="Q1699" i="1" s="1"/>
  <c r="Q1662" i="1" a="1"/>
  <c r="Q1662" i="1" s="1"/>
  <c r="Q1683" i="1" a="1"/>
  <c r="Q1683" i="1" s="1"/>
  <c r="Q1657" i="1" a="1"/>
  <c r="Q1657" i="1" s="1"/>
  <c r="Q1693" i="1" a="1"/>
  <c r="Q1693" i="1" s="1"/>
  <c r="Q1694" i="1" a="1"/>
  <c r="Q1694" i="1" s="1"/>
  <c r="Q1692" i="1" a="1"/>
  <c r="Q1692" i="1" s="1"/>
  <c r="Q1689" i="1" a="1"/>
  <c r="Q1689" i="1" s="1"/>
  <c r="Q1690" i="1" a="1"/>
  <c r="Q1690" i="1" s="1"/>
  <c r="Q1696" i="1" a="1"/>
  <c r="Q1696" i="1" s="1"/>
  <c r="Q1691" i="1" a="1"/>
  <c r="Q1691" i="1" s="1"/>
  <c r="Q1697" i="1" a="1"/>
  <c r="Q1697" i="1" s="1"/>
  <c r="Q1698" i="1" a="1"/>
  <c r="Q1698" i="1" s="1"/>
  <c r="Q1695" i="1" a="1"/>
  <c r="Q1695" i="1" s="1"/>
  <c r="Q1685" i="1" a="1"/>
  <c r="Q1685" i="1" s="1"/>
  <c r="Q1677" i="1" a="1"/>
  <c r="Q1677" i="1" s="1"/>
  <c r="Q1676" i="1" a="1"/>
  <c r="Q1676" i="1" s="1"/>
  <c r="Q1679" i="1" a="1"/>
  <c r="Q1679" i="1" s="1"/>
  <c r="Q1678" i="1" a="1"/>
  <c r="Q1678" i="1" s="1"/>
  <c r="Q1680" i="1" a="1"/>
  <c r="Q1680" i="1" s="1"/>
  <c r="Q1684" i="1" a="1"/>
  <c r="Q1684" i="1" s="1"/>
  <c r="Q1642" i="1" a="1"/>
  <c r="Q1642" i="1" s="1"/>
  <c r="Q1651" i="1" a="1"/>
  <c r="Q1651" i="1" s="1"/>
  <c r="Q1688" i="1" a="1"/>
  <c r="Q1688" i="1" s="1"/>
  <c r="Q1653" i="1" a="1"/>
  <c r="Q1653" i="1" s="1"/>
  <c r="Q1663" i="1" a="1"/>
  <c r="Q1663" i="1" s="1"/>
  <c r="Q1659" i="1" a="1"/>
  <c r="Q1659" i="1" s="1"/>
  <c r="Q1658" i="1" a="1"/>
  <c r="Q1658" i="1" s="1"/>
  <c r="Q1661" i="1" a="1"/>
  <c r="Q1661" i="1" s="1"/>
  <c r="Q1660" i="1" a="1"/>
  <c r="Q1660" i="1" s="1"/>
  <c r="Q1700" i="1" a="1"/>
  <c r="Q1700" i="1" s="1"/>
  <c r="Q1703" i="1" a="1"/>
  <c r="Q1703" i="1" s="1"/>
  <c r="Q1705" i="1" a="1"/>
  <c r="Q1705" i="1" s="1"/>
  <c r="Q1701" i="1" a="1"/>
  <c r="Q1701" i="1" s="1"/>
  <c r="Q1704" i="1" a="1"/>
  <c r="Q1704" i="1" s="1"/>
  <c r="Q1702" i="1" a="1"/>
  <c r="Q1702" i="1" s="1"/>
  <c r="Q1650" i="1" a="1"/>
  <c r="Q1650" i="1" s="1"/>
  <c r="Q1649" i="1" a="1"/>
  <c r="Q1649" i="1" s="1"/>
  <c r="Q1706" i="1" a="1"/>
  <c r="Q1706" i="1" s="1"/>
  <c r="Q1761" i="1" a="1"/>
  <c r="Q1761" i="1" s="1"/>
  <c r="Q1707" i="1" a="1"/>
  <c r="Q1707" i="1" s="1"/>
  <c r="Q1716" i="1" a="1"/>
  <c r="Q1716" i="1" s="1"/>
  <c r="Q1732" i="1" a="1"/>
  <c r="Q1732" i="1" s="1"/>
  <c r="Q1755" i="1" a="1"/>
  <c r="Q1755" i="1" s="1"/>
  <c r="Q1710" i="1" a="1"/>
  <c r="Q1710" i="1" s="1"/>
  <c r="Q1711" i="1" a="1"/>
  <c r="Q1711" i="1" s="1"/>
  <c r="Q1712" i="1" a="1"/>
  <c r="Q1712" i="1" s="1"/>
  <c r="Q1713" i="1" a="1"/>
  <c r="Q1713" i="1" s="1"/>
  <c r="Q1714" i="1" a="1"/>
  <c r="Q1714" i="1" s="1"/>
  <c r="Q1715" i="1" a="1"/>
  <c r="Q1715" i="1" s="1"/>
  <c r="Q1708" i="1" a="1"/>
  <c r="Q1708" i="1" s="1"/>
  <c r="Q1709" i="1" a="1"/>
  <c r="Q1709" i="1" s="1"/>
  <c r="Q1744" i="1" a="1"/>
  <c r="Q1744" i="1" s="1"/>
  <c r="Q1733" i="1" a="1"/>
  <c r="Q1733" i="1" s="1"/>
  <c r="Q1738" i="1" a="1"/>
  <c r="Q1738" i="1" s="1"/>
  <c r="Q1746" i="1" a="1"/>
  <c r="Q1746" i="1" s="1"/>
  <c r="Q1742" i="1" a="1"/>
  <c r="Q1742" i="1" s="1"/>
  <c r="Q1743" i="1" a="1"/>
  <c r="Q1743" i="1" s="1"/>
  <c r="Q1745" i="1" a="1"/>
  <c r="Q1745" i="1" s="1"/>
  <c r="Q1740" i="1" a="1"/>
  <c r="Q1740" i="1" s="1"/>
  <c r="Q1735" i="1" a="1"/>
  <c r="Q1735" i="1" s="1"/>
  <c r="Q1734" i="1" a="1"/>
  <c r="Q1734" i="1" s="1"/>
  <c r="Q1748" i="1" a="1"/>
  <c r="Q1748" i="1" s="1"/>
  <c r="Q1749" i="1" a="1"/>
  <c r="Q1749" i="1" s="1"/>
  <c r="Q1747" i="1" a="1"/>
  <c r="Q1747" i="1" s="1"/>
  <c r="Q1750" i="1" a="1"/>
  <c r="Q1750" i="1" s="1"/>
  <c r="Q1737" i="1" a="1"/>
  <c r="Q1737" i="1" s="1"/>
  <c r="Q1736" i="1" a="1"/>
  <c r="Q1736" i="1" s="1"/>
  <c r="Q1739" i="1" a="1"/>
  <c r="Q1739" i="1" s="1"/>
  <c r="Q1729" i="1" a="1"/>
  <c r="Q1729" i="1" s="1"/>
  <c r="Q1719" i="1" a="1"/>
  <c r="Q1719" i="1" s="1"/>
  <c r="Q1728" i="1" a="1"/>
  <c r="Q1728" i="1" s="1"/>
  <c r="Q1720" i="1" a="1"/>
  <c r="Q1720" i="1" s="1"/>
  <c r="Q1726" i="1" a="1"/>
  <c r="Q1726" i="1" s="1"/>
  <c r="Q1760" i="1" a="1"/>
  <c r="Q1760" i="1" s="1"/>
  <c r="Q1721" i="1" a="1"/>
  <c r="Q1721" i="1" s="1"/>
  <c r="Q1723" i="1" a="1"/>
  <c r="Q1723" i="1" s="1"/>
  <c r="Q1725" i="1" a="1"/>
  <c r="Q1725" i="1" s="1"/>
  <c r="Q1759" i="1" a="1"/>
  <c r="Q1759" i="1" s="1"/>
  <c r="Q1718" i="1" a="1"/>
  <c r="Q1718" i="1" s="1"/>
  <c r="Q1724" i="1" a="1"/>
  <c r="Q1724" i="1" s="1"/>
  <c r="Q1727" i="1" a="1"/>
  <c r="Q1727" i="1" s="1"/>
  <c r="Q1722" i="1" a="1"/>
  <c r="Q1722" i="1" s="1"/>
  <c r="Q1758" i="1" a="1"/>
  <c r="Q1758" i="1" s="1"/>
  <c r="Q1717" i="1" a="1"/>
  <c r="Q1717" i="1" s="1"/>
  <c r="Q1756" i="1" a="1"/>
  <c r="Q1756" i="1" s="1"/>
  <c r="Q1757" i="1" a="1"/>
  <c r="Q1757" i="1" s="1"/>
  <c r="Q1751" i="1" a="1"/>
  <c r="Q1751" i="1" s="1"/>
  <c r="Q1753" i="1" a="1"/>
  <c r="Q1753" i="1" s="1"/>
  <c r="Q1752" i="1" a="1"/>
  <c r="Q1752" i="1" s="1"/>
  <c r="Q1741" i="1" a="1"/>
  <c r="Q1741" i="1" s="1"/>
  <c r="Q1762" i="1" a="1"/>
  <c r="Q1762" i="1" s="1"/>
  <c r="Q1763" i="1" a="1"/>
  <c r="Q1763" i="1" s="1"/>
  <c r="Q1764" i="1" a="1"/>
  <c r="Q1764" i="1" s="1"/>
  <c r="Q1778" i="1" a="1"/>
  <c r="Q1778" i="1" s="1"/>
  <c r="Q1782" i="1" a="1"/>
  <c r="Q1782" i="1" s="1"/>
  <c r="Q1780" i="1" a="1"/>
  <c r="Q1780" i="1" s="1"/>
  <c r="Q1781" i="1" a="1"/>
  <c r="Q1781" i="1" s="1"/>
  <c r="Q1779" i="1" a="1"/>
  <c r="Q1779" i="1" s="1"/>
  <c r="Q1783" i="1" a="1"/>
  <c r="Q1783" i="1" s="1"/>
  <c r="Q1767" i="1" a="1"/>
  <c r="Q1767" i="1" s="1"/>
  <c r="Q1768" i="1" a="1"/>
  <c r="Q1768" i="1" s="1"/>
  <c r="Q1769" i="1" a="1"/>
  <c r="Q1769" i="1" s="1"/>
  <c r="Q1766" i="1" a="1"/>
  <c r="Q1766" i="1" s="1"/>
  <c r="Q1773" i="1" a="1"/>
  <c r="Q1773" i="1" s="1"/>
  <c r="Q1771" i="1" a="1"/>
  <c r="Q1771" i="1" s="1"/>
  <c r="Q1772" i="1" a="1"/>
  <c r="Q1772" i="1" s="1"/>
  <c r="Q1770" i="1" a="1"/>
  <c r="Q1770" i="1" s="1"/>
  <c r="Q1774" i="1" a="1"/>
  <c r="Q1774" i="1" s="1"/>
  <c r="Q1786" i="1" a="1"/>
  <c r="Q1786" i="1" s="1"/>
  <c r="Q1765" i="1" a="1"/>
  <c r="Q1765" i="1" s="1"/>
  <c r="Q1777" i="1" a="1"/>
  <c r="Q1777" i="1" s="1"/>
  <c r="Q1785" i="1" a="1"/>
  <c r="Q1785" i="1" s="1"/>
  <c r="Q1775" i="1" a="1"/>
  <c r="Q1775" i="1" s="1"/>
  <c r="Q1776" i="1" a="1"/>
  <c r="Q1776" i="1" s="1"/>
  <c r="Q1784" i="1" a="1"/>
  <c r="Q1784" i="1" s="1"/>
  <c r="Q1731" i="1" a="1"/>
  <c r="Q1731" i="1" s="1"/>
  <c r="Q1730" i="1" a="1"/>
  <c r="Q1730" i="1" s="1"/>
  <c r="D1730" i="1"/>
  <c r="I1730" i="1"/>
  <c r="D1731" i="1"/>
  <c r="I1731" i="1"/>
  <c r="D1778" i="1"/>
  <c r="D1782" i="1"/>
  <c r="D1780" i="1"/>
  <c r="D1781" i="1"/>
  <c r="D1779" i="1"/>
  <c r="D1783" i="1"/>
  <c r="D1767" i="1"/>
  <c r="D1768" i="1"/>
  <c r="D1769" i="1"/>
  <c r="D1766" i="1"/>
  <c r="D1773" i="1"/>
  <c r="D1771" i="1"/>
  <c r="D1772" i="1"/>
  <c r="D1770" i="1"/>
  <c r="D1774" i="1"/>
  <c r="D1786" i="1"/>
  <c r="D1765" i="1"/>
  <c r="D1777" i="1"/>
  <c r="D1785" i="1"/>
  <c r="D1775" i="1"/>
  <c r="D1776" i="1"/>
  <c r="D1784" i="1"/>
  <c r="I1778" i="1"/>
  <c r="I1782" i="1"/>
  <c r="I1780" i="1"/>
  <c r="I1781" i="1"/>
  <c r="I1779" i="1"/>
  <c r="I1783" i="1"/>
  <c r="I1767" i="1"/>
  <c r="I1768" i="1"/>
  <c r="I1769" i="1"/>
  <c r="I1766" i="1"/>
  <c r="I1773" i="1"/>
  <c r="I1771" i="1"/>
  <c r="I1772" i="1"/>
  <c r="I1770" i="1"/>
  <c r="I1774" i="1"/>
  <c r="I1786" i="1"/>
  <c r="I1765" i="1"/>
  <c r="I1777" i="1"/>
  <c r="I1785" i="1"/>
  <c r="I1775" i="1"/>
  <c r="I1776" i="1"/>
  <c r="I1784" i="1"/>
  <c r="D1764" i="1"/>
  <c r="I1764" i="1"/>
  <c r="D1763" i="1"/>
  <c r="I1763" i="1"/>
  <c r="D1762" i="1"/>
  <c r="I1762" i="1"/>
  <c r="D1741" i="1"/>
  <c r="I1741" i="1"/>
  <c r="D1752" i="1"/>
  <c r="I1752" i="1"/>
  <c r="D1753" i="1"/>
  <c r="I1753" i="1"/>
  <c r="D1751" i="1"/>
  <c r="I1751" i="1"/>
  <c r="D1757" i="1"/>
  <c r="I1757" i="1"/>
  <c r="D1756" i="1"/>
  <c r="I1756" i="1"/>
  <c r="I1717" i="1"/>
  <c r="D1717" i="1"/>
  <c r="D1758" i="1"/>
  <c r="I1758" i="1"/>
  <c r="D1722" i="1"/>
  <c r="I1722" i="1"/>
  <c r="D1727" i="1"/>
  <c r="I1727" i="1"/>
  <c r="D1724" i="1"/>
  <c r="I1724" i="1"/>
  <c r="D1718" i="1"/>
  <c r="I1718" i="1"/>
  <c r="D1759" i="1"/>
  <c r="I1759" i="1"/>
  <c r="D1725" i="1"/>
  <c r="I1725" i="1"/>
  <c r="D1723" i="1"/>
  <c r="I1723" i="1"/>
  <c r="D1721" i="1"/>
  <c r="I1721" i="1"/>
  <c r="D1760" i="1"/>
  <c r="I1760" i="1"/>
  <c r="D1726" i="1"/>
  <c r="I1726" i="1"/>
  <c r="D1720" i="1"/>
  <c r="I1720" i="1"/>
  <c r="D1728" i="1"/>
  <c r="I1728" i="1"/>
  <c r="I1719" i="1"/>
  <c r="I1729" i="1"/>
  <c r="D1729" i="1"/>
  <c r="D1739" i="1"/>
  <c r="I1739" i="1"/>
  <c r="D1736" i="1"/>
  <c r="I1736" i="1"/>
  <c r="D1737" i="1"/>
  <c r="I1737" i="1"/>
  <c r="D1750" i="1"/>
  <c r="I1750" i="1"/>
  <c r="D1747" i="1"/>
  <c r="I1747" i="1"/>
  <c r="D1749" i="1"/>
  <c r="I1749" i="1"/>
  <c r="D1748" i="1"/>
  <c r="I1748" i="1"/>
  <c r="D1734" i="1"/>
  <c r="I1734" i="1"/>
  <c r="D1735" i="1"/>
  <c r="I1735" i="1"/>
  <c r="D1740" i="1"/>
  <c r="I1740" i="1"/>
  <c r="D1745" i="1"/>
  <c r="I1745" i="1"/>
  <c r="I1743" i="1"/>
  <c r="D1743" i="1"/>
  <c r="I1742" i="1"/>
  <c r="D1742" i="1"/>
  <c r="D1746" i="1"/>
  <c r="I1746" i="1"/>
  <c r="D1714" i="1"/>
  <c r="D1715" i="1"/>
  <c r="D1708" i="1"/>
  <c r="D1709" i="1"/>
  <c r="D1744" i="1"/>
  <c r="D1733" i="1"/>
  <c r="D1738" i="1"/>
  <c r="I1714" i="1"/>
  <c r="I1715" i="1"/>
  <c r="I1708" i="1"/>
  <c r="I1709" i="1"/>
  <c r="I1744" i="1"/>
  <c r="I1733" i="1"/>
  <c r="I1738" i="1"/>
  <c r="D1707" i="1"/>
  <c r="D1716" i="1"/>
  <c r="D1732" i="1"/>
  <c r="D1755" i="1"/>
  <c r="D1710" i="1"/>
  <c r="D1711" i="1"/>
  <c r="D1712" i="1"/>
  <c r="D1713" i="1"/>
  <c r="I1716" i="1"/>
  <c r="I1732" i="1"/>
  <c r="I1755" i="1"/>
  <c r="I1710" i="1"/>
  <c r="I1711" i="1"/>
  <c r="I1712" i="1"/>
  <c r="I1713" i="1"/>
  <c r="D1761" i="1"/>
  <c r="I1761" i="1"/>
  <c r="D1664" i="1"/>
  <c r="D1669" i="1"/>
  <c r="I1669" i="1"/>
  <c r="D1653" i="1"/>
  <c r="I1653" i="1"/>
  <c r="D1649" i="1"/>
  <c r="I1649" i="1"/>
  <c r="D1650" i="1"/>
  <c r="I1650" i="1"/>
  <c r="D1641" i="1"/>
  <c r="I1641" i="1"/>
  <c r="D1601" i="1"/>
  <c r="I1601" i="1"/>
  <c r="D1642" i="1"/>
  <c r="I1642" i="1"/>
  <c r="D15" i="1"/>
  <c r="D11" i="1"/>
  <c r="D12" i="1"/>
  <c r="D16" i="1"/>
  <c r="D18" i="1"/>
  <c r="D17" i="1"/>
  <c r="D10" i="1"/>
  <c r="D13" i="1"/>
  <c r="D14" i="1"/>
  <c r="D57" i="1"/>
  <c r="D58" i="1"/>
  <c r="D59" i="1"/>
  <c r="D55" i="1"/>
  <c r="D61" i="1"/>
  <c r="D62" i="1"/>
  <c r="D60" i="1"/>
  <c r="D63" i="1"/>
  <c r="D56" i="1"/>
  <c r="D46" i="1"/>
  <c r="D47" i="1"/>
  <c r="D27" i="1"/>
  <c r="D26" i="1"/>
  <c r="D23" i="1"/>
  <c r="D25" i="1"/>
  <c r="D33" i="1"/>
  <c r="D35" i="1"/>
  <c r="D34" i="1"/>
  <c r="D28" i="1"/>
  <c r="D24" i="1"/>
  <c r="D20" i="1"/>
  <c r="D19" i="1"/>
  <c r="D54" i="1"/>
  <c r="D45" i="1"/>
  <c r="D52" i="1"/>
  <c r="D48" i="1"/>
  <c r="D50" i="1"/>
  <c r="D49" i="1"/>
  <c r="D53" i="1"/>
  <c r="D51" i="1"/>
  <c r="D38" i="1"/>
  <c r="D39" i="1"/>
  <c r="D37" i="1"/>
  <c r="D40" i="1"/>
  <c r="D43" i="1"/>
  <c r="D44" i="1"/>
  <c r="D36" i="1"/>
  <c r="D42" i="1"/>
  <c r="D41" i="1"/>
  <c r="D4" i="1"/>
  <c r="D3" i="1"/>
  <c r="D6" i="1"/>
  <c r="D5" i="1"/>
  <c r="D7" i="1"/>
  <c r="D8" i="1"/>
  <c r="D29" i="1"/>
  <c r="D32" i="1"/>
  <c r="D30" i="1"/>
  <c r="D31" i="1"/>
  <c r="D22" i="1"/>
  <c r="D21" i="1"/>
  <c r="D65" i="1"/>
  <c r="D84" i="1"/>
  <c r="D87" i="1"/>
  <c r="D86" i="1"/>
  <c r="D88" i="1"/>
  <c r="D89" i="1"/>
  <c r="D90" i="1"/>
  <c r="D95" i="1"/>
  <c r="D91" i="1"/>
  <c r="D94" i="1"/>
  <c r="D93" i="1"/>
  <c r="D92" i="1"/>
  <c r="D96" i="1"/>
  <c r="D97" i="1"/>
  <c r="D82" i="1"/>
  <c r="D83" i="1"/>
  <c r="D69" i="1"/>
  <c r="D74" i="1"/>
  <c r="D66" i="1"/>
  <c r="D75" i="1"/>
  <c r="D72" i="1"/>
  <c r="D80" i="1"/>
  <c r="D77" i="1"/>
  <c r="D71" i="1"/>
  <c r="D81" i="1"/>
  <c r="D73" i="1"/>
  <c r="D68" i="1"/>
  <c r="D78" i="1"/>
  <c r="D79" i="1"/>
  <c r="D70" i="1"/>
  <c r="D76" i="1"/>
  <c r="D67" i="1"/>
  <c r="D85" i="1"/>
  <c r="D64" i="1"/>
  <c r="D101" i="1"/>
  <c r="D104" i="1"/>
  <c r="D100" i="1"/>
  <c r="D125" i="1"/>
  <c r="D124" i="1"/>
  <c r="D114" i="1"/>
  <c r="D118" i="1"/>
  <c r="D119" i="1"/>
  <c r="D109" i="1"/>
  <c r="D107" i="1"/>
  <c r="D116" i="1"/>
  <c r="D115" i="1"/>
  <c r="D110" i="1"/>
  <c r="D111" i="1"/>
  <c r="D113" i="1"/>
  <c r="D108" i="1"/>
  <c r="D117" i="1"/>
  <c r="D121" i="1"/>
  <c r="D123" i="1"/>
  <c r="D98" i="1"/>
  <c r="D99" i="1"/>
  <c r="D102" i="1"/>
  <c r="D112" i="1"/>
  <c r="D106" i="1"/>
  <c r="D105" i="1"/>
  <c r="D120" i="1"/>
  <c r="D122" i="1"/>
  <c r="D126" i="1"/>
  <c r="D127" i="1"/>
  <c r="D103" i="1"/>
  <c r="D128" i="1"/>
  <c r="D140" i="1"/>
  <c r="D192" i="1"/>
  <c r="D223" i="1"/>
  <c r="D240" i="1"/>
  <c r="D241" i="1"/>
  <c r="D239" i="1"/>
  <c r="D149" i="1"/>
  <c r="D146" i="1"/>
  <c r="D148" i="1"/>
  <c r="D168" i="1"/>
  <c r="D209" i="1"/>
  <c r="D208" i="1"/>
  <c r="D205" i="1"/>
  <c r="D136" i="1"/>
  <c r="D133" i="1"/>
  <c r="D139" i="1"/>
  <c r="D137" i="1"/>
  <c r="D130" i="1"/>
  <c r="D134" i="1"/>
  <c r="D196" i="1"/>
  <c r="D217" i="1"/>
  <c r="D219" i="1"/>
  <c r="D220" i="1"/>
  <c r="D207" i="1"/>
  <c r="D206" i="1"/>
  <c r="D215" i="1"/>
  <c r="D243" i="1"/>
  <c r="D213" i="1"/>
  <c r="D164" i="1"/>
  <c r="D221" i="1"/>
  <c r="D224" i="1"/>
  <c r="D163" i="1"/>
  <c r="D201" i="1"/>
  <c r="D202" i="1"/>
  <c r="D198" i="1"/>
  <c r="D199" i="1"/>
  <c r="D142" i="1"/>
  <c r="D203" i="1"/>
  <c r="D204" i="1"/>
  <c r="D154" i="1"/>
  <c r="D200" i="1"/>
  <c r="D138" i="1"/>
  <c r="D233" i="1"/>
  <c r="D227" i="1"/>
  <c r="D231" i="1"/>
  <c r="D228" i="1"/>
  <c r="D229" i="1"/>
  <c r="D232" i="1"/>
  <c r="D230" i="1"/>
  <c r="D238" i="1"/>
  <c r="D234" i="1"/>
  <c r="D237" i="1"/>
  <c r="D236" i="1"/>
  <c r="D235" i="1"/>
  <c r="D157" i="1"/>
  <c r="D160" i="1"/>
  <c r="D162" i="1"/>
  <c r="D161" i="1"/>
  <c r="D158" i="1"/>
  <c r="D159" i="1"/>
  <c r="D155" i="1"/>
  <c r="D156" i="1"/>
  <c r="D153" i="1"/>
  <c r="D144" i="1"/>
  <c r="D143" i="1"/>
  <c r="D211" i="1"/>
  <c r="D195" i="1"/>
  <c r="D193" i="1"/>
  <c r="D194" i="1"/>
  <c r="D135" i="1"/>
  <c r="D141" i="1"/>
  <c r="D147" i="1"/>
  <c r="D145" i="1"/>
  <c r="D212" i="1"/>
  <c r="D216" i="1"/>
  <c r="D214" i="1"/>
  <c r="D170" i="1"/>
  <c r="D166" i="1"/>
  <c r="D165" i="1"/>
  <c r="D218" i="1"/>
  <c r="D222" i="1"/>
  <c r="D183" i="1"/>
  <c r="D185" i="1"/>
  <c r="D173" i="1"/>
  <c r="D177" i="1"/>
  <c r="D181" i="1"/>
  <c r="D184" i="1"/>
  <c r="D172" i="1"/>
  <c r="D180" i="1"/>
  <c r="D178" i="1"/>
  <c r="D182" i="1"/>
  <c r="D242" i="1"/>
  <c r="D152" i="1"/>
  <c r="D150" i="1"/>
  <c r="D151" i="1"/>
  <c r="D175" i="1"/>
  <c r="D171" i="1"/>
  <c r="D186" i="1"/>
  <c r="D189" i="1"/>
  <c r="D190" i="1"/>
  <c r="D179" i="1"/>
  <c r="D174" i="1"/>
  <c r="D176" i="1"/>
  <c r="D188" i="1"/>
  <c r="D187" i="1"/>
  <c r="D191" i="1"/>
  <c r="D132" i="1"/>
  <c r="D210" i="1"/>
  <c r="D169" i="1"/>
  <c r="D167" i="1"/>
  <c r="D131" i="1"/>
  <c r="D318" i="1"/>
  <c r="D319" i="1"/>
  <c r="D286" i="1"/>
  <c r="D274" i="1"/>
  <c r="D289" i="1"/>
  <c r="D275" i="1"/>
  <c r="D260" i="1"/>
  <c r="D314" i="1"/>
  <c r="D315" i="1"/>
  <c r="D302" i="1"/>
  <c r="D298" i="1"/>
  <c r="D297" i="1"/>
  <c r="D299" i="1"/>
  <c r="D301" i="1"/>
  <c r="D300" i="1"/>
  <c r="D277" i="1"/>
  <c r="D276" i="1"/>
  <c r="D282" i="1"/>
  <c r="D283" i="1"/>
  <c r="D262" i="1"/>
  <c r="D263" i="1"/>
  <c r="D261" i="1"/>
  <c r="D264" i="1"/>
  <c r="D254" i="1"/>
  <c r="D257" i="1"/>
  <c r="D255" i="1"/>
  <c r="D256" i="1"/>
  <c r="D258" i="1"/>
  <c r="D259" i="1"/>
  <c r="D273" i="1"/>
  <c r="D308" i="1"/>
  <c r="D278" i="1"/>
  <c r="D291" i="1"/>
  <c r="D309" i="1"/>
  <c r="D303" i="1"/>
  <c r="D270" i="1"/>
  <c r="D269" i="1"/>
  <c r="D267" i="1"/>
  <c r="D268" i="1"/>
  <c r="D313" i="1"/>
  <c r="D316" i="1"/>
  <c r="D317" i="1"/>
  <c r="D280" i="1"/>
  <c r="D284" i="1"/>
  <c r="D266" i="1"/>
  <c r="D265" i="1"/>
  <c r="D321" i="1"/>
  <c r="D320" i="1"/>
  <c r="D305" i="1"/>
  <c r="D304" i="1"/>
  <c r="D306" i="1"/>
  <c r="D307" i="1"/>
  <c r="D292" i="1"/>
  <c r="D281" i="1"/>
  <c r="D293" i="1"/>
  <c r="D279" i="1"/>
  <c r="D294" i="1"/>
  <c r="D285" i="1"/>
  <c r="D295" i="1"/>
  <c r="D287" i="1"/>
  <c r="D288" i="1"/>
  <c r="D312" i="1"/>
  <c r="D311" i="1"/>
  <c r="D310" i="1"/>
  <c r="D290" i="1"/>
  <c r="D296" i="1"/>
  <c r="D272" i="1"/>
  <c r="D271" i="1"/>
  <c r="D244" i="1"/>
  <c r="D129" i="1"/>
  <c r="D226" i="1"/>
  <c r="D225" i="1"/>
  <c r="D251" i="1"/>
  <c r="D253" i="1"/>
  <c r="D249" i="1"/>
  <c r="D248" i="1"/>
  <c r="D246" i="1"/>
  <c r="D245" i="1"/>
  <c r="D247" i="1"/>
  <c r="D250" i="1"/>
  <c r="D252" i="1"/>
  <c r="D357" i="1"/>
  <c r="D358" i="1"/>
  <c r="D355" i="1"/>
  <c r="D356" i="1"/>
  <c r="D359" i="1"/>
  <c r="D364" i="1"/>
  <c r="D369" i="1"/>
  <c r="D370" i="1"/>
  <c r="D366" i="1"/>
  <c r="D365" i="1"/>
  <c r="D368" i="1"/>
  <c r="D367" i="1"/>
  <c r="D345" i="1"/>
  <c r="D346" i="1"/>
  <c r="D344" i="1"/>
  <c r="D342" i="1"/>
  <c r="D343" i="1"/>
  <c r="D363" i="1"/>
  <c r="D341" i="1"/>
  <c r="D336" i="1"/>
  <c r="D334" i="1"/>
  <c r="D353" i="1"/>
  <c r="D352" i="1"/>
  <c r="D350" i="1"/>
  <c r="D354" i="1"/>
  <c r="D351" i="1"/>
  <c r="D329" i="1"/>
  <c r="D323" i="1"/>
  <c r="D330" i="1"/>
  <c r="D325" i="1"/>
  <c r="D328" i="1"/>
  <c r="D322" i="1"/>
  <c r="D326" i="1"/>
  <c r="D331" i="1"/>
  <c r="D327" i="1"/>
  <c r="D324" i="1"/>
  <c r="D333" i="1"/>
  <c r="D335" i="1"/>
  <c r="D347" i="1"/>
  <c r="D348" i="1"/>
  <c r="D349" i="1"/>
  <c r="D338" i="1"/>
  <c r="D339" i="1"/>
  <c r="D337" i="1"/>
  <c r="D340" i="1"/>
  <c r="D362" i="1"/>
  <c r="D361" i="1"/>
  <c r="D360" i="1"/>
  <c r="D332" i="1"/>
  <c r="D197" i="1"/>
  <c r="D371" i="1"/>
  <c r="D374" i="1"/>
  <c r="D372" i="1"/>
  <c r="D373" i="1"/>
  <c r="D440" i="1"/>
  <c r="D449" i="1"/>
  <c r="D445" i="1"/>
  <c r="D388" i="1"/>
  <c r="D394" i="1"/>
  <c r="D422" i="1"/>
  <c r="D399" i="1"/>
  <c r="D423" i="1"/>
  <c r="D401" i="1"/>
  <c r="D448" i="1"/>
  <c r="D412" i="1"/>
  <c r="D417" i="1"/>
  <c r="D400" i="1"/>
  <c r="D405" i="1"/>
  <c r="D450" i="1"/>
  <c r="D429" i="1"/>
  <c r="D439" i="1"/>
  <c r="D418" i="1"/>
  <c r="D415" i="1"/>
  <c r="D424" i="1"/>
  <c r="D396" i="1"/>
  <c r="D406" i="1"/>
  <c r="D419" i="1"/>
  <c r="D409" i="1"/>
  <c r="D403" i="1"/>
  <c r="D407" i="1"/>
  <c r="D420" i="1"/>
  <c r="D404" i="1"/>
  <c r="D398" i="1"/>
  <c r="D413" i="1"/>
  <c r="D421" i="1"/>
  <c r="D416" i="1"/>
  <c r="D410" i="1"/>
  <c r="D395" i="1"/>
  <c r="D397" i="1"/>
  <c r="D414" i="1"/>
  <c r="D411" i="1"/>
  <c r="D408" i="1"/>
  <c r="D402" i="1"/>
  <c r="D434" i="1"/>
  <c r="D456" i="1"/>
  <c r="D451" i="1"/>
  <c r="D453" i="1"/>
  <c r="D455" i="1"/>
  <c r="D452" i="1"/>
  <c r="D454" i="1"/>
  <c r="D375" i="1"/>
  <c r="D430" i="1"/>
  <c r="D386" i="1"/>
  <c r="D444" i="1"/>
  <c r="D442" i="1"/>
  <c r="D443" i="1"/>
  <c r="D457" i="1"/>
  <c r="D447" i="1"/>
  <c r="D433" i="1"/>
  <c r="D432" i="1"/>
  <c r="D431" i="1"/>
  <c r="D435" i="1"/>
  <c r="D379" i="1"/>
  <c r="D389" i="1"/>
  <c r="D390" i="1"/>
  <c r="D391" i="1"/>
  <c r="D392" i="1"/>
  <c r="D393" i="1"/>
  <c r="D387" i="1"/>
  <c r="D427" i="1"/>
  <c r="D428" i="1"/>
  <c r="D377" i="1"/>
  <c r="D376" i="1"/>
  <c r="D378" i="1"/>
  <c r="D436" i="1"/>
  <c r="D446" i="1"/>
  <c r="D380" i="1"/>
  <c r="D382" i="1"/>
  <c r="D385" i="1"/>
  <c r="D383" i="1"/>
  <c r="D381" i="1"/>
  <c r="D384" i="1"/>
  <c r="D458" i="1"/>
  <c r="D459" i="1"/>
  <c r="D441" i="1"/>
  <c r="D426" i="1"/>
  <c r="D438" i="1"/>
  <c r="D437" i="1"/>
  <c r="D425" i="1"/>
  <c r="D565" i="1"/>
  <c r="D564" i="1"/>
  <c r="D566" i="1"/>
  <c r="D567" i="1"/>
  <c r="D569" i="1"/>
  <c r="D571" i="1"/>
  <c r="D570" i="1"/>
  <c r="D568" i="1"/>
  <c r="D559" i="1"/>
  <c r="D551" i="1"/>
  <c r="D552" i="1"/>
  <c r="D554" i="1"/>
  <c r="D555" i="1"/>
  <c r="D553" i="1"/>
  <c r="D481" i="1"/>
  <c r="D483" i="1"/>
  <c r="D482" i="1"/>
  <c r="D479" i="1"/>
  <c r="D538" i="1"/>
  <c r="D556" i="1"/>
  <c r="D539" i="1"/>
  <c r="D537" i="1"/>
  <c r="D576" i="1"/>
  <c r="D575" i="1"/>
  <c r="D558" i="1"/>
  <c r="D469" i="1"/>
  <c r="D484" i="1"/>
  <c r="D474" i="1"/>
  <c r="D476" i="1"/>
  <c r="D475" i="1"/>
  <c r="D573" i="1"/>
  <c r="D574" i="1"/>
  <c r="D572" i="1"/>
  <c r="D561" i="1"/>
  <c r="D562" i="1"/>
  <c r="D563" i="1"/>
  <c r="D464" i="1"/>
  <c r="D463" i="1"/>
  <c r="D534" i="1"/>
  <c r="D536" i="1"/>
  <c r="D546" i="1"/>
  <c r="D550" i="1"/>
  <c r="D560" i="1"/>
  <c r="D547" i="1"/>
  <c r="D543" i="1"/>
  <c r="D544" i="1"/>
  <c r="D549" i="1"/>
  <c r="D545" i="1"/>
  <c r="D468" i="1"/>
  <c r="D470" i="1"/>
  <c r="D462" i="1"/>
  <c r="D480" i="1"/>
  <c r="D485" i="1"/>
  <c r="D473" i="1"/>
  <c r="D472" i="1"/>
  <c r="D471" i="1"/>
  <c r="D540" i="1"/>
  <c r="D542" i="1"/>
  <c r="D541" i="1"/>
  <c r="D466" i="1"/>
  <c r="D486" i="1"/>
  <c r="D487" i="1"/>
  <c r="D478" i="1"/>
  <c r="D477" i="1"/>
  <c r="D548" i="1"/>
  <c r="D557" i="1"/>
  <c r="D511" i="1"/>
  <c r="D513" i="1"/>
  <c r="D510" i="1"/>
  <c r="D512" i="1"/>
  <c r="D514" i="1"/>
  <c r="D465" i="1"/>
  <c r="D467" i="1"/>
  <c r="D518" i="1"/>
  <c r="D516" i="1"/>
  <c r="D517" i="1"/>
  <c r="D519" i="1"/>
  <c r="D520" i="1"/>
  <c r="D521" i="1"/>
  <c r="D527" i="1"/>
  <c r="D529" i="1"/>
  <c r="D528" i="1"/>
  <c r="D530" i="1"/>
  <c r="D535" i="1"/>
  <c r="D533" i="1"/>
  <c r="D532" i="1"/>
  <c r="D524" i="1"/>
  <c r="D522" i="1"/>
  <c r="D523" i="1"/>
  <c r="D531" i="1"/>
  <c r="D525" i="1"/>
  <c r="D526" i="1"/>
  <c r="D515" i="1"/>
  <c r="D496" i="1"/>
  <c r="D503" i="1"/>
  <c r="D506" i="1"/>
  <c r="D504" i="1"/>
  <c r="D505" i="1"/>
  <c r="D493" i="1"/>
  <c r="D499" i="1"/>
  <c r="D500" i="1"/>
  <c r="D495" i="1"/>
  <c r="D494" i="1"/>
  <c r="D502" i="1"/>
  <c r="D488" i="1"/>
  <c r="D490" i="1"/>
  <c r="D492" i="1"/>
  <c r="D507" i="1"/>
  <c r="D497" i="1"/>
  <c r="D509" i="1"/>
  <c r="D498" i="1"/>
  <c r="D491" i="1"/>
  <c r="D489" i="1"/>
  <c r="D508" i="1"/>
  <c r="D501" i="1"/>
  <c r="D598" i="1"/>
  <c r="D577" i="1"/>
  <c r="D460" i="1"/>
  <c r="D461" i="1"/>
  <c r="D594" i="1"/>
  <c r="D578" i="1"/>
  <c r="D593" i="1"/>
  <c r="D583" i="1"/>
  <c r="D588" i="1"/>
  <c r="D587" i="1"/>
  <c r="D589" i="1"/>
  <c r="D586" i="1"/>
  <c r="D581" i="1"/>
  <c r="D582" i="1"/>
  <c r="D596" i="1"/>
  <c r="D591" i="1"/>
  <c r="D590" i="1"/>
  <c r="D606" i="1"/>
  <c r="D608" i="1"/>
  <c r="D607" i="1"/>
  <c r="D584" i="1"/>
  <c r="D585" i="1"/>
  <c r="D592" i="1"/>
  <c r="D605" i="1"/>
  <c r="D597" i="1"/>
  <c r="D604" i="1"/>
  <c r="D609" i="1"/>
  <c r="D579" i="1"/>
  <c r="D603" i="1"/>
  <c r="D580" i="1"/>
  <c r="D595" i="1"/>
  <c r="D599" i="1"/>
  <c r="D600" i="1"/>
  <c r="D601" i="1"/>
  <c r="D602" i="1"/>
  <c r="D630" i="1"/>
  <c r="D617" i="1"/>
  <c r="D621" i="1"/>
  <c r="D639" i="1"/>
  <c r="D616" i="1"/>
  <c r="D632" i="1"/>
  <c r="D631" i="1"/>
  <c r="D633" i="1"/>
  <c r="D611" i="1"/>
  <c r="D613" i="1"/>
  <c r="D612" i="1"/>
  <c r="D610" i="1"/>
  <c r="D628" i="1"/>
  <c r="D629" i="1"/>
  <c r="D620" i="1"/>
  <c r="D619" i="1"/>
  <c r="D614" i="1"/>
  <c r="D615" i="1"/>
  <c r="D625" i="1"/>
  <c r="D626" i="1"/>
  <c r="D623" i="1"/>
  <c r="D624" i="1"/>
  <c r="D622" i="1"/>
  <c r="D627" i="1"/>
  <c r="D634" i="1"/>
  <c r="D635" i="1"/>
  <c r="D636" i="1"/>
  <c r="D638" i="1"/>
  <c r="D618" i="1"/>
  <c r="D637" i="1"/>
  <c r="D661" i="1"/>
  <c r="D663" i="1"/>
  <c r="D664" i="1"/>
  <c r="D662" i="1"/>
  <c r="D683" i="1"/>
  <c r="D686" i="1"/>
  <c r="D654" i="1"/>
  <c r="D651" i="1"/>
  <c r="D652" i="1"/>
  <c r="D689" i="1"/>
  <c r="D687" i="1"/>
  <c r="D688" i="1"/>
  <c r="D685" i="1"/>
  <c r="D692" i="1"/>
  <c r="D691" i="1"/>
  <c r="D693" i="1"/>
  <c r="D696" i="1"/>
  <c r="D697" i="1"/>
  <c r="D695" i="1"/>
  <c r="D694" i="1"/>
  <c r="D647" i="1"/>
  <c r="D645" i="1"/>
  <c r="D648" i="1"/>
  <c r="D646" i="1"/>
  <c r="D649" i="1"/>
  <c r="D650" i="1"/>
  <c r="D682" i="1"/>
  <c r="D666" i="1"/>
  <c r="D665" i="1"/>
  <c r="D659" i="1"/>
  <c r="D660" i="1"/>
  <c r="D653" i="1"/>
  <c r="D655" i="1"/>
  <c r="D673" i="1"/>
  <c r="D672" i="1"/>
  <c r="D678" i="1"/>
  <c r="D681" i="1"/>
  <c r="D680" i="1"/>
  <c r="D675" i="1"/>
  <c r="D677" i="1"/>
  <c r="D679" i="1"/>
  <c r="D676" i="1"/>
  <c r="D656" i="1"/>
  <c r="D657" i="1"/>
  <c r="D658" i="1"/>
  <c r="D669" i="1"/>
  <c r="D667" i="1"/>
  <c r="D668" i="1"/>
  <c r="D684" i="1"/>
  <c r="D670" i="1"/>
  <c r="D690" i="1"/>
  <c r="D644" i="1"/>
  <c r="D674" i="1"/>
  <c r="D671" i="1"/>
  <c r="D699" i="1"/>
  <c r="D698" i="1"/>
  <c r="D640" i="1"/>
  <c r="D642" i="1"/>
  <c r="D641" i="1"/>
  <c r="D643" i="1"/>
  <c r="D713" i="1"/>
  <c r="D718" i="1"/>
  <c r="D715" i="1"/>
  <c r="D716" i="1"/>
  <c r="D714" i="1"/>
  <c r="D719" i="1"/>
  <c r="D726" i="1"/>
  <c r="D711" i="1"/>
  <c r="D720" i="1"/>
  <c r="D721" i="1"/>
  <c r="D712" i="1"/>
  <c r="D717" i="1"/>
  <c r="D722" i="1"/>
  <c r="D724" i="1"/>
  <c r="D729" i="1"/>
  <c r="D728" i="1"/>
  <c r="D727" i="1"/>
  <c r="D725" i="1"/>
  <c r="D723" i="1"/>
  <c r="D762" i="1"/>
  <c r="D742" i="1"/>
  <c r="D743" i="1"/>
  <c r="D744" i="1"/>
  <c r="D730" i="1"/>
  <c r="D731" i="1"/>
  <c r="D750" i="1"/>
  <c r="D746" i="1"/>
  <c r="D751" i="1"/>
  <c r="D745" i="1"/>
  <c r="D749" i="1"/>
  <c r="D752" i="1"/>
  <c r="D747" i="1"/>
  <c r="D704" i="1"/>
  <c r="D703" i="1"/>
  <c r="D702" i="1"/>
  <c r="D705" i="1"/>
  <c r="D701" i="1"/>
  <c r="D706" i="1"/>
  <c r="D767" i="1"/>
  <c r="D708" i="1"/>
  <c r="D768" i="1"/>
  <c r="D764" i="1"/>
  <c r="D780" i="1"/>
  <c r="D779" i="1"/>
  <c r="D778" i="1"/>
  <c r="D757" i="1"/>
  <c r="D756" i="1"/>
  <c r="D741" i="1"/>
  <c r="D734" i="1"/>
  <c r="D732" i="1"/>
  <c r="D735" i="1"/>
  <c r="D710" i="1"/>
  <c r="D761" i="1"/>
  <c r="D775" i="1"/>
  <c r="D774" i="1"/>
  <c r="D769" i="1"/>
  <c r="D773" i="1"/>
  <c r="D772" i="1"/>
  <c r="D770" i="1"/>
  <c r="D771" i="1"/>
  <c r="D783" i="1"/>
  <c r="D784" i="1"/>
  <c r="D782" i="1"/>
  <c r="D781" i="1"/>
  <c r="D765" i="1"/>
  <c r="D709" i="1"/>
  <c r="D789" i="1"/>
  <c r="D788" i="1"/>
  <c r="D790" i="1"/>
  <c r="D787" i="1"/>
  <c r="D785" i="1"/>
  <c r="D786" i="1"/>
  <c r="D760" i="1"/>
  <c r="D776" i="1"/>
  <c r="D759" i="1"/>
  <c r="D758" i="1"/>
  <c r="D753" i="1"/>
  <c r="D754" i="1"/>
  <c r="D700" i="1"/>
  <c r="D766" i="1"/>
  <c r="D791" i="1"/>
  <c r="D736" i="1"/>
  <c r="D738" i="1"/>
  <c r="D733" i="1"/>
  <c r="D739" i="1"/>
  <c r="D740" i="1"/>
  <c r="D737" i="1"/>
  <c r="D707" i="1"/>
  <c r="D777" i="1"/>
  <c r="D755" i="1"/>
  <c r="D763" i="1"/>
  <c r="D748" i="1"/>
  <c r="D814" i="1"/>
  <c r="D810" i="1"/>
  <c r="D813" i="1"/>
  <c r="D811" i="1"/>
  <c r="D802" i="1"/>
  <c r="D794" i="1"/>
  <c r="D797" i="1"/>
  <c r="D799" i="1"/>
  <c r="D801" i="1"/>
  <c r="D819" i="1"/>
  <c r="D820" i="1"/>
  <c r="D822" i="1"/>
  <c r="D818" i="1"/>
  <c r="D821" i="1"/>
  <c r="D832" i="1"/>
  <c r="D841" i="1"/>
  <c r="D835" i="1"/>
  <c r="D823" i="1"/>
  <c r="D824" i="1"/>
  <c r="D825" i="1"/>
  <c r="D827" i="1"/>
  <c r="D828" i="1"/>
  <c r="D842" i="1"/>
  <c r="D836" i="1"/>
  <c r="D837" i="1"/>
  <c r="D838" i="1"/>
  <c r="D840" i="1"/>
  <c r="D839" i="1"/>
  <c r="D804" i="1"/>
  <c r="D803" i="1"/>
  <c r="D826" i="1"/>
  <c r="D798" i="1"/>
  <c r="D793" i="1"/>
  <c r="D796" i="1"/>
  <c r="D808" i="1"/>
  <c r="D805" i="1"/>
  <c r="D833" i="1"/>
  <c r="D834" i="1"/>
  <c r="D829" i="1"/>
  <c r="D830" i="1"/>
  <c r="D831" i="1"/>
  <c r="D843" i="1"/>
  <c r="D792" i="1"/>
  <c r="D800" i="1"/>
  <c r="D795" i="1"/>
  <c r="D844" i="1"/>
  <c r="D812" i="1"/>
  <c r="D815" i="1"/>
  <c r="D809" i="1"/>
  <c r="D816" i="1"/>
  <c r="D817" i="1"/>
  <c r="D806" i="1"/>
  <c r="D807" i="1"/>
  <c r="D846" i="1"/>
  <c r="D845" i="1"/>
  <c r="D852" i="1"/>
  <c r="D851" i="1"/>
  <c r="D854" i="1"/>
  <c r="D850" i="1"/>
  <c r="D853" i="1"/>
  <c r="D858" i="1"/>
  <c r="D856" i="1"/>
  <c r="D855" i="1"/>
  <c r="D857" i="1"/>
  <c r="D849" i="1"/>
  <c r="D847" i="1"/>
  <c r="D848" i="1"/>
  <c r="D862" i="1"/>
  <c r="D877" i="1"/>
  <c r="D913" i="1"/>
  <c r="D909" i="1"/>
  <c r="D910" i="1"/>
  <c r="D907" i="1"/>
  <c r="D875" i="1"/>
  <c r="D874" i="1"/>
  <c r="D908" i="1"/>
  <c r="D914" i="1"/>
  <c r="D863" i="1"/>
  <c r="D864" i="1"/>
  <c r="D886" i="1"/>
  <c r="D885" i="1"/>
  <c r="D893" i="1"/>
  <c r="D911" i="1"/>
  <c r="D901" i="1"/>
  <c r="D902" i="1"/>
  <c r="D900" i="1"/>
  <c r="D903" i="1"/>
  <c r="D904" i="1"/>
  <c r="D905" i="1"/>
  <c r="D897" i="1"/>
  <c r="D895" i="1"/>
  <c r="D896" i="1"/>
  <c r="D879" i="1"/>
  <c r="D898" i="1"/>
  <c r="D859" i="1"/>
  <c r="D899" i="1"/>
  <c r="D865" i="1"/>
  <c r="D916" i="1"/>
  <c r="D880" i="1"/>
  <c r="D891" i="1"/>
  <c r="D860" i="1"/>
  <c r="D861" i="1"/>
  <c r="D915" i="1"/>
  <c r="D917" i="1"/>
  <c r="D867" i="1"/>
  <c r="D871" i="1"/>
  <c r="D868" i="1"/>
  <c r="D892" i="1"/>
  <c r="D887" i="1"/>
  <c r="D888" i="1"/>
  <c r="D889" i="1"/>
  <c r="D890" i="1"/>
  <c r="D881" i="1"/>
  <c r="D882" i="1"/>
  <c r="D883" i="1"/>
  <c r="D884" i="1"/>
  <c r="D876" i="1"/>
  <c r="D894" i="1"/>
  <c r="D1016" i="1"/>
  <c r="D1014" i="1"/>
  <c r="D1015" i="1"/>
  <c r="D920" i="1"/>
  <c r="D921" i="1"/>
  <c r="D1009" i="1"/>
  <c r="D922" i="1"/>
  <c r="D923" i="1"/>
  <c r="D924" i="1"/>
  <c r="D925" i="1"/>
  <c r="D926" i="1"/>
  <c r="D927" i="1"/>
  <c r="D1005" i="1"/>
  <c r="D1003" i="1"/>
  <c r="D1001" i="1"/>
  <c r="D1002" i="1"/>
  <c r="D928" i="1"/>
  <c r="D955" i="1"/>
  <c r="D963" i="1"/>
  <c r="D972" i="1"/>
  <c r="D959" i="1"/>
  <c r="D960" i="1"/>
  <c r="D969" i="1"/>
  <c r="D965" i="1"/>
  <c r="D970" i="1"/>
  <c r="D994" i="1"/>
  <c r="D1004" i="1"/>
  <c r="D1000" i="1"/>
  <c r="D982" i="1"/>
  <c r="D981" i="1"/>
  <c r="D990" i="1"/>
  <c r="D989" i="1"/>
  <c r="D985" i="1"/>
  <c r="D992" i="1"/>
  <c r="D984" i="1"/>
  <c r="D986" i="1"/>
  <c r="D983" i="1"/>
  <c r="D991" i="1"/>
  <c r="D988" i="1"/>
  <c r="D987" i="1"/>
  <c r="D1011" i="1"/>
  <c r="D950" i="1"/>
  <c r="D1024" i="1"/>
  <c r="D999" i="1"/>
  <c r="D998" i="1"/>
  <c r="D997" i="1"/>
  <c r="D1029" i="1"/>
  <c r="D1027" i="1"/>
  <c r="D1028" i="1"/>
  <c r="D932" i="1"/>
  <c r="D931" i="1"/>
  <c r="D933" i="1"/>
  <c r="D929" i="1"/>
  <c r="D930" i="1"/>
  <c r="D934" i="1"/>
  <c r="D957" i="1"/>
  <c r="D973" i="1"/>
  <c r="D966" i="1"/>
  <c r="D967" i="1"/>
  <c r="D956" i="1"/>
  <c r="D974" i="1"/>
  <c r="D975" i="1"/>
  <c r="D961" i="1"/>
  <c r="D962" i="1"/>
  <c r="D971" i="1"/>
  <c r="D958" i="1"/>
  <c r="D979" i="1"/>
  <c r="D978" i="1"/>
  <c r="D976" i="1"/>
  <c r="D964" i="1"/>
  <c r="D980" i="1"/>
  <c r="D977" i="1"/>
  <c r="D968" i="1"/>
  <c r="D1026" i="1"/>
  <c r="D1008" i="1"/>
  <c r="D918" i="1"/>
  <c r="D919" i="1"/>
  <c r="D1010" i="1"/>
  <c r="D1013" i="1"/>
  <c r="D1019" i="1"/>
  <c r="D952" i="1"/>
  <c r="D951" i="1"/>
  <c r="D1025" i="1"/>
  <c r="D940" i="1"/>
  <c r="D939" i="1"/>
  <c r="D937" i="1"/>
  <c r="D938" i="1"/>
  <c r="D936" i="1"/>
  <c r="D935" i="1"/>
  <c r="D941" i="1"/>
  <c r="D1018" i="1"/>
  <c r="D1017" i="1"/>
  <c r="D1021" i="1"/>
  <c r="D1022" i="1"/>
  <c r="D1023" i="1"/>
  <c r="D1020" i="1"/>
  <c r="D996" i="1"/>
  <c r="D1012" i="1"/>
  <c r="D954" i="1"/>
  <c r="D953" i="1"/>
  <c r="D995" i="1"/>
  <c r="D1006" i="1"/>
  <c r="D1007" i="1"/>
  <c r="D949" i="1"/>
  <c r="D943" i="1"/>
  <c r="D993" i="1"/>
  <c r="D946" i="1"/>
  <c r="D945" i="1"/>
  <c r="D947" i="1"/>
  <c r="D944" i="1"/>
  <c r="D942" i="1"/>
  <c r="D948" i="1"/>
  <c r="D1084" i="1"/>
  <c r="D1088" i="1"/>
  <c r="D1096" i="1"/>
  <c r="D1091" i="1"/>
  <c r="D1095" i="1"/>
  <c r="D1092" i="1"/>
  <c r="D1093" i="1"/>
  <c r="D1090" i="1"/>
  <c r="D1089" i="1"/>
  <c r="D1094" i="1"/>
  <c r="D1066" i="1"/>
  <c r="D1072" i="1"/>
  <c r="D1073" i="1"/>
  <c r="D1069" i="1"/>
  <c r="D1077" i="1"/>
  <c r="D1076" i="1"/>
  <c r="D1071" i="1"/>
  <c r="D1074" i="1"/>
  <c r="D1067" i="1"/>
  <c r="D1065" i="1"/>
  <c r="D1060" i="1"/>
  <c r="D1059" i="1"/>
  <c r="D1062" i="1"/>
  <c r="D1075" i="1"/>
  <c r="D1070" i="1"/>
  <c r="D1068" i="1"/>
  <c r="D1063" i="1"/>
  <c r="D1064" i="1"/>
  <c r="D1061" i="1"/>
  <c r="D1055" i="1"/>
  <c r="D1058" i="1"/>
  <c r="D1056" i="1"/>
  <c r="D1057" i="1"/>
  <c r="D1053" i="1"/>
  <c r="D1052" i="1"/>
  <c r="D1054" i="1"/>
  <c r="D1080" i="1"/>
  <c r="D1083" i="1"/>
  <c r="D1078" i="1"/>
  <c r="D1079" i="1"/>
  <c r="D1087" i="1"/>
  <c r="D1081" i="1"/>
  <c r="D1082" i="1"/>
  <c r="D1050" i="1"/>
  <c r="D1051" i="1"/>
  <c r="D1097" i="1"/>
  <c r="D1086" i="1"/>
  <c r="D1085" i="1"/>
  <c r="D1048" i="1"/>
  <c r="D1049" i="1"/>
  <c r="D1098" i="1"/>
  <c r="D1105" i="1"/>
  <c r="D1104" i="1"/>
  <c r="D1102" i="1"/>
  <c r="D1103" i="1"/>
  <c r="D1099" i="1"/>
  <c r="D1101" i="1"/>
  <c r="D1100" i="1"/>
  <c r="D1045" i="1"/>
  <c r="D1044" i="1"/>
  <c r="D1043" i="1"/>
  <c r="D1040" i="1"/>
  <c r="D1042" i="1"/>
  <c r="D1041" i="1"/>
  <c r="D1039" i="1"/>
  <c r="D1046" i="1"/>
  <c r="D1047" i="1"/>
  <c r="D1035" i="1"/>
  <c r="D1037" i="1"/>
  <c r="D1030" i="1"/>
  <c r="D1036" i="1"/>
  <c r="D1031" i="1"/>
  <c r="D1032" i="1"/>
  <c r="D1033" i="1"/>
  <c r="D1034" i="1"/>
  <c r="D1038" i="1"/>
  <c r="D906" i="1"/>
  <c r="D912" i="1"/>
  <c r="D869" i="1"/>
  <c r="D873" i="1"/>
  <c r="D870" i="1"/>
  <c r="D866" i="1"/>
  <c r="D872" i="1"/>
  <c r="D878" i="1"/>
  <c r="D1114" i="1"/>
  <c r="D1128" i="1"/>
  <c r="D1124" i="1"/>
  <c r="D1125" i="1"/>
  <c r="D1126" i="1"/>
  <c r="D1127" i="1"/>
  <c r="D1153" i="1"/>
  <c r="D1149" i="1"/>
  <c r="D1113" i="1"/>
  <c r="D1151" i="1"/>
  <c r="D1150" i="1"/>
  <c r="D1148" i="1"/>
  <c r="D1161" i="1"/>
  <c r="D1163" i="1"/>
  <c r="D1107" i="1"/>
  <c r="D1109" i="1"/>
  <c r="D1108" i="1"/>
  <c r="D1111" i="1"/>
  <c r="D1110" i="1"/>
  <c r="D1106" i="1"/>
  <c r="D1129" i="1"/>
  <c r="D1123" i="1"/>
  <c r="D1152" i="1"/>
  <c r="D1145" i="1"/>
  <c r="D1146" i="1"/>
  <c r="D1147" i="1"/>
  <c r="D1144" i="1"/>
  <c r="D1116" i="1"/>
  <c r="D1119" i="1"/>
  <c r="D1112" i="1"/>
  <c r="D1130" i="1"/>
  <c r="D1164" i="1"/>
  <c r="D1121" i="1"/>
  <c r="D1117" i="1"/>
  <c r="D1122" i="1"/>
  <c r="D1120" i="1"/>
  <c r="D1118" i="1"/>
  <c r="D1143" i="1"/>
  <c r="D1137" i="1"/>
  <c r="D1139" i="1"/>
  <c r="D1141" i="1"/>
  <c r="D1138" i="1"/>
  <c r="D1142" i="1"/>
  <c r="D1136" i="1"/>
  <c r="D1140" i="1"/>
  <c r="D1166" i="1"/>
  <c r="D1165" i="1"/>
  <c r="D1167" i="1"/>
  <c r="D1135" i="1"/>
  <c r="D1134" i="1"/>
  <c r="D1131" i="1"/>
  <c r="D1132" i="1"/>
  <c r="D1133" i="1"/>
  <c r="D1155" i="1"/>
  <c r="D1156" i="1"/>
  <c r="D1157" i="1"/>
  <c r="D1158" i="1"/>
  <c r="D1160" i="1"/>
  <c r="D1159" i="1"/>
  <c r="D1154" i="1"/>
  <c r="D1162" i="1"/>
  <c r="D1115" i="1"/>
  <c r="D1216" i="1"/>
  <c r="D1171" i="1"/>
  <c r="D1172" i="1"/>
  <c r="D1218" i="1"/>
  <c r="D1217" i="1"/>
  <c r="D1208" i="1"/>
  <c r="D1209" i="1"/>
  <c r="D1204" i="1"/>
  <c r="D1207" i="1"/>
  <c r="D1170" i="1"/>
  <c r="D1178" i="1"/>
  <c r="D1177" i="1"/>
  <c r="D1181" i="1"/>
  <c r="D1180" i="1"/>
  <c r="D1212" i="1"/>
  <c r="D1168" i="1"/>
  <c r="D1179" i="1"/>
  <c r="D1182" i="1"/>
  <c r="D1223" i="1"/>
  <c r="D1222" i="1"/>
  <c r="D1221" i="1"/>
  <c r="D1220" i="1"/>
  <c r="D1192" i="1"/>
  <c r="D1184" i="1"/>
  <c r="D1185" i="1"/>
  <c r="D1195" i="1"/>
  <c r="D1200" i="1"/>
  <c r="D1202" i="1"/>
  <c r="D1224" i="1"/>
  <c r="D1210" i="1"/>
  <c r="D1211" i="1"/>
  <c r="D1205" i="1"/>
  <c r="D1174" i="1"/>
  <c r="D1175" i="1"/>
  <c r="D1176" i="1"/>
  <c r="D1215" i="1"/>
  <c r="D1196" i="1"/>
  <c r="D1197" i="1"/>
  <c r="D1206" i="1"/>
  <c r="D1203" i="1"/>
  <c r="D1169" i="1"/>
  <c r="D1213" i="1"/>
  <c r="D1214" i="1"/>
  <c r="D1173" i="1"/>
  <c r="D1189" i="1"/>
  <c r="D1183" i="1"/>
  <c r="D1187" i="1"/>
  <c r="D1201" i="1"/>
  <c r="D1199" i="1"/>
  <c r="D1186" i="1"/>
  <c r="D1198" i="1"/>
  <c r="D1193" i="1"/>
  <c r="D1188" i="1"/>
  <c r="D1191" i="1"/>
  <c r="D1194" i="1"/>
  <c r="D1190" i="1"/>
  <c r="D1243" i="1"/>
  <c r="D1242" i="1"/>
  <c r="D1245" i="1"/>
  <c r="D1244" i="1"/>
  <c r="D1225" i="1"/>
  <c r="D1250" i="1"/>
  <c r="D1252" i="1"/>
  <c r="D1258" i="1"/>
  <c r="D1253" i="1"/>
  <c r="D1257" i="1"/>
  <c r="D1259" i="1"/>
  <c r="D1256" i="1"/>
  <c r="D1255" i="1"/>
  <c r="D1254" i="1"/>
  <c r="D1251" i="1"/>
  <c r="D1249" i="1"/>
  <c r="D1231" i="1"/>
  <c r="D1235" i="1"/>
  <c r="D1229" i="1"/>
  <c r="D1230" i="1"/>
  <c r="D1228" i="1"/>
  <c r="D1227" i="1"/>
  <c r="D1246" i="1"/>
  <c r="D1233" i="1"/>
  <c r="D1232" i="1"/>
  <c r="D1234" i="1"/>
  <c r="D1236" i="1"/>
  <c r="D1238" i="1"/>
  <c r="D1226" i="1"/>
  <c r="D1241" i="1"/>
  <c r="D1237" i="1"/>
  <c r="D1240" i="1"/>
  <c r="D1239" i="1"/>
  <c r="D1247" i="1"/>
  <c r="D1248" i="1"/>
  <c r="D1219" i="1"/>
  <c r="D1272" i="1"/>
  <c r="D1262" i="1"/>
  <c r="D1265" i="1"/>
  <c r="D1264" i="1"/>
  <c r="D1263" i="1"/>
  <c r="D1268" i="1"/>
  <c r="D1267" i="1"/>
  <c r="D1270" i="1"/>
  <c r="D1274" i="1"/>
  <c r="D1276" i="1"/>
  <c r="D1277" i="1"/>
  <c r="D1278" i="1"/>
  <c r="D1279" i="1"/>
  <c r="D1280" i="1"/>
  <c r="D1275" i="1"/>
  <c r="D1269" i="1"/>
  <c r="D1261" i="1"/>
  <c r="D1260" i="1"/>
  <c r="D1271" i="1"/>
  <c r="D1273" i="1"/>
  <c r="D1266" i="1"/>
  <c r="D1289" i="1"/>
  <c r="D1291" i="1"/>
  <c r="D1287" i="1"/>
  <c r="D1288" i="1"/>
  <c r="D1285" i="1"/>
  <c r="D1284" i="1"/>
  <c r="D1281" i="1"/>
  <c r="D1283" i="1"/>
  <c r="D1282" i="1"/>
  <c r="D1286" i="1"/>
  <c r="D1290" i="1"/>
  <c r="D1307" i="1"/>
  <c r="D1294" i="1"/>
  <c r="D1292" i="1"/>
  <c r="D1295" i="1"/>
  <c r="D1293" i="1"/>
  <c r="D1301" i="1"/>
  <c r="D1299" i="1"/>
  <c r="D1300" i="1"/>
  <c r="D1308" i="1"/>
  <c r="D1310" i="1"/>
  <c r="D1302" i="1"/>
  <c r="D1304" i="1"/>
  <c r="D1303" i="1"/>
  <c r="D1306" i="1"/>
  <c r="D1305" i="1"/>
  <c r="D1309" i="1"/>
  <c r="D1296" i="1"/>
  <c r="D1297" i="1"/>
  <c r="D1298" i="1"/>
  <c r="D1323" i="1"/>
  <c r="D1327" i="1"/>
  <c r="D1326" i="1"/>
  <c r="D1325" i="1"/>
  <c r="D1312" i="1"/>
  <c r="D1313" i="1"/>
  <c r="D1311" i="1"/>
  <c r="D1316" i="1"/>
  <c r="D1318" i="1"/>
  <c r="D1320" i="1"/>
  <c r="D1315" i="1"/>
  <c r="D1317" i="1"/>
  <c r="D1324" i="1"/>
  <c r="D1314" i="1"/>
  <c r="D1322" i="1"/>
  <c r="D1321" i="1"/>
  <c r="D1319" i="1"/>
  <c r="D1331" i="1"/>
  <c r="D1345" i="1"/>
  <c r="D1344" i="1"/>
  <c r="D1336" i="1"/>
  <c r="D1332" i="1"/>
  <c r="D1334" i="1"/>
  <c r="D1333" i="1"/>
  <c r="D1335" i="1"/>
  <c r="D1347" i="1"/>
  <c r="D1349" i="1"/>
  <c r="D1348" i="1"/>
  <c r="D1328" i="1"/>
  <c r="D1343" i="1"/>
  <c r="D1340" i="1"/>
  <c r="D1341" i="1"/>
  <c r="D1337" i="1"/>
  <c r="D1338" i="1"/>
  <c r="D1339" i="1"/>
  <c r="D1329" i="1"/>
  <c r="D1342" i="1"/>
  <c r="D1346" i="1"/>
  <c r="D1330" i="1"/>
  <c r="D1356" i="1"/>
  <c r="D1357" i="1"/>
  <c r="D1358" i="1"/>
  <c r="D1365" i="1"/>
  <c r="D1364" i="1"/>
  <c r="D1367" i="1"/>
  <c r="D1363" i="1"/>
  <c r="D1368" i="1"/>
  <c r="D1366" i="1"/>
  <c r="D1355" i="1"/>
  <c r="D1354" i="1"/>
  <c r="D1374" i="1"/>
  <c r="D1373" i="1"/>
  <c r="D1369" i="1"/>
  <c r="D1372" i="1"/>
  <c r="D1371" i="1"/>
  <c r="D1370" i="1"/>
  <c r="D1360" i="1"/>
  <c r="D1359" i="1"/>
  <c r="D1352" i="1"/>
  <c r="D1353" i="1"/>
  <c r="D1350" i="1"/>
  <c r="D1351" i="1"/>
  <c r="D1361" i="1"/>
  <c r="D1362" i="1"/>
  <c r="D1376" i="1"/>
  <c r="D1375" i="1"/>
  <c r="D1377" i="1"/>
  <c r="D1381" i="1"/>
  <c r="D1384" i="1"/>
  <c r="D1380" i="1"/>
  <c r="D1387" i="1"/>
  <c r="D1389" i="1"/>
  <c r="D1386" i="1"/>
  <c r="D1388" i="1"/>
  <c r="D1382" i="1"/>
  <c r="D1379" i="1"/>
  <c r="D1378" i="1"/>
  <c r="D1385" i="1"/>
  <c r="D1391" i="1"/>
  <c r="D1392" i="1"/>
  <c r="D1390" i="1"/>
  <c r="D1399" i="1"/>
  <c r="D1394" i="1"/>
  <c r="D1405" i="1"/>
  <c r="D1406" i="1"/>
  <c r="D1401" i="1"/>
  <c r="D1402" i="1"/>
  <c r="D1403" i="1"/>
  <c r="D1393" i="1"/>
  <c r="D1398" i="1"/>
  <c r="D1396" i="1"/>
  <c r="D1397" i="1"/>
  <c r="D1395" i="1"/>
  <c r="D1400" i="1"/>
  <c r="D1407" i="1"/>
  <c r="D1404" i="1"/>
  <c r="D1411" i="1"/>
  <c r="D1412" i="1"/>
  <c r="D1414" i="1"/>
  <c r="D1409" i="1"/>
  <c r="D1416" i="1"/>
  <c r="D1410" i="1"/>
  <c r="D1415" i="1"/>
  <c r="D1413" i="1"/>
  <c r="D1419" i="1"/>
  <c r="D1408" i="1"/>
  <c r="D1417" i="1"/>
  <c r="D1418" i="1"/>
  <c r="D1420" i="1"/>
  <c r="D1424" i="1"/>
  <c r="D1423" i="1"/>
  <c r="D1422" i="1"/>
  <c r="D1425" i="1"/>
  <c r="D1426" i="1"/>
  <c r="D1421" i="1"/>
  <c r="D1430" i="1"/>
  <c r="D1431" i="1"/>
  <c r="D1433" i="1"/>
  <c r="D1432" i="1"/>
  <c r="D1436" i="1"/>
  <c r="D1437" i="1"/>
  <c r="D1435" i="1"/>
  <c r="D1438" i="1"/>
  <c r="D1434" i="1"/>
  <c r="D1439" i="1"/>
  <c r="D1440" i="1"/>
  <c r="D1444" i="1"/>
  <c r="D1443" i="1"/>
  <c r="D1442" i="1"/>
  <c r="D1441" i="1"/>
  <c r="D1446" i="1"/>
  <c r="D1445" i="1"/>
  <c r="D1427" i="1"/>
  <c r="D1429" i="1"/>
  <c r="D1428" i="1"/>
  <c r="D1454" i="1"/>
  <c r="D1452" i="1"/>
  <c r="D1451" i="1"/>
  <c r="D1450" i="1"/>
  <c r="D1449" i="1"/>
  <c r="D1447" i="1"/>
  <c r="D1448" i="1"/>
  <c r="D1453" i="1"/>
  <c r="D1456" i="1"/>
  <c r="D1485" i="1"/>
  <c r="D1486" i="1"/>
  <c r="D1467" i="1"/>
  <c r="D1463" i="1"/>
  <c r="D1487" i="1"/>
  <c r="D1460" i="1"/>
  <c r="D1478" i="1"/>
  <c r="D1459" i="1"/>
  <c r="D1488" i="1"/>
  <c r="D1483" i="1"/>
  <c r="D1482" i="1"/>
  <c r="D1484" i="1"/>
  <c r="D1458" i="1"/>
  <c r="D1481" i="1"/>
  <c r="D1480" i="1"/>
  <c r="D1479" i="1"/>
  <c r="D1457" i="1"/>
  <c r="D1461" i="1"/>
  <c r="D1469" i="1"/>
  <c r="D1465" i="1"/>
  <c r="D1466" i="1"/>
  <c r="D1462" i="1"/>
  <c r="D1468" i="1"/>
  <c r="D1464" i="1"/>
  <c r="D1474" i="1"/>
  <c r="D1471" i="1"/>
  <c r="D1472" i="1"/>
  <c r="D1473" i="1"/>
  <c r="D1470" i="1"/>
  <c r="D1489" i="1"/>
  <c r="D1491" i="1"/>
  <c r="D1490" i="1"/>
  <c r="D1475" i="1"/>
  <c r="D1476" i="1"/>
  <c r="D1477" i="1"/>
  <c r="D1383" i="1"/>
  <c r="D1542" i="1"/>
  <c r="D1541" i="1"/>
  <c r="D1537" i="1"/>
  <c r="D1535" i="1"/>
  <c r="D1536" i="1"/>
  <c r="D1538" i="1"/>
  <c r="D1539" i="1"/>
  <c r="D1540" i="1"/>
  <c r="D1498" i="1"/>
  <c r="D1499" i="1"/>
  <c r="D1497" i="1"/>
  <c r="D1512" i="1"/>
  <c r="D1508" i="1"/>
  <c r="D1511" i="1"/>
  <c r="D1507" i="1"/>
  <c r="D1509" i="1"/>
  <c r="D1510" i="1"/>
  <c r="D1513" i="1"/>
  <c r="D1515" i="1"/>
  <c r="D1517" i="1"/>
  <c r="D1531" i="1"/>
  <c r="D1530" i="1"/>
  <c r="D1492" i="1"/>
  <c r="D1524" i="1"/>
  <c r="D1525" i="1"/>
  <c r="D1523" i="1"/>
  <c r="D1522" i="1"/>
  <c r="D1495" i="1"/>
  <c r="D1496" i="1"/>
  <c r="D1494" i="1"/>
  <c r="D1534" i="1"/>
  <c r="D1532" i="1"/>
  <c r="D1533" i="1"/>
  <c r="D1506" i="1"/>
  <c r="D1505" i="1"/>
  <c r="D1503" i="1"/>
  <c r="D1501" i="1"/>
  <c r="D1504" i="1"/>
  <c r="D1502" i="1"/>
  <c r="D1519" i="1"/>
  <c r="D1518" i="1"/>
  <c r="D1529" i="1"/>
  <c r="D1514" i="1"/>
  <c r="D1520" i="1"/>
  <c r="D1493" i="1"/>
  <c r="D1500" i="1"/>
  <c r="D1516" i="1"/>
  <c r="D1521" i="1"/>
  <c r="D1527" i="1"/>
  <c r="D1528" i="1"/>
  <c r="D1526" i="1"/>
  <c r="D1543" i="1"/>
  <c r="D1556" i="1"/>
  <c r="D1555" i="1"/>
  <c r="D1557" i="1"/>
  <c r="D1560" i="1"/>
  <c r="D1558" i="1"/>
  <c r="D1544" i="1"/>
  <c r="D1545" i="1"/>
  <c r="D1559" i="1"/>
  <c r="D1584" i="1"/>
  <c r="D1596" i="1"/>
  <c r="D1585" i="1"/>
  <c r="D1568" i="1"/>
  <c r="D1572" i="1"/>
  <c r="D1577" i="1"/>
  <c r="D1566" i="1"/>
  <c r="D1578" i="1"/>
  <c r="D1574" i="1"/>
  <c r="D1573" i="1"/>
  <c r="D1581" i="1"/>
  <c r="D1582" i="1"/>
  <c r="D1570" i="1"/>
  <c r="D1575" i="1"/>
  <c r="D1571" i="1"/>
  <c r="D1576" i="1"/>
  <c r="D1564" i="1"/>
  <c r="D1579" i="1"/>
  <c r="D1567" i="1"/>
  <c r="D1569" i="1"/>
  <c r="D1580" i="1"/>
  <c r="D1591" i="1"/>
  <c r="D1593" i="1"/>
  <c r="D1586" i="1"/>
  <c r="D1587" i="1"/>
  <c r="D1588" i="1"/>
  <c r="D1589" i="1"/>
  <c r="D1590" i="1"/>
  <c r="D1592" i="1"/>
  <c r="D1594" i="1"/>
  <c r="D1562" i="1"/>
  <c r="D1595" i="1"/>
  <c r="D1583" i="1"/>
  <c r="D1563" i="1"/>
  <c r="D1619" i="1"/>
  <c r="D1622" i="1"/>
  <c r="D1620" i="1"/>
  <c r="D1565" i="1"/>
  <c r="D1636" i="1"/>
  <c r="D1637" i="1"/>
  <c r="D1599" i="1"/>
  <c r="D1615" i="1"/>
  <c r="D1616" i="1"/>
  <c r="D1614" i="1"/>
  <c r="D1617" i="1"/>
  <c r="D1610" i="1"/>
  <c r="D1611" i="1"/>
  <c r="D1607" i="1"/>
  <c r="D1612" i="1"/>
  <c r="D1608" i="1"/>
  <c r="D1609" i="1"/>
  <c r="D1639" i="1"/>
  <c r="D1638" i="1"/>
  <c r="D1645" i="1"/>
  <c r="D1643" i="1"/>
  <c r="D1598" i="1"/>
  <c r="D1613" i="1"/>
  <c r="D1623" i="1"/>
  <c r="D1621" i="1"/>
  <c r="D1624" i="1"/>
  <c r="D1561" i="1"/>
  <c r="D1628" i="1"/>
  <c r="D1618" i="1"/>
  <c r="D1602" i="1"/>
  <c r="D1546" i="1"/>
  <c r="D1600" i="1"/>
  <c r="D1550" i="1"/>
  <c r="D1549" i="1"/>
  <c r="D1554" i="1"/>
  <c r="D1597" i="1"/>
  <c r="D1626" i="1"/>
  <c r="D1627" i="1"/>
  <c r="D1625" i="1"/>
  <c r="D1644" i="1"/>
  <c r="D1547" i="1"/>
  <c r="D1551" i="1"/>
  <c r="D1552" i="1"/>
  <c r="D1553" i="1"/>
  <c r="D1640" i="1"/>
  <c r="D1548" i="1"/>
  <c r="D1654" i="1"/>
  <c r="D1655" i="1"/>
  <c r="D1646" i="1"/>
  <c r="D1648" i="1"/>
  <c r="D1647" i="1"/>
  <c r="D1633" i="1"/>
  <c r="D1634" i="1"/>
  <c r="D1635" i="1"/>
  <c r="D1630" i="1"/>
  <c r="D1629" i="1"/>
  <c r="D1631" i="1"/>
  <c r="D1632" i="1"/>
  <c r="D1652" i="1"/>
  <c r="D1656" i="1"/>
  <c r="D1686" i="1"/>
  <c r="D1681" i="1"/>
  <c r="D1682" i="1"/>
  <c r="D1673" i="1"/>
  <c r="D1663" i="1"/>
  <c r="D1700" i="1"/>
  <c r="D1665" i="1"/>
  <c r="D1666" i="1"/>
  <c r="D1667" i="1"/>
  <c r="D1670" i="1"/>
  <c r="D1672" i="1"/>
  <c r="D1675" i="1"/>
  <c r="D1674" i="1"/>
  <c r="D1671" i="1"/>
  <c r="D1668" i="1"/>
  <c r="D1687" i="1"/>
  <c r="D1699" i="1"/>
  <c r="D1662" i="1"/>
  <c r="D1683" i="1"/>
  <c r="D1657" i="1"/>
  <c r="D1693" i="1"/>
  <c r="D1694" i="1"/>
  <c r="D1692" i="1"/>
  <c r="D1689" i="1"/>
  <c r="D1690" i="1"/>
  <c r="D1696" i="1"/>
  <c r="D1691" i="1"/>
  <c r="D1697" i="1"/>
  <c r="D1698" i="1"/>
  <c r="D1695" i="1"/>
  <c r="D1685" i="1"/>
  <c r="D1677" i="1"/>
  <c r="D1676" i="1"/>
  <c r="D1679" i="1"/>
  <c r="D1678" i="1"/>
  <c r="D1680" i="1"/>
  <c r="D1684" i="1"/>
  <c r="D1703" i="1"/>
  <c r="D1705" i="1"/>
  <c r="D1688" i="1"/>
  <c r="D1701" i="1"/>
  <c r="D1704" i="1"/>
  <c r="D1659" i="1"/>
  <c r="D1658" i="1"/>
  <c r="D1661" i="1"/>
  <c r="D1660" i="1"/>
  <c r="D1702" i="1"/>
  <c r="D1651" i="1"/>
  <c r="D1706" i="1"/>
  <c r="D9" i="1"/>
  <c r="I1706" i="1"/>
  <c r="I15" i="1"/>
  <c r="I9" i="1" l="1"/>
  <c r="I1651" i="1"/>
  <c r="I1702" i="1"/>
  <c r="I1660" i="1"/>
  <c r="I1661" i="1"/>
  <c r="I1658" i="1"/>
  <c r="I1704" i="1"/>
  <c r="I1701" i="1"/>
  <c r="I1688" i="1"/>
  <c r="I1705" i="1"/>
  <c r="I1703" i="1"/>
  <c r="I1684" i="1"/>
  <c r="I1680" i="1"/>
  <c r="I1678" i="1"/>
  <c r="I1679" i="1"/>
  <c r="I1676" i="1"/>
  <c r="I1677" i="1"/>
  <c r="I1685" i="1"/>
  <c r="I1695" i="1"/>
  <c r="I1698" i="1"/>
  <c r="I1697" i="1"/>
  <c r="I1691" i="1"/>
  <c r="I1696" i="1"/>
  <c r="I1690" i="1"/>
  <c r="I1689" i="1"/>
  <c r="I1692" i="1"/>
  <c r="I1694" i="1"/>
  <c r="I1693" i="1"/>
  <c r="I1657" i="1"/>
  <c r="I1683" i="1"/>
  <c r="I1662" i="1"/>
  <c r="I1699" i="1"/>
  <c r="I1687" i="1"/>
  <c r="I1668" i="1"/>
  <c r="I1671" i="1"/>
  <c r="I1674" i="1"/>
  <c r="I1675" i="1"/>
  <c r="I1672" i="1"/>
  <c r="I1670" i="1"/>
  <c r="I1667" i="1"/>
  <c r="I1666" i="1"/>
  <c r="I1665" i="1"/>
  <c r="I1664" i="1"/>
  <c r="I1700" i="1"/>
  <c r="I1663" i="1"/>
  <c r="I1673" i="1"/>
  <c r="I1682" i="1"/>
  <c r="I1681" i="1"/>
  <c r="I1686" i="1"/>
  <c r="I1656" i="1"/>
  <c r="I1652" i="1"/>
  <c r="I1632" i="1"/>
  <c r="I1631" i="1"/>
  <c r="I1629" i="1"/>
  <c r="I1630" i="1"/>
  <c r="I1635" i="1"/>
  <c r="I1634" i="1"/>
  <c r="I1633" i="1"/>
  <c r="I1647" i="1"/>
  <c r="I1648" i="1"/>
  <c r="I1646" i="1"/>
  <c r="I1655" i="1"/>
  <c r="I1654" i="1"/>
  <c r="I1548" i="1"/>
  <c r="I1640" i="1"/>
  <c r="I1553" i="1"/>
  <c r="I1552" i="1"/>
  <c r="I1551" i="1"/>
  <c r="I1547" i="1"/>
  <c r="I1644" i="1"/>
  <c r="I1625" i="1"/>
  <c r="I1627" i="1"/>
  <c r="I1626" i="1"/>
  <c r="I1597" i="1"/>
  <c r="I1554" i="1"/>
  <c r="I1549" i="1"/>
  <c r="I1550" i="1"/>
  <c r="I1600" i="1"/>
  <c r="I1546" i="1"/>
  <c r="I1602" i="1"/>
  <c r="I1618" i="1"/>
  <c r="I1628" i="1"/>
  <c r="I1561" i="1"/>
  <c r="I1624" i="1"/>
  <c r="I1621" i="1"/>
  <c r="I1623" i="1"/>
  <c r="I1613" i="1"/>
  <c r="I1598" i="1"/>
  <c r="I1643" i="1"/>
  <c r="I1645" i="1"/>
  <c r="I1638" i="1"/>
  <c r="I1639" i="1"/>
  <c r="I1609" i="1"/>
  <c r="I1608" i="1"/>
  <c r="I1612" i="1"/>
  <c r="I1607" i="1"/>
  <c r="I1611" i="1"/>
  <c r="I1610" i="1"/>
  <c r="I1617" i="1"/>
  <c r="I1614" i="1"/>
  <c r="I1616" i="1"/>
  <c r="I1615" i="1"/>
  <c r="I1599" i="1"/>
  <c r="I1637" i="1"/>
  <c r="I1636" i="1"/>
  <c r="I1565" i="1"/>
  <c r="I1620" i="1"/>
  <c r="I1622" i="1"/>
  <c r="I1619" i="1"/>
  <c r="I1563" i="1"/>
  <c r="I1583" i="1"/>
  <c r="I1595" i="1"/>
  <c r="I1562" i="1"/>
  <c r="I1594" i="1"/>
  <c r="I1592" i="1"/>
  <c r="I1590" i="1"/>
  <c r="I1589" i="1"/>
  <c r="I1588" i="1"/>
  <c r="I1587" i="1"/>
  <c r="I1586" i="1"/>
  <c r="I1593" i="1"/>
  <c r="I1591" i="1"/>
  <c r="I1580" i="1"/>
  <c r="I1569" i="1"/>
  <c r="I1567" i="1"/>
  <c r="I1579" i="1"/>
  <c r="I1564" i="1"/>
  <c r="I1576" i="1"/>
  <c r="I1571" i="1"/>
  <c r="I1575" i="1"/>
  <c r="I1570" i="1"/>
  <c r="I1582" i="1"/>
  <c r="I1581" i="1"/>
  <c r="I1573" i="1"/>
  <c r="I1574" i="1"/>
  <c r="I1578" i="1"/>
  <c r="I1566" i="1"/>
  <c r="I1577" i="1"/>
  <c r="I1572" i="1"/>
  <c r="I1568" i="1"/>
  <c r="I1585" i="1"/>
  <c r="I1596" i="1"/>
  <c r="I1584" i="1"/>
  <c r="I1559" i="1"/>
  <c r="I1545" i="1"/>
  <c r="I1544" i="1"/>
  <c r="I1558" i="1"/>
  <c r="I1560" i="1"/>
  <c r="I1555" i="1"/>
  <c r="I1556" i="1"/>
  <c r="I1543" i="1"/>
  <c r="I1526" i="1"/>
  <c r="I1528" i="1"/>
  <c r="I1527" i="1"/>
  <c r="I1521" i="1"/>
  <c r="I1516" i="1"/>
  <c r="I1500" i="1"/>
  <c r="I1493" i="1"/>
  <c r="I1520" i="1"/>
  <c r="I1514" i="1"/>
  <c r="I1529" i="1"/>
  <c r="I1518" i="1"/>
  <c r="I1519" i="1"/>
  <c r="I1502" i="1"/>
  <c r="I1504" i="1"/>
  <c r="I1501" i="1"/>
  <c r="I1503" i="1"/>
  <c r="I1505" i="1"/>
  <c r="I1506" i="1"/>
  <c r="I1533" i="1"/>
  <c r="I1532" i="1"/>
  <c r="I1534" i="1"/>
  <c r="I1494" i="1"/>
  <c r="I1496" i="1"/>
  <c r="I1495" i="1"/>
  <c r="I1522" i="1"/>
  <c r="I1523" i="1"/>
  <c r="I1525" i="1"/>
  <c r="I1524" i="1"/>
  <c r="I1492" i="1"/>
  <c r="I1530" i="1"/>
  <c r="I1531" i="1"/>
  <c r="I1517" i="1"/>
  <c r="I1515" i="1"/>
  <c r="I1513" i="1"/>
  <c r="I1510" i="1"/>
  <c r="I1509" i="1"/>
  <c r="I1507" i="1"/>
  <c r="I1511" i="1"/>
  <c r="I1508" i="1"/>
  <c r="I1512" i="1"/>
  <c r="I1497" i="1"/>
  <c r="I1499" i="1"/>
  <c r="I1498" i="1"/>
  <c r="I1540" i="1"/>
  <c r="I1539" i="1"/>
  <c r="I1538" i="1"/>
  <c r="I1536" i="1"/>
  <c r="I1535" i="1"/>
  <c r="I1537" i="1"/>
  <c r="I1541" i="1"/>
  <c r="I1542" i="1"/>
  <c r="I1383" i="1"/>
  <c r="I1477" i="1"/>
  <c r="I1476" i="1"/>
  <c r="I1475" i="1"/>
  <c r="I1490" i="1"/>
  <c r="I1491" i="1"/>
  <c r="I1489" i="1"/>
  <c r="I1470" i="1"/>
  <c r="I1473" i="1"/>
  <c r="I1472" i="1"/>
  <c r="I1471" i="1"/>
  <c r="I1474" i="1"/>
  <c r="I1464" i="1"/>
  <c r="I1468" i="1"/>
  <c r="I1462" i="1"/>
  <c r="I1466" i="1"/>
  <c r="I1465" i="1"/>
  <c r="I1469" i="1"/>
  <c r="I1461" i="1"/>
  <c r="I1479" i="1"/>
  <c r="I1480" i="1"/>
  <c r="I1481" i="1"/>
  <c r="I1458" i="1"/>
  <c r="I1484" i="1"/>
  <c r="I1482" i="1"/>
  <c r="I1483" i="1"/>
  <c r="I1488" i="1"/>
  <c r="I1459" i="1"/>
  <c r="I1478" i="1"/>
  <c r="I1460" i="1"/>
  <c r="I1487" i="1"/>
  <c r="I1463" i="1"/>
  <c r="I1467" i="1"/>
  <c r="I1486" i="1"/>
  <c r="I1485" i="1"/>
  <c r="I1456" i="1"/>
  <c r="I1453" i="1"/>
  <c r="I1448" i="1"/>
  <c r="I1447" i="1"/>
  <c r="I1449" i="1"/>
  <c r="I1450" i="1"/>
  <c r="I1451" i="1"/>
  <c r="I1452" i="1"/>
  <c r="I1454" i="1"/>
  <c r="I1428" i="1"/>
  <c r="I1429" i="1"/>
  <c r="I1427" i="1"/>
  <c r="I1445" i="1"/>
  <c r="I1446" i="1"/>
  <c r="I1441" i="1"/>
  <c r="I1442" i="1"/>
  <c r="I1443" i="1"/>
  <c r="I1444" i="1"/>
  <c r="I1440" i="1"/>
  <c r="I1439" i="1"/>
  <c r="I1434" i="1"/>
  <c r="I1438" i="1"/>
  <c r="I1435" i="1"/>
  <c r="I1437" i="1"/>
  <c r="I1436" i="1"/>
  <c r="I1432" i="1"/>
  <c r="I1433" i="1"/>
  <c r="I1431" i="1"/>
  <c r="I1430" i="1"/>
  <c r="I1421" i="1"/>
  <c r="I1426" i="1"/>
  <c r="I1425" i="1"/>
  <c r="I1422" i="1"/>
  <c r="I1423" i="1"/>
  <c r="I1424" i="1"/>
  <c r="I1420" i="1"/>
  <c r="I1418" i="1"/>
  <c r="I1417" i="1"/>
  <c r="I1408" i="1"/>
  <c r="I1419" i="1"/>
  <c r="I1413" i="1"/>
  <c r="I1415" i="1"/>
  <c r="I1410" i="1"/>
  <c r="I1416" i="1"/>
  <c r="I1409" i="1"/>
  <c r="I1414" i="1"/>
  <c r="I1412" i="1"/>
  <c r="I1411" i="1"/>
  <c r="I1404" i="1"/>
  <c r="I1407" i="1"/>
  <c r="I1400" i="1"/>
  <c r="I1395" i="1"/>
  <c r="I1397" i="1"/>
  <c r="I1396" i="1"/>
  <c r="I1398" i="1"/>
  <c r="I1393" i="1"/>
  <c r="I1403" i="1"/>
  <c r="I1402" i="1"/>
  <c r="I1401" i="1"/>
  <c r="I1406" i="1"/>
  <c r="I1405" i="1"/>
  <c r="I1394" i="1"/>
  <c r="I1399" i="1"/>
  <c r="I1390" i="1"/>
  <c r="I1392" i="1"/>
  <c r="I1391" i="1"/>
  <c r="I1385" i="1"/>
  <c r="I1378" i="1"/>
  <c r="I1379" i="1"/>
  <c r="I1382" i="1"/>
  <c r="I1388" i="1"/>
  <c r="I1386" i="1"/>
  <c r="I1389" i="1"/>
  <c r="I1387" i="1"/>
  <c r="I1380" i="1"/>
  <c r="I1384" i="1"/>
  <c r="I1381" i="1"/>
  <c r="I1377" i="1"/>
  <c r="I1375" i="1"/>
  <c r="I1376" i="1"/>
  <c r="I1362" i="1"/>
  <c r="I1361" i="1"/>
  <c r="I1351" i="1"/>
  <c r="I1350" i="1"/>
  <c r="I1353" i="1"/>
  <c r="I1352" i="1"/>
  <c r="I1359" i="1"/>
  <c r="I1360" i="1"/>
  <c r="I1370" i="1"/>
  <c r="I1371" i="1"/>
  <c r="I1372" i="1"/>
  <c r="I1369" i="1"/>
  <c r="I1373" i="1"/>
  <c r="I1374" i="1"/>
  <c r="I1354" i="1"/>
  <c r="I1355" i="1"/>
  <c r="I1366" i="1"/>
  <c r="I1368" i="1"/>
  <c r="I1363" i="1"/>
  <c r="I1367" i="1"/>
  <c r="I1364" i="1"/>
  <c r="I1365" i="1"/>
  <c r="I1358" i="1"/>
  <c r="I1357" i="1"/>
  <c r="I1356" i="1"/>
  <c r="I1330" i="1"/>
  <c r="I1346" i="1"/>
  <c r="I1342" i="1"/>
  <c r="I1329" i="1"/>
  <c r="I1339" i="1"/>
  <c r="I1338" i="1"/>
  <c r="I1337" i="1"/>
  <c r="I1341" i="1"/>
  <c r="I1340" i="1"/>
  <c r="I1343" i="1"/>
  <c r="I1328" i="1"/>
  <c r="I1348" i="1"/>
  <c r="I1349" i="1"/>
  <c r="I1347" i="1"/>
  <c r="I1335" i="1"/>
  <c r="I1333" i="1"/>
  <c r="I1334" i="1"/>
  <c r="I1332" i="1"/>
  <c r="I1336" i="1"/>
  <c r="I1344" i="1"/>
  <c r="I1345" i="1"/>
  <c r="I1331" i="1"/>
  <c r="I1319" i="1"/>
  <c r="I1321" i="1"/>
  <c r="I1322" i="1"/>
  <c r="I1314" i="1"/>
  <c r="I1324" i="1"/>
  <c r="I1317" i="1"/>
  <c r="I1315" i="1"/>
  <c r="I1320" i="1"/>
  <c r="I1318" i="1"/>
  <c r="I1316" i="1"/>
  <c r="I1311" i="1"/>
  <c r="I1313" i="1"/>
  <c r="I1312" i="1"/>
  <c r="I1325" i="1"/>
  <c r="I1326" i="1"/>
  <c r="I1327" i="1"/>
  <c r="I1323" i="1"/>
  <c r="I1298" i="1"/>
  <c r="I1297" i="1"/>
  <c r="I1296" i="1"/>
  <c r="I1309" i="1"/>
  <c r="I1305" i="1"/>
  <c r="I1306" i="1"/>
  <c r="I1303" i="1"/>
  <c r="I1304" i="1"/>
  <c r="I1302" i="1"/>
  <c r="I1310" i="1"/>
  <c r="I1308" i="1"/>
  <c r="I1300" i="1"/>
  <c r="I1299" i="1"/>
  <c r="I1301" i="1"/>
  <c r="I1293" i="1"/>
  <c r="I1295" i="1"/>
  <c r="I1292" i="1"/>
  <c r="I1294" i="1"/>
  <c r="I1307" i="1"/>
  <c r="I1290" i="1"/>
  <c r="I1286" i="1"/>
  <c r="I1282" i="1"/>
  <c r="I1283" i="1"/>
  <c r="I1281" i="1"/>
  <c r="I1284" i="1"/>
  <c r="I1285" i="1"/>
  <c r="I1288" i="1"/>
  <c r="I1287" i="1"/>
  <c r="I1291" i="1"/>
  <c r="I1289" i="1"/>
  <c r="I1266" i="1"/>
  <c r="I1273" i="1"/>
  <c r="I1271" i="1"/>
  <c r="I1260" i="1"/>
  <c r="I1261" i="1"/>
  <c r="I1269" i="1"/>
  <c r="I1275" i="1"/>
  <c r="I1280" i="1"/>
  <c r="I1279" i="1"/>
  <c r="I1278" i="1"/>
  <c r="I1277" i="1"/>
  <c r="I1276" i="1"/>
  <c r="I1274" i="1"/>
  <c r="I1270" i="1"/>
  <c r="I1267" i="1"/>
  <c r="I1268" i="1"/>
  <c r="I1263" i="1"/>
  <c r="I1264" i="1"/>
  <c r="I1265" i="1"/>
  <c r="I1262" i="1"/>
  <c r="I1272" i="1"/>
  <c r="I1219" i="1"/>
  <c r="I1248" i="1"/>
  <c r="I1247" i="1"/>
  <c r="I1239" i="1"/>
  <c r="I1240" i="1"/>
  <c r="I1237" i="1"/>
  <c r="I1241" i="1"/>
  <c r="I1226" i="1"/>
  <c r="I1238" i="1"/>
  <c r="I1236" i="1"/>
  <c r="I1234" i="1"/>
  <c r="I1232" i="1"/>
  <c r="I1233" i="1"/>
  <c r="I1246" i="1"/>
  <c r="I1227" i="1"/>
  <c r="I1228" i="1"/>
  <c r="I1230" i="1"/>
  <c r="I1229" i="1"/>
  <c r="I1235" i="1"/>
  <c r="I1231" i="1"/>
  <c r="I1249" i="1"/>
  <c r="I1251" i="1"/>
  <c r="I1254" i="1"/>
  <c r="I1255" i="1"/>
  <c r="I1256" i="1"/>
  <c r="I1259" i="1"/>
  <c r="I1257" i="1"/>
  <c r="I1253" i="1"/>
  <c r="I1258" i="1"/>
  <c r="I1252" i="1"/>
  <c r="I1250" i="1"/>
  <c r="I1225" i="1"/>
  <c r="I1244" i="1"/>
  <c r="I1245" i="1"/>
  <c r="I1242" i="1"/>
  <c r="I1243" i="1"/>
  <c r="I1190" i="1"/>
  <c r="I1194" i="1"/>
  <c r="I1191" i="1"/>
  <c r="I1188" i="1"/>
  <c r="I1193" i="1"/>
  <c r="I1198" i="1"/>
  <c r="I1186" i="1"/>
  <c r="I1199" i="1"/>
  <c r="I1201" i="1"/>
  <c r="I1187" i="1"/>
  <c r="I1183" i="1"/>
  <c r="I1189" i="1"/>
  <c r="I1173" i="1"/>
  <c r="I1214" i="1"/>
  <c r="I1213" i="1"/>
  <c r="I1169" i="1"/>
  <c r="I1203" i="1"/>
  <c r="I1206" i="1"/>
  <c r="I1197" i="1"/>
  <c r="I1196" i="1"/>
  <c r="I1215" i="1"/>
  <c r="I1176" i="1"/>
  <c r="I1175" i="1"/>
  <c r="I1174" i="1"/>
  <c r="I1205" i="1"/>
  <c r="I1211" i="1"/>
  <c r="I1210" i="1"/>
  <c r="I1224" i="1"/>
  <c r="I1202" i="1"/>
  <c r="I1200" i="1"/>
  <c r="I1195" i="1"/>
  <c r="I1185" i="1"/>
  <c r="I1184" i="1"/>
  <c r="I1192" i="1"/>
  <c r="I1220" i="1"/>
  <c r="I1221" i="1"/>
  <c r="I1222" i="1"/>
  <c r="I1223" i="1"/>
  <c r="I1182" i="1"/>
  <c r="I1179" i="1"/>
  <c r="I1168" i="1"/>
  <c r="I1212" i="1"/>
  <c r="I1180" i="1"/>
  <c r="I1181" i="1"/>
  <c r="I1177" i="1"/>
  <c r="I1178" i="1"/>
  <c r="I1170" i="1"/>
  <c r="I1207" i="1"/>
  <c r="I1204" i="1"/>
  <c r="I1209" i="1"/>
  <c r="I1208" i="1"/>
  <c r="I1217" i="1"/>
  <c r="I1218" i="1"/>
  <c r="I1172" i="1"/>
  <c r="I1171" i="1"/>
  <c r="I1216" i="1"/>
  <c r="I1115" i="1"/>
  <c r="I1162" i="1"/>
  <c r="I1154" i="1"/>
  <c r="I1159" i="1"/>
  <c r="I1160" i="1"/>
  <c r="I1158" i="1"/>
  <c r="I1157" i="1"/>
  <c r="I1156" i="1"/>
  <c r="I1155" i="1"/>
  <c r="I1133" i="1"/>
  <c r="I1132" i="1"/>
  <c r="I1131" i="1"/>
  <c r="I1134" i="1"/>
  <c r="I1135" i="1"/>
  <c r="I1167" i="1"/>
  <c r="I1165" i="1"/>
  <c r="I1166" i="1"/>
  <c r="I1140" i="1"/>
  <c r="I1136" i="1"/>
  <c r="I1142" i="1"/>
  <c r="I1138" i="1"/>
  <c r="I1141" i="1"/>
  <c r="I1139" i="1"/>
  <c r="I1137" i="1"/>
  <c r="I1143" i="1"/>
  <c r="I1118" i="1"/>
  <c r="I1120" i="1"/>
  <c r="I1122" i="1"/>
  <c r="I1117" i="1"/>
  <c r="I1121" i="1"/>
  <c r="I1164" i="1"/>
  <c r="I1130" i="1"/>
  <c r="I1112" i="1"/>
  <c r="I1119" i="1"/>
  <c r="I1116" i="1"/>
  <c r="I1144" i="1"/>
  <c r="I1147" i="1"/>
  <c r="I1146" i="1"/>
  <c r="I1145" i="1"/>
  <c r="I1152" i="1"/>
  <c r="I1123" i="1"/>
  <c r="I1129" i="1"/>
  <c r="I1106" i="1"/>
  <c r="I1110" i="1"/>
  <c r="I1111" i="1"/>
  <c r="I1108" i="1"/>
  <c r="I1109" i="1"/>
  <c r="I1107" i="1"/>
  <c r="I1163" i="1"/>
  <c r="I1161" i="1"/>
  <c r="I1148" i="1"/>
  <c r="I1150" i="1"/>
  <c r="I1151" i="1"/>
  <c r="I1113" i="1"/>
  <c r="I1149" i="1"/>
  <c r="I1153" i="1"/>
  <c r="I1127" i="1"/>
  <c r="I1126" i="1"/>
  <c r="I1125" i="1"/>
  <c r="I1124" i="1"/>
  <c r="I1128" i="1"/>
  <c r="I1114" i="1"/>
  <c r="I878" i="1"/>
  <c r="I872" i="1"/>
  <c r="I866" i="1"/>
  <c r="I870" i="1"/>
  <c r="I873" i="1"/>
  <c r="I869" i="1"/>
  <c r="I912" i="1"/>
  <c r="I906" i="1"/>
  <c r="I1038" i="1"/>
  <c r="I1034" i="1"/>
  <c r="I1033" i="1"/>
  <c r="I1032" i="1"/>
  <c r="I1031" i="1"/>
  <c r="I1036" i="1"/>
  <c r="I1030" i="1"/>
  <c r="I1037" i="1"/>
  <c r="I1035" i="1"/>
  <c r="I1047" i="1"/>
  <c r="I1046" i="1"/>
  <c r="I1039" i="1"/>
  <c r="I1041" i="1"/>
  <c r="I1042" i="1"/>
  <c r="I1040" i="1"/>
  <c r="I1043" i="1"/>
  <c r="I1044" i="1"/>
  <c r="I1045" i="1"/>
  <c r="I1100" i="1"/>
  <c r="I1101" i="1"/>
  <c r="I1099" i="1"/>
  <c r="I1103" i="1"/>
  <c r="I1102" i="1"/>
  <c r="I1104" i="1"/>
  <c r="I1105" i="1"/>
  <c r="I1098" i="1"/>
  <c r="I1049" i="1"/>
  <c r="I1048" i="1"/>
  <c r="I1085" i="1"/>
  <c r="I1086" i="1"/>
  <c r="I1097" i="1"/>
  <c r="I1051" i="1"/>
  <c r="I1050" i="1"/>
  <c r="I1082" i="1"/>
  <c r="I1081" i="1"/>
  <c r="I1087" i="1"/>
  <c r="I1079" i="1"/>
  <c r="I1078" i="1"/>
  <c r="I1083" i="1"/>
  <c r="I1080" i="1"/>
  <c r="I1054" i="1"/>
  <c r="I1052" i="1"/>
  <c r="I1053" i="1"/>
  <c r="I1057" i="1"/>
  <c r="I1056" i="1"/>
  <c r="I1058" i="1"/>
  <c r="I1055" i="1"/>
  <c r="I1061" i="1"/>
  <c r="I1064" i="1"/>
  <c r="I1063" i="1"/>
  <c r="I1068" i="1"/>
  <c r="I1070" i="1"/>
  <c r="I1075" i="1"/>
  <c r="I1062" i="1"/>
  <c r="I1059" i="1"/>
  <c r="I1060" i="1"/>
  <c r="I1065" i="1"/>
  <c r="I1067" i="1"/>
  <c r="I1074" i="1"/>
  <c r="I1071" i="1"/>
  <c r="I1076" i="1"/>
  <c r="I1077" i="1"/>
  <c r="I1069" i="1"/>
  <c r="I1073" i="1"/>
  <c r="I1072" i="1"/>
  <c r="I1066" i="1"/>
  <c r="I1094" i="1"/>
  <c r="I1089" i="1"/>
  <c r="I1090" i="1"/>
  <c r="I1093" i="1"/>
  <c r="I1092" i="1"/>
  <c r="I1095" i="1"/>
  <c r="I1091" i="1"/>
  <c r="I1096" i="1"/>
  <c r="I1088" i="1"/>
  <c r="I1084" i="1"/>
  <c r="I948" i="1"/>
  <c r="I942" i="1"/>
  <c r="I944" i="1"/>
  <c r="I947" i="1"/>
  <c r="I945" i="1"/>
  <c r="I946" i="1"/>
  <c r="I993" i="1"/>
  <c r="I943" i="1"/>
  <c r="I949" i="1"/>
  <c r="I1007" i="1"/>
  <c r="I1006" i="1"/>
  <c r="I995" i="1"/>
  <c r="I953" i="1"/>
  <c r="I954" i="1"/>
  <c r="I1012" i="1"/>
  <c r="I996" i="1"/>
  <c r="I1020" i="1"/>
  <c r="I1023" i="1"/>
  <c r="I1022" i="1"/>
  <c r="I1021" i="1"/>
  <c r="I1017" i="1"/>
  <c r="I1018" i="1"/>
  <c r="I941" i="1"/>
  <c r="I935" i="1"/>
  <c r="I936" i="1"/>
  <c r="I938" i="1"/>
  <c r="I937" i="1"/>
  <c r="I939" i="1"/>
  <c r="I940" i="1"/>
  <c r="I1025" i="1"/>
  <c r="I951" i="1"/>
  <c r="I952" i="1"/>
  <c r="I1019" i="1"/>
  <c r="I1013" i="1"/>
  <c r="I1010" i="1"/>
  <c r="I919" i="1"/>
  <c r="I918" i="1"/>
  <c r="I1008" i="1"/>
  <c r="I1026" i="1"/>
  <c r="I968" i="1"/>
  <c r="I977" i="1"/>
  <c r="I980" i="1"/>
  <c r="I964" i="1"/>
  <c r="I976" i="1"/>
  <c r="I978" i="1"/>
  <c r="I979" i="1"/>
  <c r="I958" i="1"/>
  <c r="I971" i="1"/>
  <c r="I962" i="1"/>
  <c r="I961" i="1"/>
  <c r="I975" i="1"/>
  <c r="I974" i="1"/>
  <c r="I956" i="1"/>
  <c r="I967" i="1"/>
  <c r="I966" i="1"/>
  <c r="I973" i="1"/>
  <c r="I957" i="1"/>
  <c r="I934" i="1"/>
  <c r="I930" i="1"/>
  <c r="I929" i="1"/>
  <c r="I933" i="1"/>
  <c r="I931" i="1"/>
  <c r="I932" i="1"/>
  <c r="I1028" i="1"/>
  <c r="I1027" i="1"/>
  <c r="I1029" i="1"/>
  <c r="I997" i="1"/>
  <c r="I998" i="1"/>
  <c r="I999" i="1"/>
  <c r="I1024" i="1"/>
  <c r="I950" i="1"/>
  <c r="I1011" i="1"/>
  <c r="I987" i="1"/>
  <c r="I988" i="1"/>
  <c r="I991" i="1"/>
  <c r="I983" i="1"/>
  <c r="I986" i="1"/>
  <c r="I984" i="1"/>
  <c r="I992" i="1"/>
  <c r="I985" i="1"/>
  <c r="I989" i="1"/>
  <c r="I990" i="1"/>
  <c r="I981" i="1"/>
  <c r="I982" i="1"/>
  <c r="I1000" i="1"/>
  <c r="I1004" i="1"/>
  <c r="I994" i="1"/>
  <c r="I970" i="1"/>
  <c r="I965" i="1"/>
  <c r="I969" i="1"/>
  <c r="I960" i="1"/>
  <c r="I959" i="1"/>
  <c r="I972" i="1"/>
  <c r="I963" i="1"/>
  <c r="I955" i="1"/>
  <c r="I928" i="1"/>
  <c r="I1002" i="1"/>
  <c r="I1001" i="1"/>
  <c r="I1003" i="1"/>
  <c r="I1005" i="1"/>
  <c r="I927" i="1"/>
  <c r="I926" i="1"/>
  <c r="I925" i="1"/>
  <c r="I924" i="1"/>
  <c r="I923" i="1"/>
  <c r="I922" i="1"/>
  <c r="I1009" i="1"/>
  <c r="I921" i="1"/>
  <c r="I920" i="1"/>
  <c r="I1015" i="1"/>
  <c r="I1014" i="1"/>
  <c r="I1016" i="1"/>
  <c r="I894" i="1"/>
  <c r="I876" i="1"/>
  <c r="I884" i="1"/>
  <c r="I883" i="1"/>
  <c r="I882" i="1"/>
  <c r="I881" i="1"/>
  <c r="I890" i="1"/>
  <c r="I889" i="1"/>
  <c r="I888" i="1"/>
  <c r="I887" i="1"/>
  <c r="I892" i="1"/>
  <c r="I868" i="1"/>
  <c r="I871" i="1"/>
  <c r="I867" i="1"/>
  <c r="I917" i="1"/>
  <c r="I915" i="1"/>
  <c r="I861" i="1"/>
  <c r="I860" i="1"/>
  <c r="I891" i="1"/>
  <c r="I880" i="1"/>
  <c r="I916" i="1"/>
  <c r="I865" i="1"/>
  <c r="I899" i="1"/>
  <c r="I859" i="1"/>
  <c r="I898" i="1"/>
  <c r="I879" i="1"/>
  <c r="I896" i="1"/>
  <c r="I895" i="1"/>
  <c r="I897" i="1"/>
  <c r="I905" i="1"/>
  <c r="I904" i="1"/>
  <c r="I903" i="1"/>
  <c r="I900" i="1"/>
  <c r="I902" i="1"/>
  <c r="I901" i="1"/>
  <c r="I911" i="1"/>
  <c r="I893" i="1"/>
  <c r="I885" i="1"/>
  <c r="I886" i="1"/>
  <c r="I864" i="1"/>
  <c r="I863" i="1"/>
  <c r="I914" i="1"/>
  <c r="I908" i="1"/>
  <c r="I874" i="1"/>
  <c r="I875" i="1"/>
  <c r="I907" i="1"/>
  <c r="I910" i="1"/>
  <c r="I909" i="1"/>
  <c r="I913" i="1"/>
  <c r="I877" i="1"/>
  <c r="I862" i="1"/>
  <c r="I848" i="1"/>
  <c r="I847" i="1"/>
  <c r="I849" i="1"/>
  <c r="I857" i="1"/>
  <c r="I855" i="1"/>
  <c r="I856" i="1"/>
  <c r="I858" i="1"/>
  <c r="I853" i="1"/>
  <c r="I850" i="1"/>
  <c r="I854" i="1"/>
  <c r="I851" i="1"/>
  <c r="I852" i="1"/>
  <c r="I845" i="1"/>
  <c r="I846" i="1"/>
  <c r="I807" i="1"/>
  <c r="I806" i="1"/>
  <c r="I817" i="1"/>
  <c r="I816" i="1"/>
  <c r="I809" i="1"/>
  <c r="I815" i="1"/>
  <c r="I812" i="1"/>
  <c r="I844" i="1"/>
  <c r="I795" i="1"/>
  <c r="I800" i="1"/>
  <c r="I792" i="1"/>
  <c r="I843" i="1"/>
  <c r="I831" i="1"/>
  <c r="I830" i="1"/>
  <c r="I829" i="1"/>
  <c r="I834" i="1"/>
  <c r="I833" i="1"/>
  <c r="I805" i="1"/>
  <c r="I808" i="1"/>
  <c r="I796" i="1"/>
  <c r="I793" i="1"/>
  <c r="I798" i="1"/>
  <c r="I826" i="1"/>
  <c r="I803" i="1"/>
  <c r="I804" i="1"/>
  <c r="I839" i="1"/>
  <c r="I840" i="1"/>
  <c r="I838" i="1"/>
  <c r="I837" i="1"/>
  <c r="I836" i="1"/>
  <c r="I842" i="1"/>
  <c r="I828" i="1"/>
  <c r="I827" i="1"/>
  <c r="I825" i="1"/>
  <c r="I824" i="1"/>
  <c r="I823" i="1"/>
  <c r="I835" i="1"/>
  <c r="I841" i="1"/>
  <c r="I832" i="1"/>
  <c r="I821" i="1"/>
  <c r="I818" i="1"/>
  <c r="I822" i="1"/>
  <c r="I820" i="1"/>
  <c r="I819" i="1"/>
  <c r="I801" i="1"/>
  <c r="I799" i="1"/>
  <c r="I797" i="1"/>
  <c r="I794" i="1"/>
  <c r="I802" i="1"/>
  <c r="I811" i="1"/>
  <c r="I813" i="1"/>
  <c r="I810" i="1"/>
  <c r="I814" i="1"/>
  <c r="I748" i="1"/>
  <c r="I763" i="1"/>
  <c r="I755" i="1"/>
  <c r="I777" i="1"/>
  <c r="I707" i="1"/>
  <c r="I737" i="1"/>
  <c r="I740" i="1"/>
  <c r="I739" i="1"/>
  <c r="I733" i="1"/>
  <c r="I738" i="1"/>
  <c r="I736" i="1"/>
  <c r="I791" i="1"/>
  <c r="I766" i="1"/>
  <c r="I700" i="1"/>
  <c r="I754" i="1"/>
  <c r="I753" i="1"/>
  <c r="I758" i="1"/>
  <c r="I759" i="1"/>
  <c r="I776" i="1"/>
  <c r="I760" i="1"/>
  <c r="I786" i="1"/>
  <c r="I785" i="1"/>
  <c r="I787" i="1"/>
  <c r="I790" i="1"/>
  <c r="I788" i="1"/>
  <c r="I789" i="1"/>
  <c r="I709" i="1"/>
  <c r="I765" i="1"/>
  <c r="I781" i="1"/>
  <c r="I782" i="1"/>
  <c r="I784" i="1"/>
  <c r="I783" i="1"/>
  <c r="I771" i="1"/>
  <c r="I770" i="1"/>
  <c r="I772" i="1"/>
  <c r="I773" i="1"/>
  <c r="I769" i="1"/>
  <c r="I774" i="1"/>
  <c r="I775" i="1"/>
  <c r="I761" i="1"/>
  <c r="I710" i="1"/>
  <c r="I735" i="1"/>
  <c r="I732" i="1"/>
  <c r="I734" i="1"/>
  <c r="I741" i="1"/>
  <c r="I756" i="1"/>
  <c r="I757" i="1"/>
  <c r="I778" i="1"/>
  <c r="I779" i="1"/>
  <c r="I780" i="1"/>
  <c r="I764" i="1"/>
  <c r="I768" i="1"/>
  <c r="I708" i="1"/>
  <c r="I767" i="1"/>
  <c r="I706" i="1"/>
  <c r="I701" i="1"/>
  <c r="I705" i="1"/>
  <c r="I702" i="1"/>
  <c r="I703" i="1"/>
  <c r="I704" i="1"/>
  <c r="I747" i="1"/>
  <c r="I752" i="1"/>
  <c r="I749" i="1"/>
  <c r="I745" i="1"/>
  <c r="I751" i="1"/>
  <c r="I746" i="1"/>
  <c r="I750" i="1"/>
  <c r="I731" i="1"/>
  <c r="I730" i="1"/>
  <c r="I744" i="1"/>
  <c r="I743" i="1"/>
  <c r="I742" i="1"/>
  <c r="I762" i="1"/>
  <c r="I723" i="1"/>
  <c r="I725" i="1"/>
  <c r="I727" i="1"/>
  <c r="I728" i="1"/>
  <c r="I729" i="1"/>
  <c r="I724" i="1"/>
  <c r="I722" i="1"/>
  <c r="I717" i="1"/>
  <c r="I712" i="1"/>
  <c r="I721" i="1"/>
  <c r="I720" i="1"/>
  <c r="I711" i="1"/>
  <c r="I726" i="1"/>
  <c r="I719" i="1"/>
  <c r="I714" i="1"/>
  <c r="I716" i="1"/>
  <c r="I715" i="1"/>
  <c r="I718" i="1"/>
  <c r="I713" i="1"/>
  <c r="I643" i="1"/>
  <c r="I641" i="1"/>
  <c r="I642" i="1"/>
  <c r="I640" i="1"/>
  <c r="I698" i="1"/>
  <c r="I699" i="1"/>
  <c r="I671" i="1"/>
  <c r="I674" i="1"/>
  <c r="I644" i="1"/>
  <c r="I690" i="1"/>
  <c r="I670" i="1"/>
  <c r="I684" i="1"/>
  <c r="I668" i="1"/>
  <c r="I667" i="1"/>
  <c r="I669" i="1"/>
  <c r="I658" i="1"/>
  <c r="I657" i="1"/>
  <c r="I656" i="1"/>
  <c r="I676" i="1"/>
  <c r="I679" i="1"/>
  <c r="I677" i="1"/>
  <c r="I675" i="1"/>
  <c r="I680" i="1"/>
  <c r="I681" i="1"/>
  <c r="I678" i="1"/>
  <c r="I672" i="1"/>
  <c r="I673" i="1"/>
  <c r="I655" i="1"/>
  <c r="I653" i="1"/>
  <c r="I660" i="1"/>
  <c r="I659" i="1"/>
  <c r="I665" i="1"/>
  <c r="I666" i="1"/>
  <c r="I682" i="1"/>
  <c r="I650" i="1"/>
  <c r="I649" i="1"/>
  <c r="I646" i="1"/>
  <c r="I648" i="1"/>
  <c r="I645" i="1"/>
  <c r="I647" i="1"/>
  <c r="I694" i="1"/>
  <c r="I695" i="1"/>
  <c r="I697" i="1"/>
  <c r="I696" i="1"/>
  <c r="I693" i="1"/>
  <c r="I691" i="1"/>
  <c r="I692" i="1"/>
  <c r="I685" i="1"/>
  <c r="I688" i="1"/>
  <c r="I687" i="1"/>
  <c r="I689" i="1"/>
  <c r="I652" i="1"/>
  <c r="I651" i="1"/>
  <c r="I654" i="1"/>
  <c r="I686" i="1"/>
  <c r="I683" i="1"/>
  <c r="I662" i="1"/>
  <c r="I664" i="1"/>
  <c r="I663" i="1"/>
  <c r="I661" i="1"/>
  <c r="I637" i="1"/>
  <c r="I618" i="1"/>
  <c r="I638" i="1"/>
  <c r="I636" i="1"/>
  <c r="I635" i="1"/>
  <c r="I634" i="1"/>
  <c r="I627" i="1"/>
  <c r="I622" i="1"/>
  <c r="I624" i="1"/>
  <c r="I623" i="1"/>
  <c r="I626" i="1"/>
  <c r="I625" i="1"/>
  <c r="I615" i="1"/>
  <c r="I614" i="1"/>
  <c r="I619" i="1"/>
  <c r="I620" i="1"/>
  <c r="I629" i="1"/>
  <c r="I628" i="1"/>
  <c r="I610" i="1"/>
  <c r="I612" i="1"/>
  <c r="I613" i="1"/>
  <c r="I611" i="1"/>
  <c r="I633" i="1"/>
  <c r="I631" i="1"/>
  <c r="I632" i="1"/>
  <c r="I616" i="1"/>
  <c r="I639" i="1"/>
  <c r="I621" i="1"/>
  <c r="I617" i="1"/>
  <c r="I630" i="1"/>
  <c r="I602" i="1"/>
  <c r="I601" i="1"/>
  <c r="I600" i="1"/>
  <c r="I599" i="1"/>
  <c r="I595" i="1"/>
  <c r="I580" i="1"/>
  <c r="I603" i="1"/>
  <c r="I579" i="1"/>
  <c r="I609" i="1"/>
  <c r="I604" i="1"/>
  <c r="I597" i="1"/>
  <c r="I605" i="1"/>
  <c r="I592" i="1"/>
  <c r="I585" i="1"/>
  <c r="I584" i="1"/>
  <c r="I607" i="1"/>
  <c r="I608" i="1"/>
  <c r="I606" i="1"/>
  <c r="I590" i="1"/>
  <c r="I591" i="1"/>
  <c r="I596" i="1"/>
  <c r="I582" i="1"/>
  <c r="I581" i="1"/>
  <c r="I586" i="1"/>
  <c r="I589" i="1"/>
  <c r="I587" i="1"/>
  <c r="I588" i="1"/>
  <c r="I583" i="1"/>
  <c r="I593" i="1"/>
  <c r="I578" i="1"/>
  <c r="I594" i="1"/>
  <c r="I461" i="1"/>
  <c r="I460" i="1"/>
  <c r="I577" i="1"/>
  <c r="I598" i="1"/>
  <c r="I501" i="1"/>
  <c r="I508" i="1"/>
  <c r="I489" i="1"/>
  <c r="I491" i="1"/>
  <c r="I498" i="1"/>
  <c r="I509" i="1"/>
  <c r="I497" i="1"/>
  <c r="I507" i="1"/>
  <c r="I492" i="1"/>
  <c r="I490" i="1"/>
  <c r="I488" i="1"/>
  <c r="I502" i="1"/>
  <c r="I494" i="1"/>
  <c r="I495" i="1"/>
  <c r="I500" i="1"/>
  <c r="I499" i="1"/>
  <c r="I493" i="1"/>
  <c r="I505" i="1"/>
  <c r="I504" i="1"/>
  <c r="I506" i="1"/>
  <c r="I503" i="1"/>
  <c r="I496" i="1"/>
  <c r="I515" i="1"/>
  <c r="I526" i="1"/>
  <c r="I525" i="1"/>
  <c r="I531" i="1"/>
  <c r="I523" i="1"/>
  <c r="I522" i="1"/>
  <c r="I524" i="1"/>
  <c r="I532" i="1"/>
  <c r="I533" i="1"/>
  <c r="I535" i="1"/>
  <c r="I530" i="1"/>
  <c r="I528" i="1"/>
  <c r="I529" i="1"/>
  <c r="I527" i="1"/>
  <c r="I521" i="1"/>
  <c r="I520" i="1"/>
  <c r="I519" i="1"/>
  <c r="I517" i="1"/>
  <c r="I516" i="1"/>
  <c r="I518" i="1"/>
  <c r="I467" i="1"/>
  <c r="I465" i="1"/>
  <c r="I514" i="1"/>
  <c r="I512" i="1"/>
  <c r="I510" i="1"/>
  <c r="I513" i="1"/>
  <c r="I511" i="1"/>
  <c r="I557" i="1"/>
  <c r="I548" i="1"/>
  <c r="I477" i="1"/>
  <c r="I478" i="1"/>
  <c r="I487" i="1"/>
  <c r="I486" i="1"/>
  <c r="I466" i="1"/>
  <c r="I541" i="1"/>
  <c r="I542" i="1"/>
  <c r="I540" i="1"/>
  <c r="I471" i="1"/>
  <c r="I472" i="1"/>
  <c r="I473" i="1"/>
  <c r="I485" i="1"/>
  <c r="I480" i="1"/>
  <c r="I462" i="1"/>
  <c r="I470" i="1"/>
  <c r="I468" i="1"/>
  <c r="I545" i="1"/>
  <c r="I549" i="1"/>
  <c r="I544" i="1"/>
  <c r="I543" i="1"/>
  <c r="I547" i="1"/>
  <c r="I560" i="1"/>
  <c r="I550" i="1"/>
  <c r="I546" i="1"/>
  <c r="I536" i="1"/>
  <c r="I534" i="1"/>
  <c r="I463" i="1"/>
  <c r="I464" i="1"/>
  <c r="I563" i="1"/>
  <c r="I562" i="1"/>
  <c r="I561" i="1"/>
  <c r="I572" i="1"/>
  <c r="I574" i="1"/>
  <c r="I573" i="1"/>
  <c r="I475" i="1"/>
  <c r="I476" i="1"/>
  <c r="I474" i="1"/>
  <c r="I484" i="1"/>
  <c r="I469" i="1"/>
  <c r="I558" i="1"/>
  <c r="I575" i="1"/>
  <c r="I576" i="1"/>
  <c r="I537" i="1"/>
  <c r="I539" i="1"/>
  <c r="I556" i="1"/>
  <c r="I538" i="1"/>
  <c r="I479" i="1"/>
  <c r="I482" i="1"/>
  <c r="I483" i="1"/>
  <c r="I481" i="1"/>
  <c r="I553" i="1"/>
  <c r="I555" i="1"/>
  <c r="I554" i="1"/>
  <c r="I552" i="1"/>
  <c r="I551" i="1"/>
  <c r="I559" i="1"/>
  <c r="I568" i="1"/>
  <c r="I570" i="1"/>
  <c r="I571" i="1"/>
  <c r="I569" i="1"/>
  <c r="I567" i="1"/>
  <c r="I566" i="1"/>
  <c r="I564" i="1"/>
  <c r="I565" i="1"/>
  <c r="I425" i="1"/>
  <c r="I437" i="1"/>
  <c r="I438" i="1"/>
  <c r="I426" i="1"/>
  <c r="I441" i="1"/>
  <c r="I459" i="1"/>
  <c r="I458" i="1"/>
  <c r="I384" i="1"/>
  <c r="I381" i="1"/>
  <c r="I383" i="1"/>
  <c r="I385" i="1"/>
  <c r="I382" i="1"/>
  <c r="I380" i="1"/>
  <c r="I446" i="1"/>
  <c r="I436" i="1"/>
  <c r="I378" i="1"/>
  <c r="I376" i="1"/>
  <c r="I377" i="1"/>
  <c r="I428" i="1"/>
  <c r="I427" i="1"/>
  <c r="I387" i="1"/>
  <c r="I393" i="1"/>
  <c r="I392" i="1"/>
  <c r="I391" i="1"/>
  <c r="I390" i="1"/>
  <c r="I389" i="1"/>
  <c r="I379" i="1"/>
  <c r="I435" i="1"/>
  <c r="I431" i="1"/>
  <c r="I432" i="1"/>
  <c r="I433" i="1"/>
  <c r="I447" i="1"/>
  <c r="I457" i="1"/>
  <c r="I443" i="1"/>
  <c r="I442" i="1"/>
  <c r="I444" i="1"/>
  <c r="I386" i="1"/>
  <c r="I430" i="1"/>
  <c r="I375" i="1"/>
  <c r="I454" i="1"/>
  <c r="I452" i="1"/>
  <c r="I455" i="1"/>
  <c r="I453" i="1"/>
  <c r="I451" i="1"/>
  <c r="I456" i="1"/>
  <c r="I434" i="1"/>
  <c r="I402" i="1"/>
  <c r="I408" i="1"/>
  <c r="I411" i="1"/>
  <c r="I414" i="1"/>
  <c r="I397" i="1"/>
  <c r="I395" i="1"/>
  <c r="I410" i="1"/>
  <c r="I416" i="1"/>
  <c r="I421" i="1"/>
  <c r="I413" i="1"/>
  <c r="I398" i="1"/>
  <c r="I404" i="1"/>
  <c r="I420" i="1"/>
  <c r="I407" i="1"/>
  <c r="I403" i="1"/>
  <c r="I409" i="1"/>
  <c r="I419" i="1"/>
  <c r="I406" i="1"/>
  <c r="I396" i="1"/>
  <c r="I424" i="1"/>
  <c r="I415" i="1"/>
  <c r="I418" i="1"/>
  <c r="I439" i="1"/>
  <c r="I429" i="1"/>
  <c r="I450" i="1"/>
  <c r="I405" i="1"/>
  <c r="I400" i="1"/>
  <c r="I417" i="1"/>
  <c r="I412" i="1"/>
  <c r="I448" i="1"/>
  <c r="I401" i="1"/>
  <c r="I423" i="1"/>
  <c r="I399" i="1"/>
  <c r="I422" i="1"/>
  <c r="I394" i="1"/>
  <c r="I388" i="1"/>
  <c r="I445" i="1"/>
  <c r="I449" i="1"/>
  <c r="I440" i="1"/>
  <c r="I373" i="1"/>
  <c r="I372" i="1"/>
  <c r="I374" i="1"/>
  <c r="I371" i="1"/>
  <c r="I197" i="1"/>
  <c r="I332" i="1"/>
  <c r="I360" i="1"/>
  <c r="I361" i="1"/>
  <c r="I362" i="1"/>
  <c r="I340" i="1"/>
  <c r="I337" i="1"/>
  <c r="I339" i="1"/>
  <c r="I338" i="1"/>
  <c r="I349" i="1"/>
  <c r="I348" i="1"/>
  <c r="I347" i="1"/>
  <c r="I335" i="1"/>
  <c r="I333" i="1"/>
  <c r="I324" i="1"/>
  <c r="I327" i="1"/>
  <c r="I331" i="1"/>
  <c r="I326" i="1"/>
  <c r="I322" i="1"/>
  <c r="I328" i="1"/>
  <c r="I325" i="1"/>
  <c r="I330" i="1"/>
  <c r="I323" i="1"/>
  <c r="I329" i="1"/>
  <c r="I351" i="1"/>
  <c r="I354" i="1"/>
  <c r="I350" i="1"/>
  <c r="I352" i="1"/>
  <c r="I353" i="1"/>
  <c r="I334" i="1"/>
  <c r="I336" i="1"/>
  <c r="I341" i="1"/>
  <c r="I363" i="1"/>
  <c r="I343" i="1"/>
  <c r="I342" i="1"/>
  <c r="I344" i="1"/>
  <c r="I346" i="1"/>
  <c r="I345" i="1"/>
  <c r="I367" i="1"/>
  <c r="I368" i="1"/>
  <c r="I365" i="1"/>
  <c r="I366" i="1"/>
  <c r="I370" i="1"/>
  <c r="I369" i="1"/>
  <c r="I364" i="1"/>
  <c r="I359" i="1"/>
  <c r="I356" i="1"/>
  <c r="I355" i="1"/>
  <c r="I358" i="1"/>
  <c r="I357" i="1"/>
  <c r="I252" i="1"/>
  <c r="I250" i="1"/>
  <c r="I247" i="1"/>
  <c r="I245" i="1"/>
  <c r="I246" i="1"/>
  <c r="I248" i="1"/>
  <c r="I249" i="1"/>
  <c r="I253" i="1"/>
  <c r="I251" i="1"/>
  <c r="I225" i="1"/>
  <c r="I226" i="1"/>
  <c r="I129" i="1"/>
  <c r="I244" i="1"/>
  <c r="I271" i="1"/>
  <c r="I272" i="1"/>
  <c r="I296" i="1"/>
  <c r="I290" i="1"/>
  <c r="I310" i="1"/>
  <c r="I311" i="1"/>
  <c r="I312" i="1"/>
  <c r="I288" i="1"/>
  <c r="I287" i="1"/>
  <c r="I295" i="1"/>
  <c r="I285" i="1"/>
  <c r="I294" i="1"/>
  <c r="I279" i="1"/>
  <c r="I293" i="1"/>
  <c r="I281" i="1"/>
  <c r="I292" i="1"/>
  <c r="I307" i="1"/>
  <c r="I306" i="1"/>
  <c r="I304" i="1"/>
  <c r="I305" i="1"/>
  <c r="I320" i="1"/>
  <c r="I321" i="1"/>
  <c r="I265" i="1"/>
  <c r="I266" i="1"/>
  <c r="I284" i="1"/>
  <c r="I280" i="1"/>
  <c r="I317" i="1"/>
  <c r="I316" i="1"/>
  <c r="I313" i="1"/>
  <c r="I268" i="1"/>
  <c r="I267" i="1"/>
  <c r="I269" i="1"/>
  <c r="I270" i="1"/>
  <c r="I303" i="1"/>
  <c r="I309" i="1"/>
  <c r="I291" i="1"/>
  <c r="I278" i="1"/>
  <c r="I308" i="1"/>
  <c r="I273" i="1"/>
  <c r="I259" i="1"/>
  <c r="I258" i="1"/>
  <c r="I256" i="1"/>
  <c r="I255" i="1"/>
  <c r="I257" i="1"/>
  <c r="I254" i="1"/>
  <c r="I264" i="1"/>
  <c r="I261" i="1"/>
  <c r="I263" i="1"/>
  <c r="I262" i="1"/>
  <c r="I283" i="1"/>
  <c r="I282" i="1"/>
  <c r="I276" i="1"/>
  <c r="I277" i="1"/>
  <c r="I300" i="1"/>
  <c r="I301" i="1"/>
  <c r="I299" i="1"/>
  <c r="I297" i="1"/>
  <c r="I298" i="1"/>
  <c r="I302" i="1"/>
  <c r="I315" i="1"/>
  <c r="I314" i="1"/>
  <c r="I260" i="1"/>
  <c r="I275" i="1"/>
  <c r="I289" i="1"/>
  <c r="I274" i="1"/>
  <c r="I286" i="1"/>
  <c r="I319" i="1"/>
  <c r="I318" i="1"/>
  <c r="I131" i="1"/>
  <c r="I167" i="1"/>
  <c r="I169" i="1"/>
  <c r="I210" i="1"/>
  <c r="I132" i="1"/>
  <c r="I191" i="1"/>
  <c r="I187" i="1"/>
  <c r="I188" i="1"/>
  <c r="I176" i="1"/>
  <c r="I174" i="1"/>
  <c r="I179" i="1"/>
  <c r="I190" i="1"/>
  <c r="I189" i="1"/>
  <c r="I186" i="1"/>
  <c r="I171" i="1"/>
  <c r="I175" i="1"/>
  <c r="I151" i="1"/>
  <c r="I150" i="1"/>
  <c r="I152" i="1"/>
  <c r="I242" i="1"/>
  <c r="I182" i="1"/>
  <c r="I178" i="1"/>
  <c r="I180" i="1"/>
  <c r="I172" i="1"/>
  <c r="I184" i="1"/>
  <c r="I181" i="1"/>
  <c r="I177" i="1"/>
  <c r="I173" i="1"/>
  <c r="I185" i="1"/>
  <c r="I183" i="1"/>
  <c r="I222" i="1"/>
  <c r="I218" i="1"/>
  <c r="I165" i="1"/>
  <c r="I166" i="1"/>
  <c r="I170" i="1"/>
  <c r="I214" i="1"/>
  <c r="I216" i="1"/>
  <c r="I212" i="1"/>
  <c r="I145" i="1"/>
  <c r="I147" i="1"/>
  <c r="I141" i="1"/>
  <c r="I135" i="1"/>
  <c r="I194" i="1"/>
  <c r="I193" i="1"/>
  <c r="I195" i="1"/>
  <c r="I211" i="1"/>
  <c r="I143" i="1"/>
  <c r="I144" i="1"/>
  <c r="I153" i="1"/>
  <c r="I156" i="1"/>
  <c r="I155" i="1"/>
  <c r="I159" i="1"/>
  <c r="I158" i="1"/>
  <c r="I161" i="1"/>
  <c r="I162" i="1"/>
  <c r="I160" i="1"/>
  <c r="I157" i="1"/>
  <c r="I235" i="1"/>
  <c r="I236" i="1"/>
  <c r="I237" i="1"/>
  <c r="I234" i="1"/>
  <c r="I238" i="1"/>
  <c r="I230" i="1"/>
  <c r="I232" i="1"/>
  <c r="I229" i="1"/>
  <c r="I228" i="1"/>
  <c r="I231" i="1"/>
  <c r="I227" i="1"/>
  <c r="I233" i="1"/>
  <c r="I138" i="1"/>
  <c r="I200" i="1"/>
  <c r="I154" i="1"/>
  <c r="I204" i="1"/>
  <c r="I203" i="1"/>
  <c r="I142" i="1"/>
  <c r="I199" i="1"/>
  <c r="I198" i="1"/>
  <c r="I202" i="1"/>
  <c r="I201" i="1"/>
  <c r="I163" i="1"/>
  <c r="I224" i="1"/>
  <c r="I221" i="1"/>
  <c r="I164" i="1"/>
  <c r="I213" i="1"/>
  <c r="I243" i="1"/>
  <c r="I215" i="1"/>
  <c r="I206" i="1"/>
  <c r="I207" i="1"/>
  <c r="I220" i="1"/>
  <c r="I219" i="1"/>
  <c r="I217" i="1"/>
  <c r="I196" i="1"/>
  <c r="I134" i="1"/>
  <c r="I130" i="1"/>
  <c r="I137" i="1"/>
  <c r="I139" i="1"/>
  <c r="I133" i="1"/>
  <c r="I136" i="1"/>
  <c r="I205" i="1"/>
  <c r="I208" i="1"/>
  <c r="I209" i="1"/>
  <c r="I168" i="1"/>
  <c r="I148" i="1"/>
  <c r="I146" i="1"/>
  <c r="I149" i="1"/>
  <c r="I239" i="1"/>
  <c r="I241" i="1"/>
  <c r="I240" i="1"/>
  <c r="I223" i="1"/>
  <c r="I192" i="1"/>
  <c r="I140" i="1"/>
  <c r="I128" i="1"/>
  <c r="I103" i="1"/>
  <c r="I127" i="1"/>
  <c r="I126" i="1"/>
  <c r="I122" i="1"/>
  <c r="I120" i="1"/>
  <c r="I105" i="1"/>
  <c r="I106" i="1"/>
  <c r="I112" i="1"/>
  <c r="I102" i="1"/>
  <c r="I99" i="1"/>
  <c r="I98" i="1"/>
  <c r="I123" i="1"/>
  <c r="I121" i="1"/>
  <c r="I117" i="1"/>
  <c r="I108" i="1"/>
  <c r="I113" i="1"/>
  <c r="I111" i="1"/>
  <c r="I110" i="1"/>
  <c r="I115" i="1"/>
  <c r="I116" i="1"/>
  <c r="I107" i="1"/>
  <c r="I109" i="1"/>
  <c r="I119" i="1"/>
  <c r="I118" i="1"/>
  <c r="I114" i="1"/>
  <c r="I124" i="1"/>
  <c r="I125" i="1"/>
  <c r="I100" i="1"/>
  <c r="I104" i="1"/>
  <c r="I101" i="1"/>
  <c r="I64" i="1"/>
  <c r="I85" i="1"/>
  <c r="I67" i="1"/>
  <c r="I76" i="1"/>
  <c r="I70" i="1"/>
  <c r="I79" i="1"/>
  <c r="I78" i="1"/>
  <c r="I68" i="1"/>
  <c r="I73" i="1"/>
  <c r="I81" i="1"/>
  <c r="I71" i="1"/>
  <c r="I77" i="1"/>
  <c r="I80" i="1"/>
  <c r="I72" i="1"/>
  <c r="I75" i="1"/>
  <c r="I66" i="1"/>
  <c r="I74" i="1"/>
  <c r="I69" i="1"/>
  <c r="I83" i="1"/>
  <c r="I82" i="1"/>
  <c r="I97" i="1"/>
  <c r="I96" i="1"/>
  <c r="I92" i="1"/>
  <c r="I93" i="1"/>
  <c r="I94" i="1"/>
  <c r="I91" i="1"/>
  <c r="I95" i="1"/>
  <c r="I90" i="1"/>
  <c r="I89" i="1"/>
  <c r="I88" i="1"/>
  <c r="I86" i="1"/>
  <c r="I87" i="1"/>
  <c r="I84" i="1"/>
  <c r="I65" i="1"/>
  <c r="I21" i="1"/>
  <c r="I22" i="1"/>
  <c r="I31" i="1"/>
  <c r="I30" i="1"/>
  <c r="I32" i="1"/>
  <c r="I29" i="1"/>
  <c r="I8" i="1"/>
  <c r="I7" i="1"/>
  <c r="I5" i="1"/>
  <c r="I6" i="1"/>
  <c r="I3" i="1"/>
  <c r="I4" i="1"/>
  <c r="I41" i="1"/>
  <c r="I42" i="1"/>
  <c r="I36" i="1"/>
  <c r="I44" i="1"/>
  <c r="I43" i="1"/>
  <c r="I40" i="1"/>
  <c r="I37" i="1"/>
  <c r="I39" i="1"/>
  <c r="I38" i="1"/>
  <c r="I51" i="1"/>
  <c r="I53" i="1"/>
  <c r="I49" i="1"/>
  <c r="I50" i="1"/>
  <c r="I48" i="1"/>
  <c r="I52" i="1"/>
  <c r="I45" i="1"/>
  <c r="I54" i="1"/>
  <c r="I19" i="1"/>
  <c r="I20" i="1"/>
  <c r="I24" i="1"/>
  <c r="I28" i="1"/>
  <c r="I34" i="1"/>
  <c r="I35" i="1"/>
  <c r="I33" i="1"/>
  <c r="I25" i="1"/>
  <c r="I23" i="1"/>
  <c r="I26" i="1"/>
  <c r="I27" i="1"/>
  <c r="I47" i="1"/>
  <c r="I46" i="1"/>
  <c r="I56" i="1"/>
  <c r="I60" i="1"/>
  <c r="I62" i="1"/>
  <c r="I61" i="1"/>
  <c r="I55" i="1"/>
  <c r="I59" i="1"/>
  <c r="I58" i="1"/>
  <c r="I57" i="1"/>
  <c r="I14" i="1"/>
  <c r="I13" i="1"/>
  <c r="I10" i="1"/>
  <c r="I17" i="1"/>
  <c r="I18" i="1"/>
  <c r="I16" i="1"/>
  <c r="I12" i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<sst xmlns="http://schemas.openxmlformats.org/spreadsheetml/2006/main" count="16742" uniqueCount="5326">
  <si>
    <t xml:space="preserve">Fornecedores Terceiros </t>
  </si>
  <si>
    <t>DANIELA (OFICINA TREVÃO</t>
  </si>
  <si>
    <t>A.S ELETRO</t>
  </si>
  <si>
    <t>ABDALLA</t>
  </si>
  <si>
    <t>ADOLFO BOMBAS</t>
  </si>
  <si>
    <t>AGRITERRA</t>
  </si>
  <si>
    <t>AGRO AR</t>
  </si>
  <si>
    <t>AGRO MOTOPEÇAS</t>
  </si>
  <si>
    <t>AGROVERDE SERVICE</t>
  </si>
  <si>
    <t>AGROFUTURO</t>
  </si>
  <si>
    <t>AGROHIDRO</t>
  </si>
  <si>
    <t>AGROMAQ</t>
  </si>
  <si>
    <t>AGROSERVICE</t>
  </si>
  <si>
    <t>AIRTECHS</t>
  </si>
  <si>
    <t>ALVORADA CARROCERIAS</t>
  </si>
  <si>
    <t>ANANTECN</t>
  </si>
  <si>
    <t>ASSISTEC</t>
  </si>
  <si>
    <t>ASTER MAQUINAS</t>
  </si>
  <si>
    <t>AUTO ELETRICA 2 AMIGOS</t>
  </si>
  <si>
    <t>AUTO MAQUINAS</t>
  </si>
  <si>
    <t>AUTO SUECO CENTRO OESTE</t>
  </si>
  <si>
    <t>AUTO VIDROS</t>
  </si>
  <si>
    <t xml:space="preserve">BETÃO ACESSÓRIOS E LUBRIFICANTES </t>
  </si>
  <si>
    <t>BORRACHARIA PONTO DE APOIO</t>
  </si>
  <si>
    <t>BR DIESEL</t>
  </si>
  <si>
    <t>BRASIF</t>
  </si>
  <si>
    <t>BREDA TRANSFORMADORES ELETRIC</t>
  </si>
  <si>
    <t>BS TORNO E SOLDA</t>
  </si>
  <si>
    <t>CAMARGO EMPILHADEIRA</t>
  </si>
  <si>
    <t>CAMPO ERE</t>
  </si>
  <si>
    <t>CAMPO PLAST</t>
  </si>
  <si>
    <t xml:space="preserve">CAROLINI MUDANÇAS </t>
  </si>
  <si>
    <t>CASTRILLON AUTO PEÇAS</t>
  </si>
  <si>
    <t>CATRINQUE</t>
  </si>
  <si>
    <t>CENTRO AR</t>
  </si>
  <si>
    <t>CENTRO AUTOMOTIVO</t>
  </si>
  <si>
    <t>CENTRO OESTE USINAGEM</t>
  </si>
  <si>
    <t xml:space="preserve">CHEGAS DE OLIVEIRA </t>
  </si>
  <si>
    <t xml:space="preserve">CLA AUTO PEÇAS </t>
  </si>
  <si>
    <t>CLASSIC TAPEÇARIA</t>
  </si>
  <si>
    <t>CORANJA</t>
  </si>
  <si>
    <t>CORUJÃO GUINCHO</t>
  </si>
  <si>
    <t>CUNHA MANUTENÇÕES</t>
  </si>
  <si>
    <t>DATERRA SISTEMAS</t>
  </si>
  <si>
    <t xml:space="preserve">DEDE ACESSORIOS </t>
  </si>
  <si>
    <t xml:space="preserve">DIAMOND AVIAÇÃO </t>
  </si>
  <si>
    <t>DIESEL RECAPAGENS DE PNEUS</t>
  </si>
  <si>
    <t>GASPAROTTO</t>
  </si>
  <si>
    <t>DINAMICA AUTO ELETRICA</t>
  </si>
  <si>
    <t>DM MANUTENÇÕES</t>
  </si>
  <si>
    <t>EDVALDO TACOGRAFO</t>
  </si>
  <si>
    <t>EF MANUTENÇÃO DE MAQUINAS AGRICOLAS</t>
  </si>
  <si>
    <t>ELETRO BORGES</t>
  </si>
  <si>
    <t>ELETRO GATTI</t>
  </si>
  <si>
    <t>ELETRO VALLE</t>
  </si>
  <si>
    <t>EPTRONIC</t>
  </si>
  <si>
    <t>ESPELHO BUSS PARTS</t>
  </si>
  <si>
    <t>FISIOENG</t>
  </si>
  <si>
    <t>FLY PARTS</t>
  </si>
  <si>
    <t>FORT CONSTRUÇÕES</t>
  </si>
  <si>
    <t>G - CAR</t>
  </si>
  <si>
    <t>G S HERMES</t>
  </si>
  <si>
    <t>GENESIS</t>
  </si>
  <si>
    <t>GERAL PEÇAS</t>
  </si>
  <si>
    <t xml:space="preserve">GLOBAL AGRO </t>
  </si>
  <si>
    <t>GOTARDO PNEUS</t>
  </si>
  <si>
    <t>GUIMAG GUIMARÃES</t>
  </si>
  <si>
    <t>HIDRAUARA</t>
  </si>
  <si>
    <t>S &amp; M METARLUGICA</t>
  </si>
  <si>
    <t>NEW SERVICE</t>
  </si>
  <si>
    <t>JURUENA IND.</t>
  </si>
  <si>
    <t>MT FIX AUTO ELETRICA</t>
  </si>
  <si>
    <t>PIT STOP AUTO CENTER</t>
  </si>
  <si>
    <t>M.A.G. CABRAL</t>
  </si>
  <si>
    <t>R. OGLIARI CABRAL</t>
  </si>
  <si>
    <t>PICOLOTO EMBREAGEM</t>
  </si>
  <si>
    <t>ELYCAR AUTO ELETRICA</t>
  </si>
  <si>
    <t>RETIMAPE - K CEREDA</t>
  </si>
  <si>
    <t>GT TURBOS</t>
  </si>
  <si>
    <t>HIDROS TANGARA</t>
  </si>
  <si>
    <t>RETIMAPE - J C CEREDA</t>
  </si>
  <si>
    <t>STARA - DINAMICA MAQUINAS</t>
  </si>
  <si>
    <t>G - CAR FUNELARIA</t>
  </si>
  <si>
    <t>TORQUE DIESEL</t>
  </si>
  <si>
    <t>DGPS &amp; CIA</t>
  </si>
  <si>
    <t>DISVECO TANGARA</t>
  </si>
  <si>
    <t>POLACO MANCK</t>
  </si>
  <si>
    <t>PANDA AUTO ELETRICA</t>
  </si>
  <si>
    <t>AGROSSERRA</t>
  </si>
  <si>
    <t>LAVARDA SERVIÇOS</t>
  </si>
  <si>
    <t>GAVIAR SERVIÇOS</t>
  </si>
  <si>
    <t>AUTO ELETRICA PINHEIRAO</t>
  </si>
  <si>
    <t>TERRA SERVICOS</t>
  </si>
  <si>
    <t>HIDRAULICA CAMPO NOVO</t>
  </si>
  <si>
    <t>RETIFICA DE MOTORES</t>
  </si>
  <si>
    <t>HIDRAULICA ARAGUAIA</t>
  </si>
  <si>
    <t>HIDRAULICA UNIÃO</t>
  </si>
  <si>
    <t xml:space="preserve">JONAS FORTES INSULFILM </t>
  </si>
  <si>
    <t>HIDROMAQ</t>
  </si>
  <si>
    <t>HP COMERCIO DE MOTORES</t>
  </si>
  <si>
    <t xml:space="preserve">IAS </t>
  </si>
  <si>
    <t>ICP MANUTENÇÃO DE MAQUINAS</t>
  </si>
  <si>
    <t>INSPESEG</t>
  </si>
  <si>
    <t>IONICS</t>
  </si>
  <si>
    <t>J. DALCOL</t>
  </si>
  <si>
    <t>JACTO</t>
  </si>
  <si>
    <t>JLW SERVICES</t>
  </si>
  <si>
    <t>JN VEICULOS</t>
  </si>
  <si>
    <t>JONAS INSULFILMS</t>
  </si>
  <si>
    <t>EMPILHADEIRAS</t>
  </si>
  <si>
    <t>RODOBENS</t>
  </si>
  <si>
    <t>HIDRAULICO VAGALUME</t>
  </si>
  <si>
    <t>AR CONDICIONADO</t>
  </si>
  <si>
    <t>CARLOS HENRIQUE</t>
  </si>
  <si>
    <t>DIAMANTE EMPILHADEIRAS</t>
  </si>
  <si>
    <t>CHEGAS DE OLIVEIRA</t>
  </si>
  <si>
    <t>RONDOTRUCK</t>
  </si>
  <si>
    <t>E L BATEIRAS</t>
  </si>
  <si>
    <t>AHO FRANCE</t>
  </si>
  <si>
    <t>HIDRODIESEL</t>
  </si>
  <si>
    <t>HIDROMAN</t>
  </si>
  <si>
    <t>JL AUTO ELETRICA</t>
  </si>
  <si>
    <t>KBM</t>
  </si>
  <si>
    <t>MECANICA DO CHICO</t>
  </si>
  <si>
    <t>JOÃO GRILO</t>
  </si>
  <si>
    <t>SUPER LOC</t>
  </si>
  <si>
    <t>VOLVO NORS</t>
  </si>
  <si>
    <t>MECANICA GUARNIERI</t>
  </si>
  <si>
    <t>MAMORÉ RETIFICA</t>
  </si>
  <si>
    <t>SUPER VIDROS</t>
  </si>
  <si>
    <t>CHAGAS DE OLIVEIRA</t>
  </si>
  <si>
    <t xml:space="preserve">FURGRAN </t>
  </si>
  <si>
    <t>RS MUNCK</t>
  </si>
  <si>
    <t>FLAVIO GUARNIERI</t>
  </si>
  <si>
    <t>MECANICA RM</t>
  </si>
  <si>
    <t>SUL DIESEL</t>
  </si>
  <si>
    <t>NILCAR LUBRIFICANTES</t>
  </si>
  <si>
    <t>P S BERGAMO</t>
  </si>
  <si>
    <t>REICAR AUTO PEÇAS</t>
  </si>
  <si>
    <t>ROVEMA SICONNET</t>
  </si>
  <si>
    <t>VOLVO</t>
  </si>
  <si>
    <t>GT TURBINA</t>
  </si>
  <si>
    <t>VARELLA SICONNET</t>
  </si>
  <si>
    <t>JULIO MOTOS</t>
  </si>
  <si>
    <t>JURANDIR TORNO E SOLDA</t>
  </si>
  <si>
    <t>M.F HIDRAULICA</t>
  </si>
  <si>
    <t>JCL SOLUÇÃO</t>
  </si>
  <si>
    <t>AMERICO JOSE</t>
  </si>
  <si>
    <t>PICOLOTO</t>
  </si>
  <si>
    <t>MOTOR FRARE - RETIFICA</t>
  </si>
  <si>
    <t>CHIPTRONIC</t>
  </si>
  <si>
    <t>RENATO CHAVEIRO</t>
  </si>
  <si>
    <t>AGROSYSTEM</t>
  </si>
  <si>
    <t>STARA DINAMICA MAQUINAS AGRICOLAS</t>
  </si>
  <si>
    <t>G.A.C MANUTENÇÃO</t>
  </si>
  <si>
    <t>SIMPLO</t>
  </si>
  <si>
    <t>STOP TACOGRAFO</t>
  </si>
  <si>
    <t>CERADA COMERCIO</t>
  </si>
  <si>
    <t>FURGRAN</t>
  </si>
  <si>
    <t>AGROMOTOPEÇAS</t>
  </si>
  <si>
    <t>J. C. DE OLIVEIRA</t>
  </si>
  <si>
    <t>CARRETRUCK</t>
  </si>
  <si>
    <t>RZK AGRO</t>
  </si>
  <si>
    <t>ZERO65 DRONE</t>
  </si>
  <si>
    <t>EDSON AUTO ELETRICA</t>
  </si>
  <si>
    <t>HADRAULICA PAULINHO</t>
  </si>
  <si>
    <t>ISAAC MANUTENÇAO</t>
  </si>
  <si>
    <t>CENTRO OESTE</t>
  </si>
  <si>
    <t>UNIÃO SOLIDA</t>
  </si>
  <si>
    <t>PENA LAVA CAR</t>
  </si>
  <si>
    <t>TEIXEIRA PINTO</t>
  </si>
  <si>
    <t>AEROCHECK</t>
  </si>
  <si>
    <t>NILCAR</t>
  </si>
  <si>
    <t>HIDRAULICA AMORIM</t>
  </si>
  <si>
    <t>YAMAHA</t>
  </si>
  <si>
    <t>TORNEARIA IGUATU</t>
  </si>
  <si>
    <t>MARTINS BATERIAS</t>
  </si>
  <si>
    <t>JURUENA PEÇAS E SERVIÇOS</t>
  </si>
  <si>
    <t>KIKO TECNOLOGIA</t>
  </si>
  <si>
    <t>L. L. SERVIÇOS</t>
  </si>
  <si>
    <t>LAVA JATO SAPEZAL</t>
  </si>
  <si>
    <t>LE E LU</t>
  </si>
  <si>
    <t>LEO VIDROS</t>
  </si>
  <si>
    <t>LESSI ESCOLTAS</t>
  </si>
  <si>
    <t xml:space="preserve">LIMA FERRAMENTAS </t>
  </si>
  <si>
    <t>LOCALIZA</t>
  </si>
  <si>
    <t>LYCAR AUTO ELÉTRICO</t>
  </si>
  <si>
    <t>M. DIESEL CAMINHOES E ONIBUS LTDA</t>
  </si>
  <si>
    <t>M.A CONSTRUTORA</t>
  </si>
  <si>
    <t xml:space="preserve">M.P.R ELETRONICA DE POTENCIA </t>
  </si>
  <si>
    <t>MANU'S GUINCHO</t>
  </si>
  <si>
    <t>MARÇAL</t>
  </si>
  <si>
    <t>MARCOBRAS TRUCK</t>
  </si>
  <si>
    <t>MARPRESS</t>
  </si>
  <si>
    <t>MASTER CALIBRAÇÕES</t>
  </si>
  <si>
    <t xml:space="preserve">MATEC SOLUCOES E SERVICOS </t>
  </si>
  <si>
    <t>MAXXICASE</t>
  </si>
  <si>
    <t xml:space="preserve">MECANICA E TORNEARIA JURUENA </t>
  </si>
  <si>
    <t>MECANICA MASSAROLI</t>
  </si>
  <si>
    <t>MH SERVIÇOS</t>
  </si>
  <si>
    <t>MILTON KIOSHI</t>
  </si>
  <si>
    <t>MM AUTOMAÇÃO</t>
  </si>
  <si>
    <t xml:space="preserve">MODELLY MOVEIS </t>
  </si>
  <si>
    <t xml:space="preserve">MÔNACO </t>
  </si>
  <si>
    <t>MONITOR INSPEÇÃO</t>
  </si>
  <si>
    <t>MOTOR FRARE</t>
  </si>
  <si>
    <t>MOVITEKE</t>
  </si>
  <si>
    <t>MV COMPRESSORES</t>
  </si>
  <si>
    <t xml:space="preserve">MV MANUTENÇÃO </t>
  </si>
  <si>
    <t>NILSON AUTO CENTER</t>
  </si>
  <si>
    <t>NOMA TRUCK</t>
  </si>
  <si>
    <t>O PIONEIRO MOLAS</t>
  </si>
  <si>
    <t xml:space="preserve">OBJETIVA VISTORIA </t>
  </si>
  <si>
    <t xml:space="preserve">OGRAMAC RADIADORES </t>
  </si>
  <si>
    <t>ORION  TECNOLOGIA</t>
  </si>
  <si>
    <t>P. S. BERGAMO</t>
  </si>
  <si>
    <t>PARANA AUTO ELETRICA</t>
  </si>
  <si>
    <t>PARCERIA COMÉRCIO</t>
  </si>
  <si>
    <t>PARECIS MAQUINAS</t>
  </si>
  <si>
    <t>PICOLII ASSISTENCIAS</t>
  </si>
  <si>
    <t xml:space="preserve">PICOLOTO EMBREAGENS </t>
  </si>
  <si>
    <t xml:space="preserve">PIRUDISEL </t>
  </si>
  <si>
    <t>PIT STOP AUTO CENTERPIT STOP AUTO CENTER</t>
  </si>
  <si>
    <t>POLACO CAR</t>
  </si>
  <si>
    <t>POLACO MUNCK</t>
  </si>
  <si>
    <t>PRECISION AGRO</t>
  </si>
  <si>
    <t>PRIETO ARONEGOCIO E SERVIÇOS</t>
  </si>
  <si>
    <t>PROCAR</t>
  </si>
  <si>
    <t>QUALITY LAVA CAR</t>
  </si>
  <si>
    <t>RADIADOR GUIMARÃES</t>
  </si>
  <si>
    <t>RAMOS SOLUÇÕES</t>
  </si>
  <si>
    <t>RAPIDO MOLAS E FREIOS</t>
  </si>
  <si>
    <t>RECAPADORA ESTRELA</t>
  </si>
  <si>
    <t>REEI AVIONICOS</t>
  </si>
  <si>
    <t>REINA PECAS</t>
  </si>
  <si>
    <t>REMOPEL</t>
  </si>
  <si>
    <t>RETIFORT MOTORES</t>
  </si>
  <si>
    <t>RETIFRARE</t>
  </si>
  <si>
    <t>RETIMAPE</t>
  </si>
  <si>
    <t>REVISA SERVIÇOS</t>
  </si>
  <si>
    <t>RHADIESEL</t>
  </si>
  <si>
    <t>R. ORGLIARI</t>
  </si>
  <si>
    <t xml:space="preserve">ROKIM AUTOMOTIVE </t>
  </si>
  <si>
    <t>ROTA OESTE</t>
  </si>
  <si>
    <t xml:space="preserve">SACI SOLUÇÕES </t>
  </si>
  <si>
    <t xml:space="preserve">SAFRA OESTE </t>
  </si>
  <si>
    <t>SALES TAPEÇARIA</t>
  </si>
  <si>
    <t>SÃO PAULO RADIADORES</t>
  </si>
  <si>
    <t>SAVIO GRAFICA DOMINGO SÁVIO</t>
  </si>
  <si>
    <t>SELMO N. LOPES (LLP REPAROS)</t>
  </si>
  <si>
    <t>SERGIO AR</t>
  </si>
  <si>
    <t>SERRALHERIA SAPEZAL</t>
  </si>
  <si>
    <t>SETA INSPEÇÃO</t>
  </si>
  <si>
    <t xml:space="preserve">SETA NOVA </t>
  </si>
  <si>
    <t>SHAPE ENG. E CONS.</t>
  </si>
  <si>
    <t>SL SERVICE</t>
  </si>
  <si>
    <t>SMART SENSING</t>
  </si>
  <si>
    <t>SÓ PORTAS</t>
  </si>
  <si>
    <t>SOMOV</t>
  </si>
  <si>
    <t>SOTREQ</t>
  </si>
  <si>
    <t>STOP ACESSORIOS</t>
  </si>
  <si>
    <t xml:space="preserve">SUDOESTE </t>
  </si>
  <si>
    <t xml:space="preserve">SUL DIESEL </t>
  </si>
  <si>
    <t>SUPERNOVA METAL MECANICA</t>
  </si>
  <si>
    <t xml:space="preserve">TANGARA AEROCENTER </t>
  </si>
  <si>
    <t>TANGARA TORNO E SOLDA</t>
  </si>
  <si>
    <t>TAPEÇARIA UNIÃO</t>
  </si>
  <si>
    <t>TESTEPOWE</t>
  </si>
  <si>
    <t>THERMO BUSS</t>
  </si>
  <si>
    <t>TJ SERVICE</t>
  </si>
  <si>
    <t>TOP CAR</t>
  </si>
  <si>
    <t>TRACK CENTER</t>
  </si>
  <si>
    <t>TRATOR TECMAQ</t>
  </si>
  <si>
    <t>TRIMBLE</t>
  </si>
  <si>
    <t xml:space="preserve">TWL SMART </t>
  </si>
  <si>
    <t>UNIÃO MANUTENÇÃO</t>
  </si>
  <si>
    <t xml:space="preserve">VENTO SUL </t>
  </si>
  <si>
    <t>VIDROCAR</t>
  </si>
  <si>
    <t>VILLE DE FRANCE</t>
  </si>
  <si>
    <t>VM MARMORARIA</t>
  </si>
  <si>
    <t>ELITE CAR</t>
  </si>
  <si>
    <t>M. C. PAIM LTDA</t>
  </si>
  <si>
    <t>PINCELOS PLACAS</t>
  </si>
  <si>
    <t>HIDRONI</t>
  </si>
  <si>
    <t>DISBRAVA FORD</t>
  </si>
  <si>
    <t>METALURGICA TRIANGULO</t>
  </si>
  <si>
    <t>MASTER SERVIÇOS</t>
  </si>
  <si>
    <t>HIDRAUTEC</t>
  </si>
  <si>
    <t>GOIANO ACESSORIOS</t>
  </si>
  <si>
    <t xml:space="preserve">MM AUTOMOÇÃO </t>
  </si>
  <si>
    <t>PAULÃO FERRAMENTAS</t>
  </si>
  <si>
    <t>OBJETIVA</t>
  </si>
  <si>
    <t>PARECIS PLACAS</t>
  </si>
  <si>
    <t>AM MAQUINAS</t>
  </si>
  <si>
    <t>REFRIGERAÇÃO PLANALTO</t>
  </si>
  <si>
    <t>VALLE ELETROMOTORES</t>
  </si>
  <si>
    <t>RENAN MOTORES</t>
  </si>
  <si>
    <t xml:space="preserve">M. BIRCK </t>
  </si>
  <si>
    <t xml:space="preserve">JACTO </t>
  </si>
  <si>
    <t>DIVESCO TANGARA</t>
  </si>
  <si>
    <t>MONITOR</t>
  </si>
  <si>
    <t>VENTO SUL</t>
  </si>
  <si>
    <t xml:space="preserve">METALURGICA TRIANGULO </t>
  </si>
  <si>
    <t>ST COMERCIO MANUTENCAO</t>
  </si>
  <si>
    <t>INDIANA SOUND</t>
  </si>
  <si>
    <t xml:space="preserve">J. DALCOL </t>
  </si>
  <si>
    <t>MYMACH</t>
  </si>
  <si>
    <t>TECNO-K</t>
  </si>
  <si>
    <t>LS MANUTENÇÃO</t>
  </si>
  <si>
    <t>RETIMAPE - CEREDA</t>
  </si>
  <si>
    <t>BETÃO ACESSORIOS</t>
  </si>
  <si>
    <t>CNP PELICULAS</t>
  </si>
  <si>
    <t>TRACTOR MANUTENÇÕES</t>
  </si>
  <si>
    <t>M C PAIM</t>
  </si>
  <si>
    <t>SOARES ELETROMECANICA - BOSCH</t>
  </si>
  <si>
    <t xml:space="preserve">PANDA AUTO ELETRICA </t>
  </si>
  <si>
    <t>MASTER TANGARA</t>
  </si>
  <si>
    <t xml:space="preserve">CARLOS HENRIQUE </t>
  </si>
  <si>
    <t>AUTO PEÇAS T9</t>
  </si>
  <si>
    <t>MJB PRESTAÇÃO DE SERVIÇO</t>
  </si>
  <si>
    <t>JURUENA IND. E</t>
  </si>
  <si>
    <t xml:space="preserve">BR DIESEL </t>
  </si>
  <si>
    <t>REVISA</t>
  </si>
  <si>
    <t>D.B DE OLIVEIRA LIMA LTDA</t>
  </si>
  <si>
    <t>G-CAR</t>
  </si>
  <si>
    <t>NOMA POSTO SERVIÇO</t>
  </si>
  <si>
    <t>SICONNET</t>
  </si>
  <si>
    <t>MV MANUTENÇÃO</t>
  </si>
  <si>
    <t>REICAR AUTO CENTER</t>
  </si>
  <si>
    <t xml:space="preserve">RADIADORES SORATI </t>
  </si>
  <si>
    <t xml:space="preserve">ST EMPILHADEIRA </t>
  </si>
  <si>
    <t>ARAUJO CARROCERIAS</t>
  </si>
  <si>
    <t>ALRE EQUIPAMENTOS</t>
  </si>
  <si>
    <t>ONIX ESCOLTAS</t>
  </si>
  <si>
    <t>QUALITY AVIATION</t>
  </si>
  <si>
    <t>DISVECO</t>
  </si>
  <si>
    <t>CENTRAL HIDRAULICA</t>
  </si>
  <si>
    <t>G.C.A MANUTENÇÃO</t>
  </si>
  <si>
    <t>EDIVARDES</t>
  </si>
  <si>
    <t>BRUNO ENVELOPAMENTOS</t>
  </si>
  <si>
    <t>IGUAÇU MAQUINAS</t>
  </si>
  <si>
    <t>THOR</t>
  </si>
  <si>
    <t>CALEBE</t>
  </si>
  <si>
    <t>GAVIAR MECANICA PEÇAS</t>
  </si>
  <si>
    <t>CEREDA PEÇAS PARA MOTORES</t>
  </si>
  <si>
    <t>VITORIA MECANICA</t>
  </si>
  <si>
    <t>W.A MANUTENÇÃO</t>
  </si>
  <si>
    <t>RETIFICA DE MOTORES SÃO JOSE</t>
  </si>
  <si>
    <t>SUPERNOVA</t>
  </si>
  <si>
    <t>M.A.G CABRAL</t>
  </si>
  <si>
    <t>TRACTOR MANUTEÇÕES</t>
  </si>
  <si>
    <t>METALURGICA TECNO</t>
  </si>
  <si>
    <t>METALJARD</t>
  </si>
  <si>
    <t>NORS VOLVO</t>
  </si>
  <si>
    <t>BELLCAR</t>
  </si>
  <si>
    <t>FORT CONTRUÇÕES</t>
  </si>
  <si>
    <t>REICAR AUTO ELETRICA</t>
  </si>
  <si>
    <t>J. C. B. DA SILVA</t>
  </si>
  <si>
    <t>ASTER IGUAÇU</t>
  </si>
  <si>
    <t>JD MANUTENÇÕES</t>
  </si>
  <si>
    <t>NEW CAR</t>
  </si>
  <si>
    <t>PARADA CERTA</t>
  </si>
  <si>
    <t>CONTAINER</t>
  </si>
  <si>
    <t>RODRIGO VALENCIO</t>
  </si>
  <si>
    <t>STARA</t>
  </si>
  <si>
    <t>RETISUL</t>
  </si>
  <si>
    <t>JV ACESSRIOS</t>
  </si>
  <si>
    <t>ZAIT TECNOLOGIA</t>
  </si>
  <si>
    <t>GL TAPEÇARIA</t>
  </si>
  <si>
    <t>E-OXY</t>
  </si>
  <si>
    <t>AGROLUZ</t>
  </si>
  <si>
    <t>METALURGICA TECNOMETAL</t>
  </si>
  <si>
    <t>BRASA FUNILARIA E PINTURA</t>
  </si>
  <si>
    <t>S.O.S BOMBAS</t>
  </si>
  <si>
    <t>MORETTO</t>
  </si>
  <si>
    <t>YANA N. MASUR</t>
  </si>
  <si>
    <t>LOADPRESS</t>
  </si>
  <si>
    <t>Prefixo</t>
  </si>
  <si>
    <t>Equipamento</t>
  </si>
  <si>
    <t>YAMAHA/XTZ150 CROSSER Z</t>
  </si>
  <si>
    <t>C/ CUSTO IMPLEMENTO</t>
  </si>
  <si>
    <t>SEMI REBOQUE TANQUE RANDON 30.000L</t>
  </si>
  <si>
    <t>C/ CUSTO AUTOPROPELIDOS</t>
  </si>
  <si>
    <t>C/ CUSTO ADUBADORES A LANÇO</t>
  </si>
  <si>
    <t xml:space="preserve">C/ CUSTO </t>
  </si>
  <si>
    <t>C/ CUSTO POSTO ABAS/LUBRIF</t>
  </si>
  <si>
    <t xml:space="preserve">C/ CUSTO RECEPÇÃO DE GRÃOS </t>
  </si>
  <si>
    <t>C/ CUSTO APOIO</t>
  </si>
  <si>
    <t>C/ CUSTO OFICINA</t>
  </si>
  <si>
    <t>C/ CUSTO AREA TECNICA</t>
  </si>
  <si>
    <t>C/ CUSTO TRATOR EXTRA PESADOS</t>
  </si>
  <si>
    <t>C/ CUSTO COLHEDEIRA ALG AUTO</t>
  </si>
  <si>
    <t>C/CUSTO MIST.DEP DE ADULBOS</t>
  </si>
  <si>
    <t>C/ CUSTO TRATOR PESADOS</t>
  </si>
  <si>
    <t>C/CUSTO HORTICULTURA</t>
  </si>
  <si>
    <t xml:space="preserve">C/ CUSTO PLATAFORMA COLHEITA SOJA </t>
  </si>
  <si>
    <t>PLANTADEIRA NH PL7000 60 LINHAS</t>
  </si>
  <si>
    <t>SEMI REBOQUE TANQUE NOMA 42.000L</t>
  </si>
  <si>
    <t>CAMINHAO COMBOIO MB AXOR 3131</t>
  </si>
  <si>
    <t>MOTOR WEG 2 CV 1160 RPM 220/380 V</t>
  </si>
  <si>
    <t>SUBSOLADORES</t>
  </si>
  <si>
    <t>CAMINHAO RÍGIDO VOLVO VM 330 (PIPA)</t>
  </si>
  <si>
    <t>PLATAFORMA GRAOS NEW HOLAND 45 PES</t>
  </si>
  <si>
    <t>SINISTROS</t>
  </si>
  <si>
    <t>MOTORISTAS</t>
  </si>
  <si>
    <t>CARRETINHA CONVIVENCIA BUSA</t>
  </si>
  <si>
    <t>ROLO COMPACTADOR CATERPILLAR CP54B</t>
  </si>
  <si>
    <t>ESCAVADEIRA HIDRAULICA CATERPILLAR 345GC</t>
  </si>
  <si>
    <t>CAMINHONETA TOYOTA HILUX CDSR A4FD</t>
  </si>
  <si>
    <t>PLANTADEIRA JD 2130 15 LINHAS</t>
  </si>
  <si>
    <t>MICROONIBUS SPRINTER 417 CDI K42B</t>
  </si>
  <si>
    <t>ADUBADORES AUTOPROPE</t>
  </si>
  <si>
    <t>ROÇADEIRA DE SOQUEIRA - ALGODÃO</t>
  </si>
  <si>
    <t>CACAMBA AGRIC BASCULANTE IMAVI TP6518</t>
  </si>
  <si>
    <t>CAMINHONETE TOYOTA HILUX CDCQ A4PD</t>
  </si>
  <si>
    <t>Rec. Hum  - Regional</t>
  </si>
  <si>
    <t>Recursos Humanos</t>
  </si>
  <si>
    <t>Cantina/Restaurante</t>
  </si>
  <si>
    <t>Copa/Cozinha</t>
  </si>
  <si>
    <t>Reflorestamento</t>
  </si>
  <si>
    <t>Compras</t>
  </si>
  <si>
    <t>Almoxarifado</t>
  </si>
  <si>
    <t>TI - Infra-estrutura</t>
  </si>
  <si>
    <t>Diretoria Agrícola</t>
  </si>
  <si>
    <t>Ger. Operacional</t>
  </si>
  <si>
    <t>Ger. de Unidade</t>
  </si>
  <si>
    <t>Mist./Dep. de Adubos</t>
  </si>
  <si>
    <t>Alojamentos</t>
  </si>
  <si>
    <t>Obra Civil</t>
  </si>
  <si>
    <t>Limpeza</t>
  </si>
  <si>
    <t>Rede Elétrica</t>
  </si>
  <si>
    <t>Tratam. de Sementes</t>
  </si>
  <si>
    <t>Apoio</t>
  </si>
  <si>
    <t>Cons. Estrada/Terrap</t>
  </si>
  <si>
    <t>Saúde e Segurança Oc</t>
  </si>
  <si>
    <t>Sede</t>
  </si>
  <si>
    <t>Tratamento de Água</t>
  </si>
  <si>
    <t>Ambulatório</t>
  </si>
  <si>
    <t>Serv. Social e Saúde</t>
  </si>
  <si>
    <t>Hotel</t>
  </si>
  <si>
    <t>Vila Residencial</t>
  </si>
  <si>
    <t>Açougue</t>
  </si>
  <si>
    <t>Escola</t>
  </si>
  <si>
    <t>Área Técnica</t>
  </si>
  <si>
    <t>Coordenadores Campo</t>
  </si>
  <si>
    <t>Operadores</t>
  </si>
  <si>
    <t>Motoristas</t>
  </si>
  <si>
    <t>Assistente Agrícola</t>
  </si>
  <si>
    <t>Auxiliares Agrícolas</t>
  </si>
  <si>
    <t>Pilotos Agrícolas</t>
  </si>
  <si>
    <t>Controle Manutenção</t>
  </si>
  <si>
    <t>Oficina Mecânica</t>
  </si>
  <si>
    <t>Posto Abast./Lubrif.</t>
  </si>
  <si>
    <t>Tratores Leves</t>
  </si>
  <si>
    <t>Tratores Médios</t>
  </si>
  <si>
    <t>Tratores Pesados</t>
  </si>
  <si>
    <t>Máquinas Pesadas</t>
  </si>
  <si>
    <t>Colheit. Grãos-Conv</t>
  </si>
  <si>
    <t>Cavalo Mec. Pesado</t>
  </si>
  <si>
    <t>Cav. Mec. Extra-Pes.</t>
  </si>
  <si>
    <t>Semi-Reboque Prancha</t>
  </si>
  <si>
    <t>Semi-Reb. Basculante</t>
  </si>
  <si>
    <t>Semi-Reb. Graneleiro</t>
  </si>
  <si>
    <t>Semi-Reboque Tanque</t>
  </si>
  <si>
    <t>Caminhões Comboio</t>
  </si>
  <si>
    <t>Caminhões Basculante</t>
  </si>
  <si>
    <t>Caminhões Graneleiro</t>
  </si>
  <si>
    <t>Caminhões Tanque</t>
  </si>
  <si>
    <t>Veículos Leves</t>
  </si>
  <si>
    <t>Caminhonetas</t>
  </si>
  <si>
    <t>Ônibus</t>
  </si>
  <si>
    <t>Aviões Agrícolas</t>
  </si>
  <si>
    <t>Plantadeiras</t>
  </si>
  <si>
    <t>Calcareadeiras</t>
  </si>
  <si>
    <t>Adubadores de Linha</t>
  </si>
  <si>
    <t>Adubadores a Lanço</t>
  </si>
  <si>
    <t>Rolos Faca</t>
  </si>
  <si>
    <t>Roçadeiras</t>
  </si>
  <si>
    <t>Grades</t>
  </si>
  <si>
    <t>Subsoladores</t>
  </si>
  <si>
    <t>Motobombas</t>
  </si>
  <si>
    <t>Geradores</t>
  </si>
  <si>
    <t>Autopropelidos</t>
  </si>
  <si>
    <t>Motocicletas</t>
  </si>
  <si>
    <t>Soja</t>
  </si>
  <si>
    <t>Milho Safra</t>
  </si>
  <si>
    <t>Milho Safrinha</t>
  </si>
  <si>
    <t>Algodão Safra</t>
  </si>
  <si>
    <t>Algodão Safrinha</t>
  </si>
  <si>
    <t>Calcário</t>
  </si>
  <si>
    <t>PA CARREGADEIRA JOHN DEERE 524 K II</t>
  </si>
  <si>
    <t>Girassol</t>
  </si>
  <si>
    <t>Ger. de Armazém</t>
  </si>
  <si>
    <t>Recepção de Grãos</t>
  </si>
  <si>
    <t>Moegas de Grãos</t>
  </si>
  <si>
    <t>Secagem de Grãos</t>
  </si>
  <si>
    <t>Silos/Arm. de Grãos</t>
  </si>
  <si>
    <t>Ensacados de Grãos</t>
  </si>
  <si>
    <t>Exp. Granel Grãos</t>
  </si>
  <si>
    <t>Exp. Ensacados Grãos</t>
  </si>
  <si>
    <t>Rateio - Grãos</t>
  </si>
  <si>
    <t>Ger. do Sementeiro</t>
  </si>
  <si>
    <t>Recepção de Sementes</t>
  </si>
  <si>
    <t>Moegas de Sementes</t>
  </si>
  <si>
    <t>Secagem de Sementes</t>
  </si>
  <si>
    <t>Silos/Arm. Semente</t>
  </si>
  <si>
    <t>Ensacados Sementes</t>
  </si>
  <si>
    <t>Exp. Granel Sementes</t>
  </si>
  <si>
    <t>Exp. Ensac. Semente</t>
  </si>
  <si>
    <t>Ger. Algodoeira</t>
  </si>
  <si>
    <t>Algodoeira</t>
  </si>
  <si>
    <t>Armazenamento</t>
  </si>
  <si>
    <t>Embarque de Pluma</t>
  </si>
  <si>
    <t>Administrativo</t>
  </si>
  <si>
    <t>Socioambiental</t>
  </si>
  <si>
    <t>Seg. Patrimonial</t>
  </si>
  <si>
    <t>DVenda Soja</t>
  </si>
  <si>
    <t>Desp. Venda Milho</t>
  </si>
  <si>
    <t>DVenda Algodão</t>
  </si>
  <si>
    <t>DVenda Semente Soja</t>
  </si>
  <si>
    <t>DVenda Fertilizante</t>
  </si>
  <si>
    <t>Soja - Safrinha</t>
  </si>
  <si>
    <t>Algodão - Adensado</t>
  </si>
  <si>
    <t>Controle Agrícola</t>
  </si>
  <si>
    <t>Colh Algodão - Adens</t>
  </si>
  <si>
    <t>Hangar</t>
  </si>
  <si>
    <t>Transportadora</t>
  </si>
  <si>
    <t>Gado - Campo</t>
  </si>
  <si>
    <t>Caminhões Caçamba</t>
  </si>
  <si>
    <t>Caminhões Guincho</t>
  </si>
  <si>
    <t>Plataf. Colher Soja</t>
  </si>
  <si>
    <t>Plataf. Colher Milho</t>
  </si>
  <si>
    <t>Implementos</t>
  </si>
  <si>
    <t>Empilhaderias</t>
  </si>
  <si>
    <t>Caminhões Muck</t>
  </si>
  <si>
    <t>Prensa Hidráulica</t>
  </si>
  <si>
    <t>Transbordo/Bass Boy</t>
  </si>
  <si>
    <t>Transmódulos</t>
  </si>
  <si>
    <t>DVenda Algodão STS</t>
  </si>
  <si>
    <t>DVenda Far Comum ITA</t>
  </si>
  <si>
    <t>DVenda Soja PGA</t>
  </si>
  <si>
    <t>DVenda Algodão PGA</t>
  </si>
  <si>
    <t>Rádio/Torre de Comun</t>
  </si>
  <si>
    <t>Abertura de Área</t>
  </si>
  <si>
    <t>Trainee</t>
  </si>
  <si>
    <t>Empilhadeiras Algd</t>
  </si>
  <si>
    <t>DVenda Algodão SECO</t>
  </si>
  <si>
    <t>Máq. Equip. Terceiro</t>
  </si>
  <si>
    <t>Colheitad. Algodão</t>
  </si>
  <si>
    <t>Colheit. Grãos-Axial</t>
  </si>
  <si>
    <t>Caminhões 3/4</t>
  </si>
  <si>
    <t>Arran. Soqueira</t>
  </si>
  <si>
    <t>Aviões Agrícolas Q</t>
  </si>
  <si>
    <t>Quadriciclos</t>
  </si>
  <si>
    <t>Caminhão Hercules</t>
  </si>
  <si>
    <t>DESP. VENDA SEME</t>
  </si>
  <si>
    <t>Educação Corporativa</t>
  </si>
  <si>
    <t>Colheitad. Alg Auto</t>
  </si>
  <si>
    <t>Sinistros</t>
  </si>
  <si>
    <t>Trat Extra Pesados</t>
  </si>
  <si>
    <t>Micro-Onibus</t>
  </si>
  <si>
    <t>Caminhões Roll On ro</t>
  </si>
  <si>
    <t>Apoio à Gente</t>
  </si>
  <si>
    <t>Jovem Aprendiz</t>
  </si>
  <si>
    <t>Algodoeira 2</t>
  </si>
  <si>
    <t>Pesquisa Agrícola</t>
  </si>
  <si>
    <t>Plataforma Hidraulca</t>
  </si>
  <si>
    <t>Pré-Calda - Defensiv</t>
  </si>
  <si>
    <t>Frota Rodoviária</t>
  </si>
  <si>
    <t>Horticultura</t>
  </si>
  <si>
    <t>Arrendamento</t>
  </si>
  <si>
    <t>Amortização Calcário</t>
  </si>
  <si>
    <t>Agricultura Digital</t>
  </si>
  <si>
    <t>Supervisores Agricol</t>
  </si>
  <si>
    <t>Lavanderia</t>
  </si>
  <si>
    <t>Feijão Mungo</t>
  </si>
  <si>
    <t>DVenda Algodão MNS</t>
  </si>
  <si>
    <t>Semi-Reb. Semente</t>
  </si>
  <si>
    <t>Feijão Caupi</t>
  </si>
  <si>
    <t>Feijão Red-bamboo</t>
  </si>
  <si>
    <t>Tratam. de Sem. Com.</t>
  </si>
  <si>
    <t>Royalties St Própria</t>
  </si>
  <si>
    <t>Sinistros Sement</t>
  </si>
  <si>
    <t>Sinistros Algod</t>
  </si>
  <si>
    <t>Sinistros Armazém</t>
  </si>
  <si>
    <t>Drones</t>
  </si>
  <si>
    <t>Aviões Agrí Terceiro</t>
  </si>
  <si>
    <t>Custo frete AG/Trans</t>
  </si>
  <si>
    <t>Operadores Drone</t>
  </si>
  <si>
    <t>Geotecnologias</t>
  </si>
  <si>
    <t>Marketing</t>
  </si>
  <si>
    <t>Amendoim</t>
  </si>
  <si>
    <t>Analise de Solo</t>
  </si>
  <si>
    <t>Plataf. Roçagem</t>
  </si>
  <si>
    <t>Gergelim</t>
  </si>
  <si>
    <t>CC Carga</t>
  </si>
  <si>
    <t>ADUB AUTOPROP JACTO UNIPORT 2000</t>
  </si>
  <si>
    <t>ADUB AUTOPROP JACTO UNIPORT 5030NPK</t>
  </si>
  <si>
    <t>ADUB AUTOPROP KUHN ACCURA ST 7000</t>
  </si>
  <si>
    <t>ADUBADOR AUTOPROPELID JACTO UNIPORT 2000</t>
  </si>
  <si>
    <t>AERONAVE AIR TRACTOR AT-502B PR LBM</t>
  </si>
  <si>
    <t>AERONAVE AIR TRACTOR AT-502B PR TGO</t>
  </si>
  <si>
    <t>AERONAVE KING AIR</t>
  </si>
  <si>
    <t>AMOSTRADOR SACI TRAIL TECH 500</t>
  </si>
  <si>
    <t>ARRANCAD AMENDOIM KBM AIA FLEX6L</t>
  </si>
  <si>
    <t>AUTOMOVEL CHEVROLET MONTANA LS</t>
  </si>
  <si>
    <t>AUTOMOVEL CHEVROLET ONIX</t>
  </si>
  <si>
    <t>AUTOMOVEL CHEVROLET SPIN 18L AT PREMIER</t>
  </si>
  <si>
    <t>AUTOMOVEL CHEVROLET TRACKER</t>
  </si>
  <si>
    <t>AUTOMOVEL CITROEN C3</t>
  </si>
  <si>
    <t>AUTOMOVEL FIAT ARGO 1.0 4P</t>
  </si>
  <si>
    <t>ARRANCAD AMENDOIM KBM AIA FLEX12L</t>
  </si>
  <si>
    <t>GARRA HIDR 2,5TON GMF34 NSJ</t>
  </si>
  <si>
    <t>GARRA HIDR 2.5TON NSJ GMF25</t>
  </si>
  <si>
    <t>MOTOBOMBA COMB TOYAMA TDWE18RE XP</t>
  </si>
  <si>
    <t>CAMINHONETE FORD RANGER LIMIT CD 2.3</t>
  </si>
  <si>
    <t>GARRA HIDR 2TON SAUR GHS 20</t>
  </si>
  <si>
    <t>GARRA HID/CLAMP SAUR GHS 25 F6</t>
  </si>
  <si>
    <t>AUTOMOVEL FIAT ARGO DRIVE 1.3  4P</t>
  </si>
  <si>
    <t>AUTOMOVEL FIAT DOBLO ESSENCE</t>
  </si>
  <si>
    <t>VAN MICROBUS FORD TRANSIT 410 B AUT</t>
  </si>
  <si>
    <t>AUTOMOVEL FIAT FIORINO ENDURANCE</t>
  </si>
  <si>
    <t>AUTOMOVEL FIAT MOBI WAY 1.0</t>
  </si>
  <si>
    <t>AUTOMOVEL FIAT STRADA EDCS 1.4</t>
  </si>
  <si>
    <t>AUTOMOVEL FIAT STRADA ENDURANCE CP 1.4</t>
  </si>
  <si>
    <t>AUTOMOVEL FIAT STRADA FREEDOM 13CS</t>
  </si>
  <si>
    <t>AUTOMOVEL FIAT STRADA FREEDOM CD13</t>
  </si>
  <si>
    <t>AUTOMOVEL HYUNDAI HB20S CONFORT</t>
  </si>
  <si>
    <t>AUTOMOVEL RENAULT KWID</t>
  </si>
  <si>
    <t>AUTOMOVEL RENAULT OROCH INTENSE16M</t>
  </si>
  <si>
    <t>AUTOMOVEL RENAULT OROCH PRO 16</t>
  </si>
  <si>
    <t>AUTOMÓVEL VOLKSWAGEN GOL 1.0 2022</t>
  </si>
  <si>
    <t>AUTOMOVEL VOLKSWAGEN SAVEIRO RB MBVS</t>
  </si>
  <si>
    <t>AUTOMOVEL VW GOL 1.0</t>
  </si>
  <si>
    <t>AUTOMOVEL VW SAVEIRO</t>
  </si>
  <si>
    <t>AUTOMOVEL VW T CROSS TSI</t>
  </si>
  <si>
    <t>AVIAO APLIC AGR AIR TRACT AT-502B</t>
  </si>
  <si>
    <t>AVIAO DIRETORIA</t>
  </si>
  <si>
    <t>BOOM ARTICULADO AUTOPROPELIDO Z-45/25</t>
  </si>
  <si>
    <t>CACAMBA AGRIC BASCULANTE FACCHINI</t>
  </si>
  <si>
    <t>CACAMBA AGRIC BASCULANTE IMAVI</t>
  </si>
  <si>
    <t>CACAMBA AGRIC BASCULANTE IMAVI TP6510</t>
  </si>
  <si>
    <t>CAÇAMBA AGRICOLA BASCULANTE</t>
  </si>
  <si>
    <t>CAM BASCU FORD FORD TERCEIRO</t>
  </si>
  <si>
    <t>CAM BASCU IVECO IVECO TERCEIRO</t>
  </si>
  <si>
    <t>CAM BASCU M BENZ M BENZ TERCEIRO</t>
  </si>
  <si>
    <t>CAM BASCU MERC BENZ MB TERC</t>
  </si>
  <si>
    <t>CAM CARGA SECA AGRALE 6000 D</t>
  </si>
  <si>
    <t>CAM CARGA SECA FORD CARGO 2422</t>
  </si>
  <si>
    <t>CAM CARGA SECA FORD F-4000</t>
  </si>
  <si>
    <t>CAM CARGA SECA MERC BENZ ACCELO 815</t>
  </si>
  <si>
    <t>CAM CARGA SECA MERC BENZ ATEGO 1719</t>
  </si>
  <si>
    <t>CAM CARGA SECA VOLVO VM 270</t>
  </si>
  <si>
    <t>CAM COMBOIO FORD 816S</t>
  </si>
  <si>
    <t>CAM COMBOIO FORD F-4000</t>
  </si>
  <si>
    <t>CAM COMBOIO MERC BENZ ATRON 2729</t>
  </si>
  <si>
    <t>CAM COMBOIO VOLVO VM 330</t>
  </si>
  <si>
    <t>CAM MUNCK MERC BENZ ATEGO 1719</t>
  </si>
  <si>
    <t>CAM MUNCK MERC BENZ MB 1513</t>
  </si>
  <si>
    <t>CAM MUNCK VOLVO VM 330</t>
  </si>
  <si>
    <t>CAM PIPA BOMB VOLVO VM 330</t>
  </si>
  <si>
    <t>CAM ROLL ON/OFF MERC BENZ ATEGO 2730</t>
  </si>
  <si>
    <t>CAM ROLL ON/OFF MERC BENZ MB 1620</t>
  </si>
  <si>
    <t>CAM ROLL ON/OFF VOLVO VM 330</t>
  </si>
  <si>
    <t>CAM TANQUE AGUA VW VWC 13.130</t>
  </si>
  <si>
    <t>CAM TRANSP LIXO MERC BENZ MB 1620</t>
  </si>
  <si>
    <t>CAMINHÃO CAVALO MB LS 1938</t>
  </si>
  <si>
    <t>CAMINHAO CAVALO MECANICO MB 1218L</t>
  </si>
  <si>
    <t>CAMINHÃO CAVALO VOLVO NL12 360 4X2T EDC</t>
  </si>
  <si>
    <t>CAMINHAO FORD CARGO 2631</t>
  </si>
  <si>
    <t>CAMINHAO FORD CARGO 2842 AT</t>
  </si>
  <si>
    <t>CAMINHAO IVECO / STRALHD</t>
  </si>
  <si>
    <t>CAMINHAO IVECO / STRALIS 800S48TZ</t>
  </si>
  <si>
    <t>CAMINHAO MAN / TGX 29.480 6X4 T</t>
  </si>
  <si>
    <t>CAMINHAO MAN / TGX 29.480 6X4T</t>
  </si>
  <si>
    <t>CAMINHAO MB / ACTROS 2651S6X4</t>
  </si>
  <si>
    <t>CAMINHAO MB 1620L</t>
  </si>
  <si>
    <t>CAMINHAO MB 2423B</t>
  </si>
  <si>
    <t>CAMINHAO MB/L 1313</t>
  </si>
  <si>
    <t>CAMINHÃO MERCEDEZ BENZ /L 1620</t>
  </si>
  <si>
    <t>CAMINHAO ROLLON ROLLOFF MB 2213</t>
  </si>
  <si>
    <t>CAMINHAO SCANIA / R 440 A6X4</t>
  </si>
  <si>
    <t>CAMINHÃO SCANIA G 420 A6X4</t>
  </si>
  <si>
    <t>CAMINHÃO SCANIA G 440 A6X4</t>
  </si>
  <si>
    <t>CAMINHÃO SCANIA R124 GA4X2NZ 400</t>
  </si>
  <si>
    <t>CAMINHAO SCANIA/T112 H</t>
  </si>
  <si>
    <t>CAMINHAO TRATOR / R500 A6X4</t>
  </si>
  <si>
    <t>CAMINHAO TRATOR VOLVO/FH 540 6X4T</t>
  </si>
  <si>
    <t>CAMINHAO TRATOR VOLVO/NL12 360 4X2T EDC</t>
  </si>
  <si>
    <t>CAMINHAO VOLVO / FH 540 6X4T</t>
  </si>
  <si>
    <t>CAMINHAO VOLVO /VM 260 6X4R</t>
  </si>
  <si>
    <t>CAMINHAO VOLVO /VM 310</t>
  </si>
  <si>
    <t>CAMINHAO VOLVO FH 400 6 X 2T</t>
  </si>
  <si>
    <t>CAMINHÃO VOLVO FH 520 6X4T</t>
  </si>
  <si>
    <t>CAMINHAO VOLVO FH12 420 6X4T</t>
  </si>
  <si>
    <t>CAMINHAO VOLVO VM 310 4X2T</t>
  </si>
  <si>
    <t>CAMINHÃO VOLVO VM310 4X2T</t>
  </si>
  <si>
    <t>CAMINHÃO VW/26.260 E</t>
  </si>
  <si>
    <t>CAMINHONETE AMAROK CD 4X4 SE</t>
  </si>
  <si>
    <t>CAMINHONETE CHEVROLET S10 CD LT 2.8</t>
  </si>
  <si>
    <t>CAMINHONETE CHEVROLET S10 CD LTZ 2.5</t>
  </si>
  <si>
    <t>CAMINHONETE CHEVROLET/ MONTANA LS2</t>
  </si>
  <si>
    <t>CAMINHONETE FIAT TORO VOLCANO AT D4</t>
  </si>
  <si>
    <t>CAMINHONETE FORD RANGER XLS 2.2 4X4 A</t>
  </si>
  <si>
    <t>CAMINHONETE FORD RANGER XLT 3.0 4X4 A</t>
  </si>
  <si>
    <t>CAMINHONETE TOYOTA HILUX CONQUEST 2.8</t>
  </si>
  <si>
    <t>CAMINHONETE TOYOTA HILUX SR</t>
  </si>
  <si>
    <t>CAMINHONETE VW AMAROK 4X4 2.0</t>
  </si>
  <si>
    <t>CAMIONETE S10 LTZ FD4A</t>
  </si>
  <si>
    <t>CARR PRANC ONOFF IMAVI PLATAF 21T</t>
  </si>
  <si>
    <t>CARRETA TRANSBORDO BASS BOY BUSA</t>
  </si>
  <si>
    <t>CARRETINHA APOIO PROPRIO</t>
  </si>
  <si>
    <t>CARRETINHA ARRASTO MOTOCICLETA</t>
  </si>
  <si>
    <t>CARRETINHA BASCULANTE TMH 6000</t>
  </si>
  <si>
    <t>CARRETINHA CONVIVENCIA PROPRIO</t>
  </si>
  <si>
    <t>CARRETINHA DE FERRO PRÓPRIA</t>
  </si>
  <si>
    <t>CARRETINHA FAZENDINHA</t>
  </si>
  <si>
    <t>CARRETINHA SANITARIA PROPRIO</t>
  </si>
  <si>
    <t>CARRETINHA SEMI REBOQUE  PROPRIO</t>
  </si>
  <si>
    <t>CARRETINHA TRANSBORDO BUSA</t>
  </si>
  <si>
    <t>CAV MEC EXT PES DAF DAF TERCEIRO</t>
  </si>
  <si>
    <t>CAV MEC EXT PES IVECO IVECO TERCEIRO</t>
  </si>
  <si>
    <t>CAV MEC EXT PES IVECO STRALIS 800S48TZ</t>
  </si>
  <si>
    <t>CAV MEC EXT PES M BENZ ACTROS 2651 6X4</t>
  </si>
  <si>
    <t>CAV MEC EXT PES M BENZ M BENZ TERCEIRO</t>
  </si>
  <si>
    <t>CAV MEC EXT PES MAN MAN TERCEIRO</t>
  </si>
  <si>
    <t>CAV MEC EXT PES MERC BENZ MB TERC</t>
  </si>
  <si>
    <t>CAV MEC EXT PES SCANIA R500</t>
  </si>
  <si>
    <t>CAV MEC EXT PES SCANIA SCANIA TERCEIRO</t>
  </si>
  <si>
    <t>CAV MEC EXT PES VOLVO FH 540</t>
  </si>
  <si>
    <t>CAV MEC EXT PES VOLVO VOLVO TERCEIRO</t>
  </si>
  <si>
    <t>CAV MEC EXT PES VW 29.520 METEOR</t>
  </si>
  <si>
    <t>CAV MEC EXT PES VW VW TERCEIRO</t>
  </si>
  <si>
    <t>CAV MEC PES MERC BENZ ACTRO 2651</t>
  </si>
  <si>
    <t>CAV MEC PES MERC BENZ AXOR 2644</t>
  </si>
  <si>
    <t>CAV MEC PES MERC BENZ MB 1634</t>
  </si>
  <si>
    <t>CAV MEC PES MERC BENZ MB 1938</t>
  </si>
  <si>
    <t>CAV MEC PES SCANIA SCANIA TERCEIRO</t>
  </si>
  <si>
    <t>CAV MEC PES SCANIA T114</t>
  </si>
  <si>
    <t>CAV MEC PES VOLVO VM 220</t>
  </si>
  <si>
    <t>CAVALO MECANICO FH 460</t>
  </si>
  <si>
    <t>CAVALO MECANICO IVECO 450E37HT</t>
  </si>
  <si>
    <t>CAVALO MECANICO M BENZ LS 1938</t>
  </si>
  <si>
    <t>CAVALO MECANICO MB 1938S</t>
  </si>
  <si>
    <t>CAVALO MECANICO MB LS 1935</t>
  </si>
  <si>
    <t>CAVALO MECANICO NL12</t>
  </si>
  <si>
    <t>CAVALO MECANICO R124</t>
  </si>
  <si>
    <t>CAVALO MECANICO SCANIA R 480</t>
  </si>
  <si>
    <t>CAVALO MECANICO SCANIA R/440</t>
  </si>
  <si>
    <t>CAVALO MECANICO SCANIA R112 HW 4X2</t>
  </si>
  <si>
    <t>CAVALO MECANICO SCANIA T112</t>
  </si>
  <si>
    <t>CAVALO MECANICO T112HW</t>
  </si>
  <si>
    <t>CAVALO MECANICO VOLVO FH 540</t>
  </si>
  <si>
    <t>CAVALO MECANICO VOLVO FH12 380 4X2T</t>
  </si>
  <si>
    <t>CAVALO MECANICO VOLVO FH540 6X4T</t>
  </si>
  <si>
    <t>CAVALO MECANICO VOLVO/FH 460 6X4T</t>
  </si>
  <si>
    <t>CAVALO MECANICO VOLVO/FH520 6X4T</t>
  </si>
  <si>
    <t>CAVALO MECANICO VW/18.310 TITAN</t>
  </si>
  <si>
    <t>CHEVROLET S10 LT FD2</t>
  </si>
  <si>
    <t>CJ TANDEM PLANTADEIRA 60 LINHAS</t>
  </si>
  <si>
    <t>COLHED ALGODÃO JOHN DEERE 7760</t>
  </si>
  <si>
    <t>COLHED ALGODÃO JOHN DEERE CP 690</t>
  </si>
  <si>
    <t>COLHED ALGODÃO JOHN DEERE CP 770</t>
  </si>
  <si>
    <t>COLHEIT DE GRÃOS CASE AXIAL FLOW 5150</t>
  </si>
  <si>
    <t>COLHEIT DE GRÃOS JOHN DEERE S 550</t>
  </si>
  <si>
    <t>COLHEIT DE GRÃOS JOHN DEERE S 680</t>
  </si>
  <si>
    <t>COLHEIT DE GRÃOS JOHN DEERE S 780</t>
  </si>
  <si>
    <t>COLHEIT DE GRÃOS N.HOLLAND CR 8.90</t>
  </si>
  <si>
    <t>CONTEINER TP 6510 AG</t>
  </si>
  <si>
    <t>CORRENTAO COM FACAS PROPRIO</t>
  </si>
  <si>
    <t>CORRENTAO COM FACAS TRATORMAT</t>
  </si>
  <si>
    <t>CORRENTAO NIVELADO TUBO DISCO</t>
  </si>
  <si>
    <t>CORTADOR DE GRAMA GIRO ZERO MZ54</t>
  </si>
  <si>
    <t>CORTADOR DE GRAMA HUSQVARNA LC 151</t>
  </si>
  <si>
    <t>CORTADOR DE GRAMA HUSQVARNA LC151</t>
  </si>
  <si>
    <t>CORTADOR DE GRAMA TRAPP LF55C 6HP</t>
  </si>
  <si>
    <t>CRT AREA VIVEN MONTEK *NT</t>
  </si>
  <si>
    <t>DALLA TRANSPORTADORA COMAG</t>
  </si>
  <si>
    <t>DALLA TRANSPORTADORA PROPRIO</t>
  </si>
  <si>
    <t>DISTRIB CORRET STARA BRUTTUS 25000</t>
  </si>
  <si>
    <t>DISTRIBUIDOR ADUBO JACTO TELLUS 10.000</t>
  </si>
  <si>
    <t>DISTRIBUIDOR ADUBO JAN LANCER 12000</t>
  </si>
  <si>
    <t>DISTRIBUIDOR ADUBO MP AGRO Z-3.0</t>
  </si>
  <si>
    <t>DISTRIBUIDOR ADUBO MP AGRO Z-4.0</t>
  </si>
  <si>
    <t>DISTRIBUIDOR ADUBO STARA HERCULES 10000</t>
  </si>
  <si>
    <t>DISTRIBUIDOR ADUBO STARA HERCULES 24000C</t>
  </si>
  <si>
    <t>DISTRIBUIDOR DE GRANULADO T-24</t>
  </si>
  <si>
    <t>EMPILHA COMBUST HYSTER H70FT</t>
  </si>
  <si>
    <t>EMPILHA COMBUST TOYOTA 8FG25B</t>
  </si>
  <si>
    <t>EMPILHA COMBUST TOYOTA 8FGU30</t>
  </si>
  <si>
    <t>EMPILHA ELÉTRICA STIHL FMX17</t>
  </si>
  <si>
    <t>EMPILHADEIRA HYSTER H70FT</t>
  </si>
  <si>
    <t>EMPILHADEIRA TOYOTA 8FG25</t>
  </si>
  <si>
    <t>ESCAVADEIRA HID JOHN DEERE 210 G LC</t>
  </si>
  <si>
    <t>F312- CAVALO MECANICO VOLVO FH540 6X4T</t>
  </si>
  <si>
    <t>F326- CAVALO MECANICO VOLVO FH540 6X4T</t>
  </si>
  <si>
    <t>F352-CAVALO MECANICO VOLVO FH540 6X4T</t>
  </si>
  <si>
    <t>F396 - CAVALO MECANICO VOLVO FH540 6X4T</t>
  </si>
  <si>
    <t>F403 - CAVALO MECANICO VOLVO FH540 6X4T</t>
  </si>
  <si>
    <t>F436 - CAVALO MECANICO VOLVO FH540 6X4T</t>
  </si>
  <si>
    <t>F456 - CAVALO MECANICO VOLVO FH 540 6X4T</t>
  </si>
  <si>
    <t>F460 - CAVALO MECANICO VOLVO FH 540 6X4T</t>
  </si>
  <si>
    <t>F621 - CAVALO MECANICO VOLVO FH540 6X4T</t>
  </si>
  <si>
    <t>F645 - CAVALO MECANICO VOLVO FH540 6X4T</t>
  </si>
  <si>
    <t>F664 - CAVALO MECANICO VOLVO FH540 6X4T</t>
  </si>
  <si>
    <t>F670 - CAVALO MECANICO VOLVO FH540 6X4T</t>
  </si>
  <si>
    <t>F673 - CAVALO MECANICO VOLVO FH540 6X4T</t>
  </si>
  <si>
    <t>F682 - CAVALO MECANICO VOLVO FH540 6X4T</t>
  </si>
  <si>
    <t>F687 - CAVALO MECANICO VOLVO FH540 6X4T</t>
  </si>
  <si>
    <t>FIAT ARGO 1.0</t>
  </si>
  <si>
    <t>FIAT ARGO DRIVE 1.0</t>
  </si>
  <si>
    <t>FIAT TORO ENDURANCE TURBO AT6</t>
  </si>
  <si>
    <t>FIAT UNO MILLE FIRE FLEX</t>
  </si>
  <si>
    <t>FIAT/TORO ENDUR TURB AT6</t>
  </si>
  <si>
    <t>GERADOR DE ENERGIA BRANCO B4T 9000E</t>
  </si>
  <si>
    <t>GERADOR DE ENERGIAi</t>
  </si>
  <si>
    <t>GERADOR ENERGIA</t>
  </si>
  <si>
    <t>GIRAFA HIDRAULICA MGH-2TD</t>
  </si>
  <si>
    <t>GRADE ARADORA CIVEMASA 22X27''</t>
  </si>
  <si>
    <t>GRADE ARADORA CIVEMASA 24X26"</t>
  </si>
  <si>
    <t>GRADE ARADORA CIVEMASA 40X28"</t>
  </si>
  <si>
    <t>GRADE ARADORA ECO GSP 22X32"</t>
  </si>
  <si>
    <t>GRADE ARADORA SANTA IZAB GASI 450 20X36</t>
  </si>
  <si>
    <t>GRADE NIVELADORA 48X22</t>
  </si>
  <si>
    <t>GRADE NIVELADORA CIVEMASA 24X28''</t>
  </si>
  <si>
    <t>GRADE NIVELADORA CIVEMASA 28X22''</t>
  </si>
  <si>
    <t>GRUPO GERADOR STEMAC 75KVA</t>
  </si>
  <si>
    <t>GRUPO GERADOR STEMAC 75KVA C/ CARENAGEM</t>
  </si>
  <si>
    <t>GUINDASTE JCB MONOBLOCO 540-70</t>
  </si>
  <si>
    <t>HUNTER ORION H1600</t>
  </si>
  <si>
    <t>HUNTER ORION H800</t>
  </si>
  <si>
    <t>IMP CONCHA CHICÃO EQP *NT</t>
  </si>
  <si>
    <t>IMP GUINCHO CHICÃO EQP *NT</t>
  </si>
  <si>
    <t>IMPL COLHEIT GRÃOS COLOMBO TWIN MASTER 3</t>
  </si>
  <si>
    <t>LIMPA FOSSA ANDRADE CTD-5000</t>
  </si>
  <si>
    <t>MERCEDES BENZ LS 1941</t>
  </si>
  <si>
    <t>MICRO-ONIBUS MB SPRINTER 416 CDI</t>
  </si>
  <si>
    <t>MISTURADOR ALIMENTADORA ROTORMIX 270</t>
  </si>
  <si>
    <t>MISTURADOR ALIMENTO TOTAL MIX9000</t>
  </si>
  <si>
    <t>MOTO BOMBA BRANCO B4T-705</t>
  </si>
  <si>
    <t>MOTO BOMBA BRANCO BD-705CF</t>
  </si>
  <si>
    <t>MOTO BOMBA BUFFALO BFDE3"FE</t>
  </si>
  <si>
    <t>MOTO BOMBA BUFFALO BFDE4</t>
  </si>
  <si>
    <t>MOTO BOMBA BUFFALO BFG 6.5</t>
  </si>
  <si>
    <t>MOTO BOMBA BUFFALO BFG3</t>
  </si>
  <si>
    <t>MOTO BOMBA HONDA WB30X</t>
  </si>
  <si>
    <t>MOTO BOMBA ZANONI GX200</t>
  </si>
  <si>
    <t>MOTO PODA STIHL HT 131</t>
  </si>
  <si>
    <t>MOTOBOMBA B4T-705</t>
  </si>
  <si>
    <t>MOTOBOMBA BFDE4</t>
  </si>
  <si>
    <t>MOTOBOMBA BFG3</t>
  </si>
  <si>
    <t>MOTOBOMBA BRANCO B4T-705</t>
  </si>
  <si>
    <t>MOTOBOMBA BRANCO B4T-716</t>
  </si>
  <si>
    <t>MOTOBOMBA BRANCO BD-709</t>
  </si>
  <si>
    <t>MOTOBOMBA BUFFALO BFDE 3" AUTO ESCORVANT</t>
  </si>
  <si>
    <t>MOTOBOMBA COMB BRANCO B4T-705</t>
  </si>
  <si>
    <t>MOTOBOMBA COMB BUFFALO BFG3</t>
  </si>
  <si>
    <t>MOTOBOMBA COMB BUFFALO BFG4T</t>
  </si>
  <si>
    <t>MOTOBOMBA COMB LION EQPTO HIDROJATO 15HP</t>
  </si>
  <si>
    <t>MOTOBOMBA COMB STIHL WP 600</t>
  </si>
  <si>
    <t>MOTOBOMBA COMB TOYAMA TDWE22RE XP</t>
  </si>
  <si>
    <t>MOTOBOMBA GX200</t>
  </si>
  <si>
    <t>MOTOBOMBA HONDA GX390</t>
  </si>
  <si>
    <t>MOTOBOMBA STIHL WP-600</t>
  </si>
  <si>
    <t>MOTOBOMBA TOYAMA</t>
  </si>
  <si>
    <t>MOTOBOMBA WB30X</t>
  </si>
  <si>
    <t>MOTOCICLETA BROS 150ES</t>
  </si>
  <si>
    <t>MOTOCICLETA BROS 150KS</t>
  </si>
  <si>
    <t>MOTOCICLETA HONDA NXR 160 BROS</t>
  </si>
  <si>
    <t>MOTOCICLETA HONDA NXR 160 BROS ESD</t>
  </si>
  <si>
    <t>MOTOCICLETA XTZ 125 K</t>
  </si>
  <si>
    <t>MOTOCICLETA YAMAHA XTZ 150 CROSSER</t>
  </si>
  <si>
    <t>MOTONIVELADORA CAT 140 GC</t>
  </si>
  <si>
    <t>MOTONIVELADORA JOHN DEERE 670 G</t>
  </si>
  <si>
    <t>MOTONIVELADORA JOHN DEERE 672 P</t>
  </si>
  <si>
    <t>MOTONIVELADORA JOHN DEERE 770 G</t>
  </si>
  <si>
    <t>MOTOSSERRA MS260</t>
  </si>
  <si>
    <t>MOTOSSERRA STIHL MS382</t>
  </si>
  <si>
    <t>ONIB COLETIVO MERC BENZ IND APACHE</t>
  </si>
  <si>
    <t>ONIB COLETIVO VW 17230 CAIO APACH</t>
  </si>
  <si>
    <t>ONIB RODOVIÁRIO MARCOPOLO VOLARE</t>
  </si>
  <si>
    <t>ONIB RODOVIÁRIO MASCARELLO GRAN MIDI</t>
  </si>
  <si>
    <t>ONIB RODOVIÁRIO MERC BENZ MARCOPOLO TORI</t>
  </si>
  <si>
    <t>ONIB RODOVIÁRIO SCANIA F230 40P</t>
  </si>
  <si>
    <t>ONIB RODOVIÁRIO VOLVO MARCOPOLO VIAGGIO</t>
  </si>
  <si>
    <t>ONIBUS VOLVO MASCA ROMA ON</t>
  </si>
  <si>
    <t>OROCHE DYN 16 SCE</t>
  </si>
  <si>
    <t>PA CARREGADEIRA CAT 920 K</t>
  </si>
  <si>
    <t>PA CARREGADEIRA CAT 924 K</t>
  </si>
  <si>
    <t>PA CARREGADEIRA JOHN DEERE 444 G</t>
  </si>
  <si>
    <t>PA CARREGADEIRA JOHN DEERE 524 K</t>
  </si>
  <si>
    <t>PA CARREGADEIRA JOHN DEERE 524K-II</t>
  </si>
  <si>
    <t>PICK-UP FIAT STRADA FIRE 1.4 FLEX</t>
  </si>
  <si>
    <t>PICK-UP FIAT STRADA WORKING 1.4 FLEX</t>
  </si>
  <si>
    <t>PLAINA AGRICOLA DIANTEIRA STARA PAD1750</t>
  </si>
  <si>
    <t>PLANT GRÃOS CASE FAST RISER 60 LINHAS</t>
  </si>
  <si>
    <t>PLANT GRÃOS JOHN DEERE 2100 DF 15 LINHAS</t>
  </si>
  <si>
    <t>PLANT GRÃOS JOHN DEERE 2100 DF 30 LINHAS</t>
  </si>
  <si>
    <t>PLANT GRÃOS JOHN DEERE 9200 PI 11 LINHAS</t>
  </si>
  <si>
    <t>PLANT GRÃOS JOHN DEERE 9200 PI 12 LINHAS</t>
  </si>
  <si>
    <t>PLANT GRÃOS JOHN DEERE DB50 ME 35 LINHAS</t>
  </si>
  <si>
    <t>PLANT GRÃOS JOHN DEERE DB90 ME 60 LINHAS</t>
  </si>
  <si>
    <t>PLANT GRÃOS N.HOLLAND PL7000 60 LINHAS</t>
  </si>
  <si>
    <t>PLANTADEIRA CASE IH FAST RISER 6100</t>
  </si>
  <si>
    <t>PLANTADEIRA JD 2126 DUAL FLEX</t>
  </si>
  <si>
    <t>PLANTADEIRA JD 9200</t>
  </si>
  <si>
    <t>PLANTADEIRA JD 9200 - 12 LINHAS</t>
  </si>
  <si>
    <t>PLANTADEIRA JD 9200 24 LINHAS</t>
  </si>
  <si>
    <t>PLATAF COLHEITA CASE 3020 25P</t>
  </si>
  <si>
    <t>PLATAF COLHEITA JOHN DEERE HYDRAFLEX 625</t>
  </si>
  <si>
    <t>PLATAF COLHEITA JOHN DEERE HYDRAFLEX 640</t>
  </si>
  <si>
    <t>PLATAF COLHEITA JOHN DEERE HYDRAFLEX 740</t>
  </si>
  <si>
    <t>PLATAF COLHEITA N.HOLLAND DRAPER 8645P</t>
  </si>
  <si>
    <t>PLATAF COLHEITA VENCE TUDO PM BOCUDA 24L</t>
  </si>
  <si>
    <t>PLATAF ELEVAT HAULOTTE HA20PX</t>
  </si>
  <si>
    <t>PLATAF ELEVAT JLG 450 AJ</t>
  </si>
  <si>
    <t>PLATAF ROÇAGEM WATANABE MAVERICK</t>
  </si>
  <si>
    <t>PLATAFORMA ARTICULADA Z- 60/34</t>
  </si>
  <si>
    <t>PLATAFORMA ARTICULADO  Z-60 FE</t>
  </si>
  <si>
    <t>PLATAFORMA DE ELEVACAO</t>
  </si>
  <si>
    <t>PRANCHA AGRICOLA MOVEL PROPRIO</t>
  </si>
  <si>
    <t>PRANCHA TRANSPORTE ALGODAO BUSA</t>
  </si>
  <si>
    <t>PRENSA HIDRAULICA EB10T</t>
  </si>
  <si>
    <t>PULV AUTOPROP JACTO ELETROVORTEX 3030</t>
  </si>
  <si>
    <t>PULV AUTOPROP JACTO UNIPORT 3030</t>
  </si>
  <si>
    <t>PULV AUTOPROP JOHN DEERE E4730</t>
  </si>
  <si>
    <t>PULV AUTOPROP JOHN DEERE M4030</t>
  </si>
  <si>
    <t>PULV AUTOPROP N.HOLLAND SP 3500</t>
  </si>
  <si>
    <t>PULVERIZADOR AUTOPROP JACTO UNIPORT 3030</t>
  </si>
  <si>
    <t>PULVERIZADOR JACTO COLUMBIA 2000L</t>
  </si>
  <si>
    <t>PULVERIZADOR JACTO JATAO 600</t>
  </si>
  <si>
    <t>QUADRICICLO HONDA TRX 420 FOURTRAX</t>
  </si>
  <si>
    <t>REBOCADOR TORNAV TUG MAX</t>
  </si>
  <si>
    <t>REBOQ TRANSB AGR SANTAL VT8</t>
  </si>
  <si>
    <t>REBOQUE AGRÍCOLA 2 EIXOS PRÓPRIO</t>
  </si>
  <si>
    <t>REBOQUE AGRÍCOLA 6000L 2 EIXOS TADEU</t>
  </si>
  <si>
    <t>REBOQUE DOLLY DOIS EIXOS PROPRIO</t>
  </si>
  <si>
    <t>REBOQUE PROPRIO TANQUE 10000</t>
  </si>
  <si>
    <t>RENAULT DUSTER OROCH 1.6 DYNAMIQUE MAN</t>
  </si>
  <si>
    <t>RENAULT DUSTER OROCH 1.6 INTENSE</t>
  </si>
  <si>
    <t>RETROESCAVADEIRA JOHN DEERE 310 L</t>
  </si>
  <si>
    <t>ROCADEIRA BERTANHA TRINCHA 4.5</t>
  </si>
  <si>
    <t>ROCADEIRA CENTRAL TATU MARCHESAN RC1700</t>
  </si>
  <si>
    <t>ROCADEIRA CENTRAL TRAPP MC-600G</t>
  </si>
  <si>
    <t>ROÇADEIRA FS 220</t>
  </si>
  <si>
    <t>ROCADEIRA FS-220 STIHL</t>
  </si>
  <si>
    <t>ROCADEIRA INRODA ARRASTO SP2 RALL</t>
  </si>
  <si>
    <t>ROCADEIRA STIHIL FS350</t>
  </si>
  <si>
    <t>ROCADEIRA STIHL FS160</t>
  </si>
  <si>
    <t>ROCADEIRA STIHL FSA 85</t>
  </si>
  <si>
    <t>ROCADEIRA STIHL RMA 510</t>
  </si>
  <si>
    <t>ROCADEIRA TATU RC2 1700</t>
  </si>
  <si>
    <t>ROLO COMPAC CAT P11 GC</t>
  </si>
  <si>
    <t>ROLO COMPAC MULLER VAP 70</t>
  </si>
  <si>
    <t>ROLO COMPAC XCMG XS120</t>
  </si>
  <si>
    <t>ROLO FACA KATRINA F5/9000</t>
  </si>
  <si>
    <t>ROLO PICADOR/NIVELADOR</t>
  </si>
  <si>
    <t>S.U.V RENAULT DUSTER INT 1.6 CVT</t>
  </si>
  <si>
    <t>SEMI REBOQ TANQUE 32.000L</t>
  </si>
  <si>
    <t>SEMI REBOQ TANQUE 45.000L AI</t>
  </si>
  <si>
    <t>SEMI REBOQ TANQUE RODOTECNICA 31.000L AI</t>
  </si>
  <si>
    <t>SEMI REBOQUE BASCULANTE RANDON</t>
  </si>
  <si>
    <t>SEMI REBOQUE GOTTI 30.000L SRTQL3E</t>
  </si>
  <si>
    <t>SEMI REBOQUE PRANCHA FACCHINI SRCT 4E</t>
  </si>
  <si>
    <t>SEMI REBOQUE PRANCHA FACCHINI SRF CT</t>
  </si>
  <si>
    <t>SEMI REBOQUE PRANCHA RODOLINEA SRCT 3E</t>
  </si>
  <si>
    <t>SEMI REBOQUE RANDON DOLLY</t>
  </si>
  <si>
    <t>SEMI REBOQUE RANDON TANQUE</t>
  </si>
  <si>
    <t>SEMI REBOQUE TANQUE 4000 LTS</t>
  </si>
  <si>
    <t>SEMI REBOQUE TANQUE GUERRA 30.000L</t>
  </si>
  <si>
    <t>SEMI REBOQUE TANQUE GUERRA 40.000L</t>
  </si>
  <si>
    <t>SEMI REBOQUE TANQUE INOX RECRUSUL</t>
  </si>
  <si>
    <t>SEMI REBOQUE TANQUE NOMA 30.000L</t>
  </si>
  <si>
    <t>SEMI REBOQUE TANQUE PROPRIO 23.000L</t>
  </si>
  <si>
    <t>SEMI REBOQUE TANQUE RANDON 22.000L</t>
  </si>
  <si>
    <t>SEMI REBOQUE TANQUE RANDON 23.000L</t>
  </si>
  <si>
    <t>SEMI REBOQUE TANQUE RANDON 24.000L</t>
  </si>
  <si>
    <t>SIMBIOSE JET 800AD</t>
  </si>
  <si>
    <t>SOPRADOR COSTAL BG86C</t>
  </si>
  <si>
    <t>SOPRADOR COSTAL BR 800 STIHL</t>
  </si>
  <si>
    <t>SOPRADOR COSTAL BR600</t>
  </si>
  <si>
    <t>SOPRADOR COSTAL STIHL BG 86C</t>
  </si>
  <si>
    <t>SOPRADOR COSTAL STIHL BG86C</t>
  </si>
  <si>
    <t>SOPRADOR COSTAL STIHL BR600</t>
  </si>
  <si>
    <t>SOPRADOR COSTAL STIHL BR800</t>
  </si>
  <si>
    <t>SPRAYER ENTRE LINHAS</t>
  </si>
  <si>
    <t>SPRAYER ENTRE LINHAS 360</t>
  </si>
  <si>
    <t>SR TANQUE FACCHINI SRTQ 19.000 L</t>
  </si>
  <si>
    <t>SR TANQUE RODOTECNIC SRT TQ2 INOX</t>
  </si>
  <si>
    <t>SUBSOLADOR CIVEMASA STAC 11H</t>
  </si>
  <si>
    <t>SUBSOLADOR CROCODILO S1010 - 1T</t>
  </si>
  <si>
    <t>SUBSOLADOR GTS BRASIL TERRUS COTTON 11H</t>
  </si>
  <si>
    <t>SUBSOLADOR GTS TERRUS COTTON 19H</t>
  </si>
  <si>
    <t>SUBSOLADOR GTS TERRUS DUO 15H</t>
  </si>
  <si>
    <t>SUBSOLADOR HORSCH EVO 11 TL R</t>
  </si>
  <si>
    <t>SUBSOLADOR HORSCH EVO 8 TL R</t>
  </si>
  <si>
    <t>SUBSOLADOR HORSCH EVO TL 9.45</t>
  </si>
  <si>
    <t>SUBSOLADOR PANTER 15 HASTES</t>
  </si>
  <si>
    <t>SUBSOLADOR STARA 19 HASTES</t>
  </si>
  <si>
    <t>SUBSOLADOR TC-01 11 ST</t>
  </si>
  <si>
    <t>SUBSOLADOR TC-01 13ST</t>
  </si>
  <si>
    <t>SULCADOR POWER 4,5 540RPM</t>
  </si>
  <si>
    <t>T-CROSS CL TSI VW</t>
  </si>
  <si>
    <t>TANQUE DAGUA</t>
  </si>
  <si>
    <t>TANQUE DAGUA 2000L</t>
  </si>
  <si>
    <t>TANQUE DAGUA PROPRIO</t>
  </si>
  <si>
    <t>TERRACEADOR ECO AGRICOLA ELEVA 42</t>
  </si>
  <si>
    <t>TRAT ESTEIRAS VERMEER TRITURAD HG6800TX</t>
  </si>
  <si>
    <t>TRAT PN EXT PES CASE STEIGER 550</t>
  </si>
  <si>
    <t>TRAT PN EXT PES CASE STEIGER 620</t>
  </si>
  <si>
    <t>TRAT PN EXT PES FENDT 1046 VARIO</t>
  </si>
  <si>
    <t>TRAT PN EXT PES FENDT VARIO 1050</t>
  </si>
  <si>
    <t>TRAT PN EXT PES JOHN DEERE 9520R</t>
  </si>
  <si>
    <t>TRAT PN EXT PES N.HOLLAND T9.600</t>
  </si>
  <si>
    <t>TRAT PN LEVE M FERGUSON MF 275</t>
  </si>
  <si>
    <t>TRAT PN LEVE M FERGUSON MF 290</t>
  </si>
  <si>
    <t>TRAT PN MED CASE PUMA 140</t>
  </si>
  <si>
    <t>TRAT PN MED JOHN DEERE 6115J</t>
  </si>
  <si>
    <t>TRAT PN MED JOHN DEERE 6145J</t>
  </si>
  <si>
    <t>TRAT PN MED JOHN DEERE 6300</t>
  </si>
  <si>
    <t>TRAT PN MED JOHN DEERE 7500</t>
  </si>
  <si>
    <t>TRAT PN MED M FERGUSON MF 292</t>
  </si>
  <si>
    <t>TRAT PN MED M FERGUSON MF 297</t>
  </si>
  <si>
    <t>TRAT PN MED M FERGUSON MF 630</t>
  </si>
  <si>
    <t>TRAT PN MED N.HOLLAND 7630</t>
  </si>
  <si>
    <t>TRAT PN MED VALTRA BH 180</t>
  </si>
  <si>
    <t>TRAT PN PES CASE MAGNUM 305</t>
  </si>
  <si>
    <t>TRAT PN PES CASE MAGNUM 315</t>
  </si>
  <si>
    <t>TRAT PN PES CASE MAGNUM 340</t>
  </si>
  <si>
    <t>TRAT PN PES JOHN DEERE 8320R</t>
  </si>
  <si>
    <t>TRAT PN PES JOHN DEERE 8400R</t>
  </si>
  <si>
    <t>TRATOR PNEU CASE MAGNUM 400</t>
  </si>
  <si>
    <t>TRATOR PNEU CASE MX 110</t>
  </si>
  <si>
    <t>TRATOR PNEU CASE MX 235 MAGNUM</t>
  </si>
  <si>
    <t>TRATOR PNEU CASE MX 305 MAGNUM</t>
  </si>
  <si>
    <t>TRATOR PNEU FENDT 1046 VARIO</t>
  </si>
  <si>
    <t>UTILITARIO CHEVROLET MONTANA LS 1.4</t>
  </si>
  <si>
    <t>UTILITARIO CITROEN JUMPY AMB</t>
  </si>
  <si>
    <t>UTILITARIO FIAT FIORINO ENDURANCE</t>
  </si>
  <si>
    <t>UTILITARIO FIAT STRADA END 1.3 CS M</t>
  </si>
  <si>
    <t>UTILITARIO FIAT STRADA WORK CE 1.4</t>
  </si>
  <si>
    <t>UTILITARIO FIAT TORO FREED TURB AT6</t>
  </si>
  <si>
    <t>UTILITARIO RENAULT OROCH 1.6</t>
  </si>
  <si>
    <t>UTILITARIO RENAULT OROCH PRO 1.6</t>
  </si>
  <si>
    <t>UTILITARIO VW SAVEIRO ROBUST CS</t>
  </si>
  <si>
    <t>VAN MICROBUS FORD TRANSIT 410 B</t>
  </si>
  <si>
    <t>VAN MICROBUS MERC BENZ SPRINTER 415</t>
  </si>
  <si>
    <t>VAN MICROBUS MERC BENZ SPRINTER 416</t>
  </si>
  <si>
    <t>TRAT PN LEVE CASE FARMALL 80</t>
  </si>
  <si>
    <t>SR TANQUE RANDON SR TQ TL</t>
  </si>
  <si>
    <t>UTILITARIO FIAT STRADA FREE 1.3 CD M</t>
  </si>
  <si>
    <t>COLHE FORRAGEM CASALE CRC-180 AP</t>
  </si>
  <si>
    <t>ONIB RODOVIÁRIO MARCOPOLO NEOBUS MEGA</t>
  </si>
  <si>
    <t>PRENSA HIDRAULICA 150 TON</t>
  </si>
  <si>
    <t>AVIAO APLIC AGR AIR TRACT AT-802A</t>
  </si>
  <si>
    <t>25530043 </t>
  </si>
  <si>
    <t>PLATAF COLH SOJA JOHN DEERE HYDRAFLEX 74</t>
  </si>
  <si>
    <t>ADUB AUTOPROP JACTO UNIPORT 8030NPK</t>
  </si>
  <si>
    <t>ADUB AUTOPROP JOHN DEERE 400R DN</t>
  </si>
  <si>
    <t>ATOMIZADOR TEC SPRAY ATOMAX</t>
  </si>
  <si>
    <t xml:space="preserve"> CAM ROLL ON/OFF VOLVO VM 330</t>
  </si>
  <si>
    <t>CAMINHONETE FORD RANGER XL 2.0 4X4 M</t>
  </si>
  <si>
    <t>Pátio de Vendas</t>
  </si>
  <si>
    <t>DATA DE RECEBIMENTO</t>
  </si>
  <si>
    <t>DATA LANÇAMENTO</t>
  </si>
  <si>
    <t xml:space="preserve">PREFIXO </t>
  </si>
  <si>
    <t>FORNECEDOR</t>
  </si>
  <si>
    <t>Nº ORÇ. FINAL</t>
  </si>
  <si>
    <t>VALOR SERVIÇO</t>
  </si>
  <si>
    <t>VALOR PEÇAS</t>
  </si>
  <si>
    <t>VALOR TOTAL</t>
  </si>
  <si>
    <t>SOLICITANTE</t>
  </si>
  <si>
    <t>Nº ORDEM SERVIÇO</t>
  </si>
  <si>
    <t>Nº REQUISIÇÃO</t>
  </si>
  <si>
    <t>Nº PEDIDO DE COMPRA</t>
  </si>
  <si>
    <t>DATA DO PEDIDO</t>
  </si>
  <si>
    <t>Nº NFS/DANFE</t>
  </si>
  <si>
    <t>DATA LANÇAMENTO(NFS)</t>
  </si>
  <si>
    <t>STATUS</t>
  </si>
  <si>
    <t>OBS ADICIONAIS</t>
  </si>
  <si>
    <t>KAMYLLA SANTOS</t>
  </si>
  <si>
    <t>41779605/41779606</t>
  </si>
  <si>
    <t>09/01/2026</t>
  </si>
  <si>
    <t>315328-1 | 161-26</t>
  </si>
  <si>
    <t>27/01/2026 | 02/03/2026</t>
  </si>
  <si>
    <t>EDUARDO PALMA</t>
  </si>
  <si>
    <t>41779305</t>
  </si>
  <si>
    <t>260000014-26 | 48977-1</t>
  </si>
  <si>
    <t>12/01/2026 | 12/01/2026</t>
  </si>
  <si>
    <t>41779610</t>
  </si>
  <si>
    <t>260000016-26 | 48980-1</t>
  </si>
  <si>
    <t>41798371</t>
  </si>
  <si>
    <t>04/02/2026</t>
  </si>
  <si>
    <t>260000076-26 | 49311-1</t>
  </si>
  <si>
    <t>04/02/2026 | 04/02/2026</t>
  </si>
  <si>
    <t>*</t>
  </si>
  <si>
    <t>17320834 17320835 17320836 17320837 17320832</t>
  </si>
  <si>
    <t>QUEZIA LEAL</t>
  </si>
  <si>
    <t>9727702 9727703 9727704 9727705 9727706</t>
  </si>
  <si>
    <t>41779387</t>
  </si>
  <si>
    <t>2-26</t>
  </si>
  <si>
    <t>12/01/2026</t>
  </si>
  <si>
    <t>85048095 85048096 85048097 85048102</t>
  </si>
  <si>
    <t>9727719 9727763 9727762</t>
  </si>
  <si>
    <t>41779302</t>
  </si>
  <si>
    <t>1-26</t>
  </si>
  <si>
    <t>81521294 81521295 81521331</t>
  </si>
  <si>
    <t>9727765 9727767 9727768</t>
  </si>
  <si>
    <t>81521315 81521317</t>
  </si>
  <si>
    <t>9727710 9727711</t>
  </si>
  <si>
    <t>81521297 81521334</t>
  </si>
  <si>
    <t>9727716 9727717</t>
  </si>
  <si>
    <t>4-25</t>
  </si>
  <si>
    <t>WELLINGTON OENNING</t>
  </si>
  <si>
    <t>41779308</t>
  </si>
  <si>
    <t>181-26</t>
  </si>
  <si>
    <t>6-25</t>
  </si>
  <si>
    <t>41783447</t>
  </si>
  <si>
    <t>15/01/2026</t>
  </si>
  <si>
    <t>260000008-26</t>
  </si>
  <si>
    <t>11/02/2026</t>
  </si>
  <si>
    <t>41779297/41779298</t>
  </si>
  <si>
    <t>260000031-26 | 29672-1</t>
  </si>
  <si>
    <t>JOSE EDUARDO</t>
  </si>
  <si>
    <t>41800971/41800970</t>
  </si>
  <si>
    <t>06/02/2026</t>
  </si>
  <si>
    <t>30191-1</t>
  </si>
  <si>
    <t>13/02/2026</t>
  </si>
  <si>
    <t>41800970</t>
  </si>
  <si>
    <t>41779303</t>
  </si>
  <si>
    <t>13/01/2026 | 13/01/2026</t>
  </si>
  <si>
    <t>41779530</t>
  </si>
  <si>
    <t>13/01/2026</t>
  </si>
  <si>
    <t>41779517</t>
  </si>
  <si>
    <t>-</t>
  </si>
  <si>
    <t>108-25</t>
  </si>
  <si>
    <t>41779391</t>
  </si>
  <si>
    <t>51521085 51521087 51521094 51521098</t>
  </si>
  <si>
    <t>107-25</t>
  </si>
  <si>
    <t>9728708 9728709 9728710 9728711</t>
  </si>
  <si>
    <t>109-25</t>
  </si>
  <si>
    <t>41779291</t>
  </si>
  <si>
    <t>41779307</t>
  </si>
  <si>
    <t>41779296</t>
  </si>
  <si>
    <t>41779295</t>
  </si>
  <si>
    <t>41779292</t>
  </si>
  <si>
    <t>41779293</t>
  </si>
  <si>
    <t>81521316 17320832 17320836 13100005</t>
  </si>
  <si>
    <t>9728508 9728523 9728527 9728528</t>
  </si>
  <si>
    <t>41779290</t>
  </si>
  <si>
    <t>41779294</t>
  </si>
  <si>
    <t>41779289</t>
  </si>
  <si>
    <t>GISELLE SANTOS</t>
  </si>
  <si>
    <t>41779603</t>
  </si>
  <si>
    <t>09/01/2026 | 10/01/2026</t>
  </si>
  <si>
    <t>85048067 85048068 85048065</t>
  </si>
  <si>
    <t>9728702 9728703 9728705</t>
  </si>
  <si>
    <t>41779300</t>
  </si>
  <si>
    <t>12/01/2026 | 16/01/2026 | 16/01/2026</t>
  </si>
  <si>
    <t>41779306</t>
  </si>
  <si>
    <t>10/01/2026</t>
  </si>
  <si>
    <t>41779299</t>
  </si>
  <si>
    <t>14/01/2026</t>
  </si>
  <si>
    <t>41779389</t>
  </si>
  <si>
    <t>19/01/2026</t>
  </si>
  <si>
    <t>51529033 51521103 51521104 51521105 51519037 51521107</t>
  </si>
  <si>
    <t>51521090 81521358</t>
  </si>
  <si>
    <t>9728572 9728574</t>
  </si>
  <si>
    <t>51521084 81521352</t>
  </si>
  <si>
    <t>9728578 9728607</t>
  </si>
  <si>
    <t>51521093 81521361</t>
  </si>
  <si>
    <t>9728617 9728619</t>
  </si>
  <si>
    <t>51519033 51521203 51521204 51521105 51521075 51521106 51529037 51521107</t>
  </si>
  <si>
    <t>5018702</t>
  </si>
  <si>
    <t>31521014 31521029 31521046</t>
  </si>
  <si>
    <t>825951</t>
  </si>
  <si>
    <t>41770883</t>
  </si>
  <si>
    <t>17/01/2026</t>
  </si>
  <si>
    <t>41784361</t>
  </si>
  <si>
    <t>16/01/2026</t>
  </si>
  <si>
    <t>17/01/2026 | 17/01/2026</t>
  </si>
  <si>
    <t>17-25</t>
  </si>
  <si>
    <t>41783546</t>
  </si>
  <si>
    <t>15-25</t>
  </si>
  <si>
    <t>7-25</t>
  </si>
  <si>
    <t>9-25</t>
  </si>
  <si>
    <t>16-25</t>
  </si>
  <si>
    <t>5-25</t>
  </si>
  <si>
    <t>18-25</t>
  </si>
  <si>
    <t>8-25</t>
  </si>
  <si>
    <t>11-25</t>
  </si>
  <si>
    <t>19-25</t>
  </si>
  <si>
    <t>14-25</t>
  </si>
  <si>
    <t>2-25</t>
  </si>
  <si>
    <t>12-25</t>
  </si>
  <si>
    <t>13-25</t>
  </si>
  <si>
    <t>3-25</t>
  </si>
  <si>
    <t>10-25</t>
  </si>
  <si>
    <t>41784182</t>
  </si>
  <si>
    <t>CHARLES SANTOS</t>
  </si>
  <si>
    <t>41782496</t>
  </si>
  <si>
    <t>41782497</t>
  </si>
  <si>
    <t>31521038 31521040 31521041</t>
  </si>
  <si>
    <t>9734318 9734361</t>
  </si>
  <si>
    <t>41782490</t>
  </si>
  <si>
    <t>41783561</t>
  </si>
  <si>
    <t>81521315 81521316 81521317</t>
  </si>
  <si>
    <t>9734775 9734779 9734781</t>
  </si>
  <si>
    <t>41783459</t>
  </si>
  <si>
    <t>11521001 1173011</t>
  </si>
  <si>
    <t>41783861/41783862</t>
  </si>
  <si>
    <t>17/01/2026 | 27/01/2026</t>
  </si>
  <si>
    <t>41784360</t>
  </si>
  <si>
    <t>41783131</t>
  </si>
  <si>
    <t>RAW8F53</t>
  </si>
  <si>
    <t>41789015/41789021</t>
  </si>
  <si>
    <t>21/01/2026</t>
  </si>
  <si>
    <t>23/01/2026 | 23/01/2026 | 23/01/2026</t>
  </si>
  <si>
    <t>41784183/41784184</t>
  </si>
  <si>
    <t>03/03/2026 | 04/03/2026</t>
  </si>
  <si>
    <t>41787968/41787969</t>
  </si>
  <si>
    <t>20/01/2026</t>
  </si>
  <si>
    <t>22/01/2026 | 22/01/2026</t>
  </si>
  <si>
    <t>41786379/41786384</t>
  </si>
  <si>
    <t>21/01/2026 | 21/01/2026</t>
  </si>
  <si>
    <t>51519046 51521085 51521087 51521094 51521096 51521098 51521109</t>
  </si>
  <si>
    <t>41789938/41789939</t>
  </si>
  <si>
    <t>22/01/2026</t>
  </si>
  <si>
    <t>24/01/2026 | 24/01/2026</t>
  </si>
  <si>
    <t>51529046 51521085 51521087 51521094 51521096 51521098 51521109</t>
  </si>
  <si>
    <t>9735205 973175 9735209 9735217 973522 9735225</t>
  </si>
  <si>
    <t>41789588/41789589</t>
  </si>
  <si>
    <t>51529028 51529031 51521099 51521100 51521101 51521102</t>
  </si>
  <si>
    <t>9735266 97352268 9735271 9735274</t>
  </si>
  <si>
    <t>41789592/41789593</t>
  </si>
  <si>
    <t>41788549/41788552</t>
  </si>
  <si>
    <t>9735138 9735160 973516 9735163</t>
  </si>
  <si>
    <t>41783536</t>
  </si>
  <si>
    <t>41784363/41784365</t>
  </si>
  <si>
    <t>9735165 9735168 9735178 9735200 9735201 9735203</t>
  </si>
  <si>
    <t>41789590/41789591</t>
  </si>
  <si>
    <t>41791399/41791400</t>
  </si>
  <si>
    <t>24/01/2026</t>
  </si>
  <si>
    <t>20/04/2026 | 24/04/2026 | 24/04/2026</t>
  </si>
  <si>
    <t>41784362/41784364</t>
  </si>
  <si>
    <t>41785198/41785199</t>
  </si>
  <si>
    <t>9735036 9735080 9735082 9735084</t>
  </si>
  <si>
    <t>41784359</t>
  </si>
  <si>
    <t>41783859/41783860</t>
  </si>
  <si>
    <t>16/01/2026 | 16/01/2026</t>
  </si>
  <si>
    <t>41783455</t>
  </si>
  <si>
    <t>WALLACY DUARTE</t>
  </si>
  <si>
    <t>RRY1B98</t>
  </si>
  <si>
    <t>41783298</t>
  </si>
  <si>
    <t>28/01/2026 | 28/01/2026</t>
  </si>
  <si>
    <t>LSF5J85</t>
  </si>
  <si>
    <t>41783442</t>
  </si>
  <si>
    <t>AILTON SILVA</t>
  </si>
  <si>
    <t>6-26</t>
  </si>
  <si>
    <t>41787757</t>
  </si>
  <si>
    <t>500580088 500580081 500580090 500580100 500580263 500580220</t>
  </si>
  <si>
    <t>5018834 5018835 5018836 9736412 5018817 5018832 5018833</t>
  </si>
  <si>
    <t>41783544</t>
  </si>
  <si>
    <t>41787157/41787158</t>
  </si>
  <si>
    <t>21/01/2026 | 27/01/2026</t>
  </si>
  <si>
    <t>CARLOS GUSMÃO</t>
  </si>
  <si>
    <t>41795558/41795560</t>
  </si>
  <si>
    <t>30/01/2026</t>
  </si>
  <si>
    <t>02/02/2026 | 02/02/2026</t>
  </si>
  <si>
    <t>41795556/41795557</t>
  </si>
  <si>
    <t>02/02/2026 | 13/02/2026</t>
  </si>
  <si>
    <t>41785273/41785274</t>
  </si>
  <si>
    <t>21/01/2026 | 28/01/2026; 05/02/2026</t>
  </si>
  <si>
    <t>41784726</t>
  </si>
  <si>
    <t>41791367</t>
  </si>
  <si>
    <t>02/02/2026</t>
  </si>
  <si>
    <t>41784688</t>
  </si>
  <si>
    <t>41784690</t>
  </si>
  <si>
    <t>41784691</t>
  </si>
  <si>
    <t>17/01/2026 | 24/01/2026</t>
  </si>
  <si>
    <t>41784729/41784730</t>
  </si>
  <si>
    <t>17/01/2026 | 26/01/2026</t>
  </si>
  <si>
    <t>41784452</t>
  </si>
  <si>
    <t>41796160/41796158</t>
  </si>
  <si>
    <t>31/01/2026</t>
  </si>
  <si>
    <t>02/02/2026 | 11/02/2026</t>
  </si>
  <si>
    <t>41788802</t>
  </si>
  <si>
    <t>41791376/</t>
  </si>
  <si>
    <t>03/02/2026</t>
  </si>
  <si>
    <t>SPT5B83</t>
  </si>
  <si>
    <t>LANÇADO POR OUTA FAZ.</t>
  </si>
  <si>
    <t>SPV4F04</t>
  </si>
  <si>
    <t>41790696</t>
  </si>
  <si>
    <t>23/01/2026</t>
  </si>
  <si>
    <t>23/02/2026 | 23/02/2026 | 23/02/2026 | 23/02/2026 | 23/02/2026 | 23/02/2026</t>
  </si>
  <si>
    <t>SPS6G07</t>
  </si>
  <si>
    <t>8-26</t>
  </si>
  <si>
    <t>41791376</t>
  </si>
  <si>
    <t>10-26</t>
  </si>
  <si>
    <t>41791026</t>
  </si>
  <si>
    <t>9-26</t>
  </si>
  <si>
    <t>3-26</t>
  </si>
  <si>
    <t>7-26</t>
  </si>
  <si>
    <t>4-26</t>
  </si>
  <si>
    <t>5-26</t>
  </si>
  <si>
    <t>186-26</t>
  </si>
  <si>
    <t>13-26</t>
  </si>
  <si>
    <t>185-26</t>
  </si>
  <si>
    <t>12-26</t>
  </si>
  <si>
    <t>14-26</t>
  </si>
  <si>
    <t>11-26</t>
  </si>
  <si>
    <t>15-26</t>
  </si>
  <si>
    <t>41785276</t>
  </si>
  <si>
    <t>41785277</t>
  </si>
  <si>
    <t>48-26</t>
  </si>
  <si>
    <t>41793422</t>
  </si>
  <si>
    <t>27/01/2026</t>
  </si>
  <si>
    <t>260000078-26 | 113208-1</t>
  </si>
  <si>
    <t>04/02/2026 | 06/02/2026</t>
  </si>
  <si>
    <t>31521019 31521011</t>
  </si>
  <si>
    <t>9743852 9743850</t>
  </si>
  <si>
    <t>41796130/41796133</t>
  </si>
  <si>
    <t>92-26 | 221630-1</t>
  </si>
  <si>
    <t>05/02/2026 | 20/02/2026</t>
  </si>
  <si>
    <t>31521043 13150003 13150008</t>
  </si>
  <si>
    <t>9744072 9744073 9744075</t>
  </si>
  <si>
    <t>41792607/41792608</t>
  </si>
  <si>
    <t>220895-1 | 221190-1 | 91-26</t>
  </si>
  <si>
    <t>02/02/2026 | 05/02/2026 | 05/02/2026</t>
  </si>
  <si>
    <t>41789016/41789020</t>
  </si>
  <si>
    <t>112950-1 | 112951-1 | 260000077-26</t>
  </si>
  <si>
    <t>27/01/2026 | 27/01/2026 | 04/02/2026</t>
  </si>
  <si>
    <t>9743850 9743850</t>
  </si>
  <si>
    <t>41791366</t>
  </si>
  <si>
    <t>260000005-26</t>
  </si>
  <si>
    <t>41796119</t>
  </si>
  <si>
    <t>260000007-26</t>
  </si>
  <si>
    <t>41792606</t>
  </si>
  <si>
    <t>260000008-26 | 21-1</t>
  </si>
  <si>
    <t>04/02/2026 | 05/02/2026</t>
  </si>
  <si>
    <t>41792216</t>
  </si>
  <si>
    <t>26/01/2026</t>
  </si>
  <si>
    <t>23-1 | 260000010-26</t>
  </si>
  <si>
    <t>05/02/2026 | 05/02/2026</t>
  </si>
  <si>
    <t>81521317 81521316</t>
  </si>
  <si>
    <t>9743914 9743916</t>
  </si>
  <si>
    <t>41791032</t>
  </si>
  <si>
    <t>260000006-26</t>
  </si>
  <si>
    <t>81519219 81521315</t>
  </si>
  <si>
    <t>9743940 9743941</t>
  </si>
  <si>
    <t>41792488</t>
  </si>
  <si>
    <t>24-1 | 260000011-26</t>
  </si>
  <si>
    <t>41792489</t>
  </si>
  <si>
    <t>22-1 | 260000009-26</t>
  </si>
  <si>
    <t>41790703</t>
  </si>
  <si>
    <t>239-1 | 260000032-26</t>
  </si>
  <si>
    <t>41792994/41792995</t>
  </si>
  <si>
    <t>260000104-26 | 30043-1</t>
  </si>
  <si>
    <t>41791948</t>
  </si>
  <si>
    <t>236-26</t>
  </si>
  <si>
    <t>41785194</t>
  </si>
  <si>
    <t>41790702</t>
  </si>
  <si>
    <t>207-1 | 180-26 | 186-26</t>
  </si>
  <si>
    <t>28/01/2026 | 04/02/2026 | 06/02/2026</t>
  </si>
  <si>
    <t>41790489</t>
  </si>
  <si>
    <t>208-1 | 181-26</t>
  </si>
  <si>
    <t>28/01/2026 | 03/02/2026</t>
  </si>
  <si>
    <t>41788803</t>
  </si>
  <si>
    <t>1219-1 | 260000042-26</t>
  </si>
  <si>
    <t>51521091 51521092 51521093 51521094 51521095 51521082 51521099 51521083 51519031 51521034 51521051 51521108 17520532</t>
  </si>
  <si>
    <t>110-25</t>
  </si>
  <si>
    <t>41787808</t>
  </si>
  <si>
    <t>260000004-26</t>
  </si>
  <si>
    <t>51519028 51521082 51521108 51519031</t>
  </si>
  <si>
    <t>41791365</t>
  </si>
  <si>
    <t>270-26 | 208-1</t>
  </si>
  <si>
    <t>27/01/2026 | 03/02/2026</t>
  </si>
  <si>
    <t>41796870</t>
  </si>
  <si>
    <t>209-1 | 271-26</t>
  </si>
  <si>
    <t>04/02/2026 | 07/02/2026</t>
  </si>
  <si>
    <t>41793417</t>
  </si>
  <si>
    <t>33-26</t>
  </si>
  <si>
    <t>51521082 51521109</t>
  </si>
  <si>
    <t>9745839 9745880</t>
  </si>
  <si>
    <t>41790695</t>
  </si>
  <si>
    <t>35-26 | 489-1</t>
  </si>
  <si>
    <t>41789019</t>
  </si>
  <si>
    <t>25-26 | 478-1</t>
  </si>
  <si>
    <t>41793369</t>
  </si>
  <si>
    <t>36-26 | 490-1</t>
  </si>
  <si>
    <t>41789018</t>
  </si>
  <si>
    <t>26-26 | 479-1</t>
  </si>
  <si>
    <t>41793367</t>
  </si>
  <si>
    <t>34-26 | 486-1</t>
  </si>
  <si>
    <t>41789638</t>
  </si>
  <si>
    <t>1404-1 | 260000012-26</t>
  </si>
  <si>
    <t>41792609</t>
  </si>
  <si>
    <t>1413-1 | 260000021-26</t>
  </si>
  <si>
    <t>03/02/2026 | 03/02/2026</t>
  </si>
  <si>
    <t>41789017</t>
  </si>
  <si>
    <t>1403-1 | 260000010-26</t>
  </si>
  <si>
    <t>41789014</t>
  </si>
  <si>
    <t>1402-1 | 260000009-26</t>
  </si>
  <si>
    <t>41789022</t>
  </si>
  <si>
    <t>137-1 | 260000078-26</t>
  </si>
  <si>
    <t>22/01/2026 | 23/01/2026</t>
  </si>
  <si>
    <t>41790415</t>
  </si>
  <si>
    <t>260000081-26</t>
  </si>
  <si>
    <t>41787809</t>
  </si>
  <si>
    <t>260000002-26</t>
  </si>
  <si>
    <t>41789636/41789637</t>
  </si>
  <si>
    <t>260000104-26 | 53229-1</t>
  </si>
  <si>
    <t>28/01/2026 | 12/02/2026</t>
  </si>
  <si>
    <t>41791028</t>
  </si>
  <si>
    <t>9742942 9746973</t>
  </si>
  <si>
    <t>51519028 51521088 51521108</t>
  </si>
  <si>
    <t>9742881 9742886 9742889</t>
  </si>
  <si>
    <t>41799961</t>
  </si>
  <si>
    <t>05/02/2026</t>
  </si>
  <si>
    <t>22405-26 | 70807-1</t>
  </si>
  <si>
    <t>01/04/2026 | 01/04/2026</t>
  </si>
  <si>
    <t>41792991</t>
  </si>
  <si>
    <t>22387-26 | 70765-1</t>
  </si>
  <si>
    <t>npk3j03</t>
  </si>
  <si>
    <t>41792992</t>
  </si>
  <si>
    <t>22386-26 | 70764-1</t>
  </si>
  <si>
    <t>41794966</t>
  </si>
  <si>
    <t>29/01/2026</t>
  </si>
  <si>
    <t>22385-26 | 70763-1</t>
  </si>
  <si>
    <t>41789174</t>
  </si>
  <si>
    <t>41789175</t>
  </si>
  <si>
    <t>51529033 51521204 51521074 51529037 51521203 51521105 51521206 51521107</t>
  </si>
  <si>
    <t>41787744</t>
  </si>
  <si>
    <t>17/02/2026</t>
  </si>
  <si>
    <t>51529033 51521203 51521204 51521105 51521075 51521206 51529037 51521107</t>
  </si>
  <si>
    <t>41784956</t>
  </si>
  <si>
    <t>41787807</t>
  </si>
  <si>
    <t>16650-26 | 5752-1</t>
  </si>
  <si>
    <t>22/01/2026 | 04/02/2026</t>
  </si>
  <si>
    <t>41787062</t>
  </si>
  <si>
    <t>434-26</t>
  </si>
  <si>
    <t>61519061 81509008 61521032 81521215</t>
  </si>
  <si>
    <t>5018994 5018996 5018997 5018998
C.C: 078 / O.S: 5018996
C.C: 077 / O.S: 5018997
C.C: 078 / O.S: 5018998</t>
  </si>
  <si>
    <t xml:space="preserve">61519062 8172029 </t>
  </si>
  <si>
    <t>743660 5018999
5018999 9743660</t>
  </si>
  <si>
    <t>41789024</t>
  </si>
  <si>
    <t>500580220 500580073</t>
  </si>
  <si>
    <t>5018939 5018980</t>
  </si>
  <si>
    <t>500580347 500580090</t>
  </si>
  <si>
    <t>5018981 5018982</t>
  </si>
  <si>
    <t>500580071 500580220 500580072</t>
  </si>
  <si>
    <t>5018983 5018984 5018985</t>
  </si>
  <si>
    <t>500580218 500580325</t>
  </si>
  <si>
    <t>5019172 5019173</t>
  </si>
  <si>
    <t>41795561</t>
  </si>
  <si>
    <t>44-26</t>
  </si>
  <si>
    <t>41794540</t>
  </si>
  <si>
    <t>41795250</t>
  </si>
  <si>
    <t>41803083</t>
  </si>
  <si>
    <t>10/02/2026</t>
  </si>
  <si>
    <t>260000112-26 | 49400-1</t>
  </si>
  <si>
    <t>11/02/2026 | 12/02/2026</t>
  </si>
  <si>
    <t>41802428</t>
  </si>
  <si>
    <t>09/02/2026</t>
  </si>
  <si>
    <t>260000105-26 | 49382-1</t>
  </si>
  <si>
    <t>10/02/2026 | 10/02/2026</t>
  </si>
  <si>
    <t>41799354</t>
  </si>
  <si>
    <t>49327-1 | 260000088-26</t>
  </si>
  <si>
    <t>05/02/2026 | 06/02/2026</t>
  </si>
  <si>
    <t>41794484/41794485</t>
  </si>
  <si>
    <t>137-26 | 31370-1</t>
  </si>
  <si>
    <t>41795255</t>
  </si>
  <si>
    <t>8508097 85048096 85048095</t>
  </si>
  <si>
    <t>9751052 9751016 9751017</t>
  </si>
  <si>
    <t>41795945</t>
  </si>
  <si>
    <t>139646-1 | 260000013-26</t>
  </si>
  <si>
    <t>41796029</t>
  </si>
  <si>
    <t>139644-1 | 260000012-26</t>
  </si>
  <si>
    <t>41794849</t>
  </si>
  <si>
    <t>260000735-26 | 8291-1</t>
  </si>
  <si>
    <t>23/04/2026 | 23/04/2026</t>
  </si>
  <si>
    <t>1732089 6173075</t>
  </si>
  <si>
    <t>JEFERSON BAIA</t>
  </si>
  <si>
    <t>9746127 9749291</t>
  </si>
  <si>
    <t>41793368</t>
  </si>
  <si>
    <t>454-1 | 80-26</t>
  </si>
  <si>
    <t>18/02/2026 | 18/02/2026</t>
  </si>
  <si>
    <t>41799963</t>
  </si>
  <si>
    <t>30126-1</t>
  </si>
  <si>
    <t>04/03/2026</t>
  </si>
  <si>
    <t>41799189</t>
  </si>
  <si>
    <t>30192-1</t>
  </si>
  <si>
    <t>12/02/2026</t>
  </si>
  <si>
    <t>41799191</t>
  </si>
  <si>
    <t>260000121-26</t>
  </si>
  <si>
    <t>23/02/2026</t>
  </si>
  <si>
    <t>41794727/41794728</t>
  </si>
  <si>
    <t>260000125-26 | 30127-1</t>
  </si>
  <si>
    <t>23/02/2026 | 04/03/2026</t>
  </si>
  <si>
    <t>41799344</t>
  </si>
  <si>
    <t>30128-1</t>
  </si>
  <si>
    <t>02/03/2026</t>
  </si>
  <si>
    <t>41794482/41794483</t>
  </si>
  <si>
    <t>260000103-26 | 30044-1</t>
  </si>
  <si>
    <t>41799342</t>
  </si>
  <si>
    <t>30124-1</t>
  </si>
  <si>
    <t>41794041/41794043</t>
  </si>
  <si>
    <t>28/01/2026</t>
  </si>
  <si>
    <t>260000101-26 | 30042-1</t>
  </si>
  <si>
    <t>41799346</t>
  </si>
  <si>
    <t>41794040/41794042</t>
  </si>
  <si>
    <t>260000102-26 | 30045-1</t>
  </si>
  <si>
    <t>41799349</t>
  </si>
  <si>
    <t>30221-1</t>
  </si>
  <si>
    <t>41799965</t>
  </si>
  <si>
    <t>41799347</t>
  </si>
  <si>
    <t>30125-1</t>
  </si>
  <si>
    <t>41799343</t>
  </si>
  <si>
    <t>41799348</t>
  </si>
  <si>
    <t>260000122-26</t>
  </si>
  <si>
    <t>41799350</t>
  </si>
  <si>
    <t>260000126-26</t>
  </si>
  <si>
    <t>41799351</t>
  </si>
  <si>
    <t>260000156-26</t>
  </si>
  <si>
    <t>41799345</t>
  </si>
  <si>
    <t>260000301-26</t>
  </si>
  <si>
    <t>22/04/2026</t>
  </si>
  <si>
    <t>41794517</t>
  </si>
  <si>
    <t>260000010-26 | 41-1</t>
  </si>
  <si>
    <t>41794514</t>
  </si>
  <si>
    <t>260000008-26 | 40-1</t>
  </si>
  <si>
    <t>41794852</t>
  </si>
  <si>
    <t>260000013-26</t>
  </si>
  <si>
    <t>41794510</t>
  </si>
  <si>
    <t>260000009-26</t>
  </si>
  <si>
    <t>41794851</t>
  </si>
  <si>
    <t>260000012-26</t>
  </si>
  <si>
    <t>41794850</t>
  </si>
  <si>
    <t>260000011-26</t>
  </si>
  <si>
    <t>41799960</t>
  </si>
  <si>
    <t>14259-26 | 9203-1</t>
  </si>
  <si>
    <t>41796122</t>
  </si>
  <si>
    <t>14236-26</t>
  </si>
  <si>
    <t>41794535</t>
  </si>
  <si>
    <t>41796117</t>
  </si>
  <si>
    <t>122942-26 | 377944-5</t>
  </si>
  <si>
    <t>24/02/2026 | 24/02/2026</t>
  </si>
  <si>
    <t>41802674/41802676</t>
  </si>
  <si>
    <t>106183-1 | 260000120-26</t>
  </si>
  <si>
    <t>12/02/2026 | 13/02/2026</t>
  </si>
  <si>
    <t>41801713/41801714</t>
  </si>
  <si>
    <t>07/02/2026</t>
  </si>
  <si>
    <t>106165-1 | 260000118-26</t>
  </si>
  <si>
    <t>11/02/2026 | 11/02/2026</t>
  </si>
  <si>
    <t>41794726</t>
  </si>
  <si>
    <t>22-26</t>
  </si>
  <si>
    <t>16/02/2026</t>
  </si>
  <si>
    <t>41793730</t>
  </si>
  <si>
    <t>23-26</t>
  </si>
  <si>
    <t>41793717</t>
  </si>
  <si>
    <t>41794481</t>
  </si>
  <si>
    <t>260000160-26</t>
  </si>
  <si>
    <t>00F700491902</t>
  </si>
  <si>
    <t>41796118</t>
  </si>
  <si>
    <t>12056-1 | 55-26</t>
  </si>
  <si>
    <t>02/02/2026 | 19/02/2026</t>
  </si>
  <si>
    <t>51519033 51521103 51521104 51521105 51521106 51521107 51519037 51521075</t>
  </si>
  <si>
    <t>41794532</t>
  </si>
  <si>
    <t>51519033 51521103 51521104 51521105 51522075 51521106 51519037 51521107</t>
  </si>
  <si>
    <t>41801648</t>
  </si>
  <si>
    <t>260000096-26 | 49365-1</t>
  </si>
  <si>
    <t>09/02/2026 | 09/02/2026</t>
  </si>
  <si>
    <t>41799187</t>
  </si>
  <si>
    <t>260000084-26 | 49322-1</t>
  </si>
  <si>
    <t>06/02/2026 | 06/02/2026</t>
  </si>
  <si>
    <t>41799001</t>
  </si>
  <si>
    <t>260000078-26 | 49316-1</t>
  </si>
  <si>
    <t>41798994</t>
  </si>
  <si>
    <t>49319-1 | 260000081-26</t>
  </si>
  <si>
    <t>41798995</t>
  </si>
  <si>
    <t>49318-1 | 260000080-26</t>
  </si>
  <si>
    <t>41798985</t>
  </si>
  <si>
    <t>49320-1 | 260000082-26</t>
  </si>
  <si>
    <t>41798996</t>
  </si>
  <si>
    <t>49317-1 | 260000079-26</t>
  </si>
  <si>
    <t>41798993</t>
  </si>
  <si>
    <t>49321-1 | 260000083-26</t>
  </si>
  <si>
    <t>41799355</t>
  </si>
  <si>
    <t>260000089-26 | 49328-1</t>
  </si>
  <si>
    <t>06/02/2026 | 09/02/2026</t>
  </si>
  <si>
    <t>41800625/41800624</t>
  </si>
  <si>
    <t>222061-1</t>
  </si>
  <si>
    <t>41800620</t>
  </si>
  <si>
    <t>221888-1</t>
  </si>
  <si>
    <t>06/03/2026</t>
  </si>
  <si>
    <t>41800619</t>
  </si>
  <si>
    <t>176-26</t>
  </si>
  <si>
    <t>18/02/2026</t>
  </si>
  <si>
    <t>41799352</t>
  </si>
  <si>
    <t>260000123-26</t>
  </si>
  <si>
    <t>41798982</t>
  </si>
  <si>
    <t>260000120-26</t>
  </si>
  <si>
    <t>41798983</t>
  </si>
  <si>
    <t>30123-1</t>
  </si>
  <si>
    <t>41799353</t>
  </si>
  <si>
    <t>41796028</t>
  </si>
  <si>
    <t>260000057-26 | 1238-1</t>
  </si>
  <si>
    <t>02/02/2026 | 03/02/2026</t>
  </si>
  <si>
    <t>41795254</t>
  </si>
  <si>
    <t>41796027</t>
  </si>
  <si>
    <t>81521085 81521082 51521108 51521093</t>
  </si>
  <si>
    <t>41794600</t>
  </si>
  <si>
    <t>41800621/41800622/41800623</t>
  </si>
  <si>
    <t>170430-1 | 260000159-26</t>
  </si>
  <si>
    <t>16/02/2026 | 16/02/2026</t>
  </si>
  <si>
    <t>65048073 61521071</t>
  </si>
  <si>
    <t>9751128 9751129 9758143</t>
  </si>
  <si>
    <t>41799964</t>
  </si>
  <si>
    <t>47-26 | 500-1</t>
  </si>
  <si>
    <t xml:space="preserve">9750766 9750769 </t>
  </si>
  <si>
    <t>41799962</t>
  </si>
  <si>
    <t>46-26 | 499-1</t>
  </si>
  <si>
    <t>11521030 81521316</t>
  </si>
  <si>
    <t>9750775 9750778</t>
  </si>
  <si>
    <t>41799967</t>
  </si>
  <si>
    <t>501-1 | 52-26</t>
  </si>
  <si>
    <t>10/02/2026 | 11/02/2026</t>
  </si>
  <si>
    <t>13100005 81521315</t>
  </si>
  <si>
    <t>9750821 9750824</t>
  </si>
  <si>
    <t>41799190</t>
  </si>
  <si>
    <t>45-26 | 498-1</t>
  </si>
  <si>
    <t>41800731/41800732</t>
  </si>
  <si>
    <t>106147-1 | 260000114-26</t>
  </si>
  <si>
    <t>51521085 51521087 51521094 51521096 51521098 51521109</t>
  </si>
  <si>
    <t>41800733/41800734</t>
  </si>
  <si>
    <t>106161-1 | 260000117-26</t>
  </si>
  <si>
    <t>41802429/41802430</t>
  </si>
  <si>
    <t>106182-1 | 260000119-26</t>
  </si>
  <si>
    <t>41800618</t>
  </si>
  <si>
    <t>260000116-26</t>
  </si>
  <si>
    <t>41796115</t>
  </si>
  <si>
    <t>260000097-26</t>
  </si>
  <si>
    <t>41794480</t>
  </si>
  <si>
    <t>260000158-26</t>
  </si>
  <si>
    <t>41796129</t>
  </si>
  <si>
    <t>41796126</t>
  </si>
  <si>
    <t>45193-1 | 4979-26</t>
  </si>
  <si>
    <t>500580077 500580078</t>
  </si>
  <si>
    <t>5019167 5019168</t>
  </si>
  <si>
    <t>61521081 81521204 61521080 81521205</t>
  </si>
  <si>
    <t>9753353 9753354 9753356 9753358</t>
  </si>
  <si>
    <t>221/539</t>
  </si>
  <si>
    <t>5019169 5019170</t>
  </si>
  <si>
    <t>41800972</t>
  </si>
  <si>
    <t>260000099-26</t>
  </si>
  <si>
    <t>41805238</t>
  </si>
  <si>
    <t>55898-1</t>
  </si>
  <si>
    <t>41805237</t>
  </si>
  <si>
    <t>260000357-26</t>
  </si>
  <si>
    <t>41800984</t>
  </si>
  <si>
    <t>260000320-26</t>
  </si>
  <si>
    <t>41802638</t>
  </si>
  <si>
    <t>260000104-26 | 49381-1</t>
  </si>
  <si>
    <t>41804188</t>
  </si>
  <si>
    <t>260000114-26 | 49409-1</t>
  </si>
  <si>
    <t>41805236</t>
  </si>
  <si>
    <t>49423-1 | 260000115-26</t>
  </si>
  <si>
    <t>41804186</t>
  </si>
  <si>
    <t>260000113-26 | 49408-1</t>
  </si>
  <si>
    <t>41802421</t>
  </si>
  <si>
    <t>49383-1 | 260000106-26</t>
  </si>
  <si>
    <t>09/02/2026 | 10/02/2026</t>
  </si>
  <si>
    <t>41802323</t>
  </si>
  <si>
    <t>260000103-26 | 49380-1</t>
  </si>
  <si>
    <t>41802322</t>
  </si>
  <si>
    <t>49384-1 | 260000107-26</t>
  </si>
  <si>
    <t>41804187</t>
  </si>
  <si>
    <t>260000732-26 | 260000736-26 | 260000737-26 | 260000738-26 | 260000739-26 | 8292-1 | 8293-1</t>
  </si>
  <si>
    <t>23/04/2026 | 23/04/2026 | 23/04/2026 | 23/04/2026 | 23/04/2026 | 23/04/2026; 28/04/2026 | 23/04/2026</t>
  </si>
  <si>
    <t>41801715</t>
  </si>
  <si>
    <t>41800978</t>
  </si>
  <si>
    <t>41802328</t>
  </si>
  <si>
    <t>260000017-26 | 28-1</t>
  </si>
  <si>
    <t>41802327</t>
  </si>
  <si>
    <t>260000016-26 | 27-1</t>
  </si>
  <si>
    <t>41802326</t>
  </si>
  <si>
    <t>26-1 | 260000015-26</t>
  </si>
  <si>
    <t>41802325</t>
  </si>
  <si>
    <t>25-1 | 260000014-26</t>
  </si>
  <si>
    <t>41822275</t>
  </si>
  <si>
    <t>260000229-26</t>
  </si>
  <si>
    <t>12/03/2026</t>
  </si>
  <si>
    <t>41805230</t>
  </si>
  <si>
    <t>30189-1</t>
  </si>
  <si>
    <t>41822277</t>
  </si>
  <si>
    <t>30723-1</t>
  </si>
  <si>
    <t>41805235</t>
  </si>
  <si>
    <t>30186-1</t>
  </si>
  <si>
    <t>41807607</t>
  </si>
  <si>
    <t>30539-1</t>
  </si>
  <si>
    <t>03/03/2026</t>
  </si>
  <si>
    <t>41807976</t>
  </si>
  <si>
    <t>260000185-26</t>
  </si>
  <si>
    <t>500580090 500580220 500580263</t>
  </si>
  <si>
    <t>5019273 5019274 5019275</t>
  </si>
  <si>
    <t>41805162</t>
  </si>
  <si>
    <t>30182-1</t>
  </si>
  <si>
    <t>41805166</t>
  </si>
  <si>
    <t>260000131-26</t>
  </si>
  <si>
    <t>41805234</t>
  </si>
  <si>
    <t>260000135-26</t>
  </si>
  <si>
    <t>41807608</t>
  </si>
  <si>
    <t>260000186-26</t>
  </si>
  <si>
    <t>41805163</t>
  </si>
  <si>
    <t>30184-1</t>
  </si>
  <si>
    <t>41804518/41804519</t>
  </si>
  <si>
    <t>30196-1 | 260000138-26</t>
  </si>
  <si>
    <t>41804063</t>
  </si>
  <si>
    <t>260000136-26</t>
  </si>
  <si>
    <t>41805169</t>
  </si>
  <si>
    <t>30183-1</t>
  </si>
  <si>
    <t>41804117</t>
  </si>
  <si>
    <t>30195-1</t>
  </si>
  <si>
    <t>41804064/41804066</t>
  </si>
  <si>
    <t>30193-1 | 260000132-26</t>
  </si>
  <si>
    <t>41807977</t>
  </si>
  <si>
    <t>30542-1</t>
  </si>
  <si>
    <t>41804520</t>
  </si>
  <si>
    <t>260000139-26</t>
  </si>
  <si>
    <t>41804064</t>
  </si>
  <si>
    <t>260000132-26</t>
  </si>
  <si>
    <t>41805167</t>
  </si>
  <si>
    <t>30185-1</t>
  </si>
  <si>
    <t>41804116</t>
  </si>
  <si>
    <t>260000137-26</t>
  </si>
  <si>
    <t>41807605</t>
  </si>
  <si>
    <t>30541-1</t>
  </si>
  <si>
    <t>41805170</t>
  </si>
  <si>
    <t>260000134-26</t>
  </si>
  <si>
    <t>41805164</t>
  </si>
  <si>
    <t>260000133-26</t>
  </si>
  <si>
    <t>41804519</t>
  </si>
  <si>
    <t>30196-1</t>
  </si>
  <si>
    <t>41804521</t>
  </si>
  <si>
    <t>30197-1</t>
  </si>
  <si>
    <t>41807606</t>
  </si>
  <si>
    <t>260000187-26</t>
  </si>
  <si>
    <t>5005800900 50058220 50058263</t>
  </si>
  <si>
    <t>41805161</t>
  </si>
  <si>
    <t>41805229</t>
  </si>
  <si>
    <t>260000130-26</t>
  </si>
  <si>
    <t>41801645</t>
  </si>
  <si>
    <t>24-26</t>
  </si>
  <si>
    <t>41805293</t>
  </si>
  <si>
    <t>43-1 | 260000021-26</t>
  </si>
  <si>
    <t>41802416</t>
  </si>
  <si>
    <t>260000018-26 | 42-1</t>
  </si>
  <si>
    <t>41800980</t>
  </si>
  <si>
    <t>260000017-26</t>
  </si>
  <si>
    <t>41802727</t>
  </si>
  <si>
    <t>14257-26 | 9201-1</t>
  </si>
  <si>
    <t>41801646</t>
  </si>
  <si>
    <t>41801652</t>
  </si>
  <si>
    <t>260000010-26</t>
  </si>
  <si>
    <t>51519031 51529083 515290108</t>
  </si>
  <si>
    <t>9758624 9758804 9758809</t>
  </si>
  <si>
    <t>41800973</t>
  </si>
  <si>
    <t>51521074 51521075 51521076</t>
  </si>
  <si>
    <t>9757009 9757019 9757029</t>
  </si>
  <si>
    <t>41801642</t>
  </si>
  <si>
    <t>260000157-26</t>
  </si>
  <si>
    <t>41801649</t>
  </si>
  <si>
    <t>50-26</t>
  </si>
  <si>
    <t>41802324</t>
  </si>
  <si>
    <t>49-26 | 502-1</t>
  </si>
  <si>
    <t>09/02/2026; 11/02/2026 | 09/02/2026</t>
  </si>
  <si>
    <t>41801647</t>
  </si>
  <si>
    <t>260000015-26</t>
  </si>
  <si>
    <t>41810282</t>
  </si>
  <si>
    <t>19/02/2026</t>
  </si>
  <si>
    <t>1429-1 | 260000041-26</t>
  </si>
  <si>
    <t>20/02/2026 | 20/02/2026</t>
  </si>
  <si>
    <t>41804185</t>
  </si>
  <si>
    <t>17049-1 | 260000119-26</t>
  </si>
  <si>
    <t>41802406</t>
  </si>
  <si>
    <t>1417-1 | 260000028-26</t>
  </si>
  <si>
    <t>41802330</t>
  </si>
  <si>
    <t>250000012-26 | 2815-1</t>
  </si>
  <si>
    <t>41800979</t>
  </si>
  <si>
    <t>260000140-26 | 145-1</t>
  </si>
  <si>
    <t>06/02/2026 | 07/02/2026</t>
  </si>
  <si>
    <t>00F700504201</t>
  </si>
  <si>
    <t>41801716</t>
  </si>
  <si>
    <t>61-26</t>
  </si>
  <si>
    <t>41801643</t>
  </si>
  <si>
    <t>16682-26</t>
  </si>
  <si>
    <t>41802407</t>
  </si>
  <si>
    <t>22395-26 | 70793-1</t>
  </si>
  <si>
    <t>41800997</t>
  </si>
  <si>
    <t>22391-26</t>
  </si>
  <si>
    <t>41804067</t>
  </si>
  <si>
    <t>22397-26 | 70795-1</t>
  </si>
  <si>
    <t>18/02/2026 | 19/02/2026</t>
  </si>
  <si>
    <t>41802329</t>
  </si>
  <si>
    <t>22396-26 | 70794-1</t>
  </si>
  <si>
    <t>19/02/2026 | 19/02/2026</t>
  </si>
  <si>
    <t>41800983</t>
  </si>
  <si>
    <t>41801650</t>
  </si>
  <si>
    <t>41800977/41800976</t>
  </si>
  <si>
    <t>1024607-1 | 3813-26</t>
  </si>
  <si>
    <t>09/02/2026 | 01/04/2026</t>
  </si>
  <si>
    <t>41800977</t>
  </si>
  <si>
    <t>1024607-1</t>
  </si>
  <si>
    <t>41807061</t>
  </si>
  <si>
    <t>14/02/2026</t>
  </si>
  <si>
    <t>124-1 | 260000008-26</t>
  </si>
  <si>
    <t>17/02/2026 | 17/02/2026</t>
  </si>
  <si>
    <t>2-2026</t>
  </si>
  <si>
    <t>EVIVALDO SILVA</t>
  </si>
  <si>
    <t>41807534</t>
  </si>
  <si>
    <t>2012-26</t>
  </si>
  <si>
    <t>20/02/2026</t>
  </si>
  <si>
    <t>28-2026</t>
  </si>
  <si>
    <t>41809585/41809584</t>
  </si>
  <si>
    <t>876-26 | 319953-1</t>
  </si>
  <si>
    <t>24/02/2026 | 02/03/2026</t>
  </si>
  <si>
    <t>41808466/41808467</t>
  </si>
  <si>
    <t>1050-26 | 321023-1</t>
  </si>
  <si>
    <t>02/03/2026 | 17/03/2026</t>
  </si>
  <si>
    <t>41808468</t>
  </si>
  <si>
    <t>856-26</t>
  </si>
  <si>
    <t>41806466</t>
  </si>
  <si>
    <t>1548-26 | 281695-1</t>
  </si>
  <si>
    <t>06/03/2026 | 06/03/2026</t>
  </si>
  <si>
    <t>41806470</t>
  </si>
  <si>
    <t>803-26</t>
  </si>
  <si>
    <t>41808059/41808060</t>
  </si>
  <si>
    <t>822-26 | 319717-1</t>
  </si>
  <si>
    <t>18/02/2026 | 02/03/2026</t>
  </si>
  <si>
    <t>41809440/41809439</t>
  </si>
  <si>
    <t>213-26 | 31492-1</t>
  </si>
  <si>
    <t>41809439</t>
  </si>
  <si>
    <t>213-26</t>
  </si>
  <si>
    <t>41806495</t>
  </si>
  <si>
    <t>41807973</t>
  </si>
  <si>
    <t>41805292</t>
  </si>
  <si>
    <t>175-26</t>
  </si>
  <si>
    <t>41810214/41810216</t>
  </si>
  <si>
    <t>221-26 | 221887-1</t>
  </si>
  <si>
    <t>02/03/2026 | 06/03/2026</t>
  </si>
  <si>
    <t>41805233</t>
  </si>
  <si>
    <t>260000021-26</t>
  </si>
  <si>
    <t>31521038 31521040</t>
  </si>
  <si>
    <t>9762805 9762806</t>
  </si>
  <si>
    <t>41807063</t>
  </si>
  <si>
    <t>260000023-26 | 29-1</t>
  </si>
  <si>
    <t>41805232</t>
  </si>
  <si>
    <t>260000020-26</t>
  </si>
  <si>
    <t>41805240</t>
  </si>
  <si>
    <t>260000022-26</t>
  </si>
  <si>
    <t>41805165</t>
  </si>
  <si>
    <t>260000018-26</t>
  </si>
  <si>
    <t>41805168</t>
  </si>
  <si>
    <t>260000019-26</t>
  </si>
  <si>
    <t>41809009</t>
  </si>
  <si>
    <t>260000024-26 | 30-1</t>
  </si>
  <si>
    <t>41807060</t>
  </si>
  <si>
    <t>260000099-26 | 300-1</t>
  </si>
  <si>
    <t>41807062</t>
  </si>
  <si>
    <t>260000098-26 | 299-1</t>
  </si>
  <si>
    <t>41828629/41828630</t>
  </si>
  <si>
    <t>16/03/2026</t>
  </si>
  <si>
    <t>30784-1 | 5467-26</t>
  </si>
  <si>
    <t>16/03/2026 | 16/03/2026</t>
  </si>
  <si>
    <t>41815142</t>
  </si>
  <si>
    <t>25/02/2026</t>
  </si>
  <si>
    <t>30526-1</t>
  </si>
  <si>
    <t>41815144/41815145</t>
  </si>
  <si>
    <t>260000201-26 | 30547-1</t>
  </si>
  <si>
    <t>04/03/2026 | 04/03/2026</t>
  </si>
  <si>
    <t>41815143</t>
  </si>
  <si>
    <t>260000197-26</t>
  </si>
  <si>
    <t>41815145</t>
  </si>
  <si>
    <t>30547-1</t>
  </si>
  <si>
    <t>41814539</t>
  </si>
  <si>
    <t>24/02/2026</t>
  </si>
  <si>
    <t>30548-1</t>
  </si>
  <si>
    <t>41814552</t>
  </si>
  <si>
    <t>30528-1</t>
  </si>
  <si>
    <t>41814553</t>
  </si>
  <si>
    <t>260000195-26</t>
  </si>
  <si>
    <t>41812141</t>
  </si>
  <si>
    <t>21/02/2026</t>
  </si>
  <si>
    <t>260000198-26</t>
  </si>
  <si>
    <t>41814554</t>
  </si>
  <si>
    <t>30525-1</t>
  </si>
  <si>
    <t>41814541</t>
  </si>
  <si>
    <t>30534-1</t>
  </si>
  <si>
    <t>41811663</t>
  </si>
  <si>
    <t>260000189-26</t>
  </si>
  <si>
    <t>41811661/41811662/41811663</t>
  </si>
  <si>
    <t>30544-1 | 260000189-26 | 30545-1</t>
  </si>
  <si>
    <t>03/03/2026 | 04/03/2026 | 04/03/2026</t>
  </si>
  <si>
    <t>41814550</t>
  </si>
  <si>
    <t>30530-1</t>
  </si>
  <si>
    <t>41828630</t>
  </si>
  <si>
    <t>5467-26</t>
  </si>
  <si>
    <t>41812140</t>
  </si>
  <si>
    <t>30537-1</t>
  </si>
  <si>
    <t>41814543</t>
  </si>
  <si>
    <t>30533-1</t>
  </si>
  <si>
    <t>41814538</t>
  </si>
  <si>
    <t>260000199-26</t>
  </si>
  <si>
    <t>41814544</t>
  </si>
  <si>
    <t>260000192-26</t>
  </si>
  <si>
    <t>41814555</t>
  </si>
  <si>
    <t>260000196-26</t>
  </si>
  <si>
    <t>41814551</t>
  </si>
  <si>
    <t>260000194-26</t>
  </si>
  <si>
    <t>41814540</t>
  </si>
  <si>
    <t>260000191-26</t>
  </si>
  <si>
    <t>41811895/41811893</t>
  </si>
  <si>
    <t>271-26 | 933-1</t>
  </si>
  <si>
    <t>23/02/2026 | 24/02/2026</t>
  </si>
  <si>
    <t>41808471/41808473</t>
  </si>
  <si>
    <t>260-26 | 896-1</t>
  </si>
  <si>
    <t>19/02/2026 | 05/03/2026</t>
  </si>
  <si>
    <t>41810218</t>
  </si>
  <si>
    <t>268-26 | 912-1</t>
  </si>
  <si>
    <t>41808465</t>
  </si>
  <si>
    <t>262-26</t>
  </si>
  <si>
    <t>41808469</t>
  </si>
  <si>
    <t>261-26</t>
  </si>
  <si>
    <t>41807059</t>
  </si>
  <si>
    <t>1301-1 | 260000119-26</t>
  </si>
  <si>
    <t>23/02/2026 | 23/02/2026</t>
  </si>
  <si>
    <t>41807979</t>
  </si>
  <si>
    <t>1292-1 | 260000110-26</t>
  </si>
  <si>
    <t>21/02/2026 | 23/02/2026</t>
  </si>
  <si>
    <t>41807097</t>
  </si>
  <si>
    <t>1311-1 | 260000130-26</t>
  </si>
  <si>
    <t>02/03/2026 | 02/03/2026</t>
  </si>
  <si>
    <t>41807103</t>
  </si>
  <si>
    <t>1291-1 | 260000109-26</t>
  </si>
  <si>
    <t>41807982</t>
  </si>
  <si>
    <t>1288-1 | 260000106-26</t>
  </si>
  <si>
    <t>41807102</t>
  </si>
  <si>
    <t>1293-1 | 260000111-26</t>
  </si>
  <si>
    <t>41809437</t>
  </si>
  <si>
    <t>1289-1 | 260000107-26</t>
  </si>
  <si>
    <t>41808459</t>
  </si>
  <si>
    <t>1295-1 | 260000113-26</t>
  </si>
  <si>
    <t>41808458</t>
  </si>
  <si>
    <t>1296-1 | 260000114-26</t>
  </si>
  <si>
    <t>41807981</t>
  </si>
  <si>
    <t>1297-1 | 260000115-26</t>
  </si>
  <si>
    <t>41808472</t>
  </si>
  <si>
    <t>1299-1 | 260000117-26</t>
  </si>
  <si>
    <t>41808464</t>
  </si>
  <si>
    <t>1300-1 | 260000118-26</t>
  </si>
  <si>
    <t>41809436</t>
  </si>
  <si>
    <t>1290-1 | 260000108-26</t>
  </si>
  <si>
    <t>41808850</t>
  </si>
  <si>
    <t>1286-1 | 260000104-26</t>
  </si>
  <si>
    <t>41809438</t>
  </si>
  <si>
    <t>1285-1 | 260000103-26</t>
  </si>
  <si>
    <t>41808854</t>
  </si>
  <si>
    <t>1284-1 | 260000102-26</t>
  </si>
  <si>
    <t>41808462</t>
  </si>
  <si>
    <t>1298-1 | 260000116-26</t>
  </si>
  <si>
    <t>41808463</t>
  </si>
  <si>
    <t>1287-1 | 260000105-26</t>
  </si>
  <si>
    <t>41808460</t>
  </si>
  <si>
    <t>1294-1 | 260000112-26</t>
  </si>
  <si>
    <t>41805228</t>
  </si>
  <si>
    <t>260000086-26</t>
  </si>
  <si>
    <t>41818665</t>
  </si>
  <si>
    <t>1318-1 | 260000138-26</t>
  </si>
  <si>
    <t>03/03/2026 | 03/03/2026</t>
  </si>
  <si>
    <t>41806467</t>
  </si>
  <si>
    <t>51521083 51521091</t>
  </si>
  <si>
    <t>9762808 9762089</t>
  </si>
  <si>
    <t>41807540</t>
  </si>
  <si>
    <t>506-1 | 55-26</t>
  </si>
  <si>
    <t>31521016 1310006 51521084 8173187</t>
  </si>
  <si>
    <t>9763634 9763637 9763642 9763644</t>
  </si>
  <si>
    <t>41808470</t>
  </si>
  <si>
    <t>509-1 | 57-26</t>
  </si>
  <si>
    <t>41807064</t>
  </si>
  <si>
    <t>507-1 | 56-26</t>
  </si>
  <si>
    <t>41812196/41812195</t>
  </si>
  <si>
    <t>106599-1 | 260000152-26</t>
  </si>
  <si>
    <t>41810284/41810283</t>
  </si>
  <si>
    <t>106515-1 | 260000145-26</t>
  </si>
  <si>
    <t>41815291/41815290</t>
  </si>
  <si>
    <t>106987-1 | 260000178-26</t>
  </si>
  <si>
    <t>41810281/41810280</t>
  </si>
  <si>
    <t>106511-1 | 260000144-26</t>
  </si>
  <si>
    <t>41808543/41808544</t>
  </si>
  <si>
    <t>106426-1 | 260000131-26</t>
  </si>
  <si>
    <t>41808457</t>
  </si>
  <si>
    <t>223-26 | 72268-1</t>
  </si>
  <si>
    <t>41809435/41809434</t>
  </si>
  <si>
    <t>106482-1 | 260000136-26</t>
  </si>
  <si>
    <t>41805227</t>
  </si>
  <si>
    <t>41806474</t>
  </si>
  <si>
    <t>260000205-26</t>
  </si>
  <si>
    <t>19/03/2026</t>
  </si>
  <si>
    <t>41806473</t>
  </si>
  <si>
    <t>260000203-26</t>
  </si>
  <si>
    <t>41806476</t>
  </si>
  <si>
    <t>260000206-26</t>
  </si>
  <si>
    <t>41806475</t>
  </si>
  <si>
    <t>260000204-26</t>
  </si>
  <si>
    <t>41805171</t>
  </si>
  <si>
    <t>260000258-26</t>
  </si>
  <si>
    <t>41806472</t>
  </si>
  <si>
    <t>41807975/41807978</t>
  </si>
  <si>
    <t>260000244-26 | 53621-1</t>
  </si>
  <si>
    <t>5019352 5019426 5019353 5019354 5019355</t>
  </si>
  <si>
    <t>41807536</t>
  </si>
  <si>
    <t>16170019 16170016</t>
  </si>
  <si>
    <t>9762584 9762418</t>
  </si>
  <si>
    <t>41807101</t>
  </si>
  <si>
    <t>51521090 51519030</t>
  </si>
  <si>
    <t>9762411 9762415</t>
  </si>
  <si>
    <t>51521062 51521065</t>
  </si>
  <si>
    <t>9762595 9762596</t>
  </si>
  <si>
    <t>51521054 51521049</t>
  </si>
  <si>
    <t>9762588 9762591</t>
  </si>
  <si>
    <t>51521066 51521061</t>
  </si>
  <si>
    <t>9762592 9762594</t>
  </si>
  <si>
    <t>41805239</t>
  </si>
  <si>
    <t>41805231</t>
  </si>
  <si>
    <t>41806471</t>
  </si>
  <si>
    <t>51519037 51529033 51521103 51521106 515211007</t>
  </si>
  <si>
    <t>00F700463106</t>
  </si>
  <si>
    <t>41805295</t>
  </si>
  <si>
    <t>63-26</t>
  </si>
  <si>
    <t>19/02/2026; 20/02/2026</t>
  </si>
  <si>
    <t>41811152</t>
  </si>
  <si>
    <t>49-26</t>
  </si>
  <si>
    <t>41816289/41816288</t>
  </si>
  <si>
    <t>26/02/2026</t>
  </si>
  <si>
    <t>1048-26 | 321018-1</t>
  </si>
  <si>
    <t>41816286/41816284</t>
  </si>
  <si>
    <t>1152-26 | 321683-1</t>
  </si>
  <si>
    <t>11/03/2026 | 24/03/2026</t>
  </si>
  <si>
    <t>41816285</t>
  </si>
  <si>
    <t>260000144-26 | 49628-1</t>
  </si>
  <si>
    <t>41815233</t>
  </si>
  <si>
    <t>260000143-26 | 49627-1</t>
  </si>
  <si>
    <t>41811077</t>
  </si>
  <si>
    <t>260000043-26</t>
  </si>
  <si>
    <t>41811074</t>
  </si>
  <si>
    <t>260000047-26</t>
  </si>
  <si>
    <t>41814549</t>
  </si>
  <si>
    <t>30531-1</t>
  </si>
  <si>
    <t>41814545</t>
  </si>
  <si>
    <t>260000200-26</t>
  </si>
  <si>
    <t>41814546</t>
  </si>
  <si>
    <t>30532-1</t>
  </si>
  <si>
    <t>41814548</t>
  </si>
  <si>
    <t>260000193-26</t>
  </si>
  <si>
    <t>41822276</t>
  </si>
  <si>
    <t>260000033-26 | 260000034-26</t>
  </si>
  <si>
    <t>41810763</t>
  </si>
  <si>
    <t>41811068</t>
  </si>
  <si>
    <t>41818662</t>
  </si>
  <si>
    <t>1435-1 | 260000047-26</t>
  </si>
  <si>
    <t>41810767</t>
  </si>
  <si>
    <t>260000042-26</t>
  </si>
  <si>
    <t>41815864</t>
  </si>
  <si>
    <t>2840-1 | 250000013-26</t>
  </si>
  <si>
    <t>02/03/2026 | 09/03/2026</t>
  </si>
  <si>
    <t>41806954</t>
  </si>
  <si>
    <t>41811467</t>
  </si>
  <si>
    <t>260000174-26</t>
  </si>
  <si>
    <t>41810761</t>
  </si>
  <si>
    <t>260000278-26</t>
  </si>
  <si>
    <t>41810762</t>
  </si>
  <si>
    <t>260000271-26</t>
  </si>
  <si>
    <t>000F700500001</t>
  </si>
  <si>
    <t>41818710</t>
  </si>
  <si>
    <t>12383-1 | 98-26</t>
  </si>
  <si>
    <t>05/03/2026 | 16/03/2026</t>
  </si>
  <si>
    <t>500580090 500580220</t>
  </si>
  <si>
    <t>5019518 5019519</t>
  </si>
  <si>
    <t>41813330</t>
  </si>
  <si>
    <t>500580071 500580090 500580220 500580099</t>
  </si>
  <si>
    <t>5019564 5019565 5019566 5019567</t>
  </si>
  <si>
    <t>500580072 500580073 500580090 500580347</t>
  </si>
  <si>
    <t>5019560 5019561 5019562 5019563</t>
  </si>
  <si>
    <t>41811073</t>
  </si>
  <si>
    <t>10/03/2026</t>
  </si>
  <si>
    <t>41813860/41813859</t>
  </si>
  <si>
    <t>1052-26 | 321031-1</t>
  </si>
  <si>
    <t>02/03/2026 | 17/03/2026; 19/03/2026</t>
  </si>
  <si>
    <t>41812858</t>
  </si>
  <si>
    <t>260000132-26 | 49556-1</t>
  </si>
  <si>
    <t>41812861</t>
  </si>
  <si>
    <t>260000133-26 | 49557-1</t>
  </si>
  <si>
    <t>41812725</t>
  </si>
  <si>
    <t>260000129-26 | 49553-1</t>
  </si>
  <si>
    <t>41815153</t>
  </si>
  <si>
    <t>31602-1</t>
  </si>
  <si>
    <t>41815152</t>
  </si>
  <si>
    <t>297-26</t>
  </si>
  <si>
    <t>41811088</t>
  </si>
  <si>
    <t>41811076</t>
  </si>
  <si>
    <t>260000045-26</t>
  </si>
  <si>
    <t>41811089</t>
  </si>
  <si>
    <t>260000046-26</t>
  </si>
  <si>
    <t>41812918</t>
  </si>
  <si>
    <t>260000190-26</t>
  </si>
  <si>
    <t>41812919</t>
  </si>
  <si>
    <t>30536-1</t>
  </si>
  <si>
    <t>41810766</t>
  </si>
  <si>
    <t>41814115</t>
  </si>
  <si>
    <t>14354-26 | 9273-1</t>
  </si>
  <si>
    <t>09/03/2026 | 09/03/2026</t>
  </si>
  <si>
    <t>41811083</t>
  </si>
  <si>
    <t>14347-26</t>
  </si>
  <si>
    <t>41811086</t>
  </si>
  <si>
    <t>14353-26</t>
  </si>
  <si>
    <t>41811082</t>
  </si>
  <si>
    <t>14346-26</t>
  </si>
  <si>
    <t>41811093</t>
  </si>
  <si>
    <t>14356-26</t>
  </si>
  <si>
    <t>09/03/2026</t>
  </si>
  <si>
    <t>41818666</t>
  </si>
  <si>
    <t>41812868</t>
  </si>
  <si>
    <t>25137-1 | 260000159-26</t>
  </si>
  <si>
    <t>05/03/2026 | 05/03/2026</t>
  </si>
  <si>
    <t>41812856</t>
  </si>
  <si>
    <t>17065-1 | 260000137-26</t>
  </si>
  <si>
    <t>00F700496902</t>
  </si>
  <si>
    <t>41813857</t>
  </si>
  <si>
    <t>12319-1 | 93-26</t>
  </si>
  <si>
    <t>24/02/2026 | 16/03/2026</t>
  </si>
  <si>
    <t>00F700496903</t>
  </si>
  <si>
    <t>41813739</t>
  </si>
  <si>
    <t>12318-1 | 94-26</t>
  </si>
  <si>
    <t>500580071 500580072 500580073</t>
  </si>
  <si>
    <t>5019572 5019573 5019574</t>
  </si>
  <si>
    <t>41811919</t>
  </si>
  <si>
    <t>500580347 500580099</t>
  </si>
  <si>
    <t>5019569 5019570</t>
  </si>
  <si>
    <t>5019575 5019576</t>
  </si>
  <si>
    <t>41811072</t>
  </si>
  <si>
    <t>41811910/41811911</t>
  </si>
  <si>
    <t>260000221-26 | 170876-1</t>
  </si>
  <si>
    <t>24/02/2026 | 04/03/2026</t>
  </si>
  <si>
    <t>41811913/41811914</t>
  </si>
  <si>
    <t>170892-1 | 260000222-26</t>
  </si>
  <si>
    <t>23/02/2026; 24/02/2026 | 24/02/2026</t>
  </si>
  <si>
    <t>41811916/41811918</t>
  </si>
  <si>
    <t>170900-1 | 260000223-26</t>
  </si>
  <si>
    <t>41811887/41811888</t>
  </si>
  <si>
    <t>260000220-26 | 170875-1</t>
  </si>
  <si>
    <t>24/02/2026 | 25/02/2026</t>
  </si>
  <si>
    <t>48/26</t>
  </si>
  <si>
    <t>41818661</t>
  </si>
  <si>
    <t>2046-26</t>
  </si>
  <si>
    <t>41818699</t>
  </si>
  <si>
    <t>20-26</t>
  </si>
  <si>
    <t>41817399</t>
  </si>
  <si>
    <t>18-26</t>
  </si>
  <si>
    <t>41818700</t>
  </si>
  <si>
    <t>21-26</t>
  </si>
  <si>
    <t>41818660</t>
  </si>
  <si>
    <t>19-26</t>
  </si>
  <si>
    <t>03/03/2026; 05/03/2026</t>
  </si>
  <si>
    <t>41816770</t>
  </si>
  <si>
    <t>27/02/2026</t>
  </si>
  <si>
    <t>16-26</t>
  </si>
  <si>
    <t>41816650</t>
  </si>
  <si>
    <t>41822309/41822308</t>
  </si>
  <si>
    <t>1114-26 | 321523-1</t>
  </si>
  <si>
    <t>10/03/2026 | 17/03/2026</t>
  </si>
  <si>
    <t>41821648/41821645</t>
  </si>
  <si>
    <t>1105-26 | 321404-1</t>
  </si>
  <si>
    <t>09/03/2026 | 17/03/2026</t>
  </si>
  <si>
    <t>41821576/41821573</t>
  </si>
  <si>
    <t>1102-26 | 321397-1</t>
  </si>
  <si>
    <t>41821649/41821646</t>
  </si>
  <si>
    <t>1103-26 | 321402-1</t>
  </si>
  <si>
    <t>41818659</t>
  </si>
  <si>
    <t>1100-26 | 1101-26</t>
  </si>
  <si>
    <t>41819201</t>
  </si>
  <si>
    <t>140520-1 | 260000029-26</t>
  </si>
  <si>
    <t>41818663</t>
  </si>
  <si>
    <t>260000054-26</t>
  </si>
  <si>
    <t>05/03/2026</t>
  </si>
  <si>
    <t>41819532/41819529</t>
  </si>
  <si>
    <t>114443-1 | 114444-1 | 260000159-26</t>
  </si>
  <si>
    <t>09/03/2026 | 09/03/2026 | 09/03/2026</t>
  </si>
  <si>
    <t>41821647/41821644</t>
  </si>
  <si>
    <t>114442-1 | 260000158-26</t>
  </si>
  <si>
    <t>41825165</t>
  </si>
  <si>
    <t>11/03/2026</t>
  </si>
  <si>
    <t>18/03/2026</t>
  </si>
  <si>
    <t>41816772</t>
  </si>
  <si>
    <t>110-26</t>
  </si>
  <si>
    <t>41816769</t>
  </si>
  <si>
    <t>1312-1 | 260000131-26</t>
  </si>
  <si>
    <t>41821500</t>
  </si>
  <si>
    <t>83-26 | 535-1</t>
  </si>
  <si>
    <t>09/03/2026 | 14/03/2026</t>
  </si>
  <si>
    <t>41821377</t>
  </si>
  <si>
    <t>85-26 | 536-1</t>
  </si>
  <si>
    <t>41830542</t>
  </si>
  <si>
    <t>99-26 | 548-1</t>
  </si>
  <si>
    <t>23/03/2026 | 26/03/2026</t>
  </si>
  <si>
    <t>41821753/41821752</t>
  </si>
  <si>
    <t>107284-1 | 260000207-26 | 107464-1</t>
  </si>
  <si>
    <t>16/03/2026 | 19/03/2026 | 26/03/2026</t>
  </si>
  <si>
    <t>41831934/41831932/41831931</t>
  </si>
  <si>
    <t>260000202-26 | 107463-1</t>
  </si>
  <si>
    <t>19/03/2026 | 23/03/2026</t>
  </si>
  <si>
    <t>41821575/41821572</t>
  </si>
  <si>
    <t>107143-1 | 260000189-26</t>
  </si>
  <si>
    <t>41816773</t>
  </si>
  <si>
    <t>260000174-26 | 260000175-26 | 260000176-26 | 260000177-26</t>
  </si>
  <si>
    <t>03/03/2026 | 03/03/2026 | 03/03/2026 | 03/03/2026</t>
  </si>
  <si>
    <t>41831937</t>
  </si>
  <si>
    <t>195-1 | 260000080-26</t>
  </si>
  <si>
    <t>19/03/2026 | 19/03/2026</t>
  </si>
  <si>
    <t>41816651</t>
  </si>
  <si>
    <t>41821591/41821590</t>
  </si>
  <si>
    <t>260000377-26 | 53983-1</t>
  </si>
  <si>
    <t>10/03/2026 | 10/03/2026</t>
  </si>
  <si>
    <t>41819543/41819541</t>
  </si>
  <si>
    <t>260000373-26 | 53964-1</t>
  </si>
  <si>
    <t>41817161</t>
  </si>
  <si>
    <t>28/02/2026</t>
  </si>
  <si>
    <t>260000350-26 | 260000351-26</t>
  </si>
  <si>
    <t>C.C. 088,264,090,220</t>
  </si>
  <si>
    <t>5019676 5019677 5019678 5019679</t>
  </si>
  <si>
    <t>41818698</t>
  </si>
  <si>
    <t>41816771</t>
  </si>
  <si>
    <t>41819554</t>
  </si>
  <si>
    <t>51521065 51521049 51521071</t>
  </si>
  <si>
    <t>9786254 9786257 9786309</t>
  </si>
  <si>
    <t>51519046 51519047</t>
  </si>
  <si>
    <t>41814416/41814418</t>
  </si>
  <si>
    <t>171294-1 | 260000292-26</t>
  </si>
  <si>
    <t>41814421/41814422</t>
  </si>
  <si>
    <t>171295-1 | 260000293-26</t>
  </si>
  <si>
    <t>41826607</t>
  </si>
  <si>
    <t>260000625-26</t>
  </si>
  <si>
    <t>41830324</t>
  </si>
  <si>
    <t>17/03/2026</t>
  </si>
  <si>
    <t>260000176-26 | 49813-1</t>
  </si>
  <si>
    <t>18/03/2026 | 18/03/2026</t>
  </si>
  <si>
    <t>41826853</t>
  </si>
  <si>
    <t>49747-1 | 260000164-26</t>
  </si>
  <si>
    <t>13/03/2026 | 16/03/2026</t>
  </si>
  <si>
    <t>41830343</t>
  </si>
  <si>
    <t>260000178-26 | 49817-1</t>
  </si>
  <si>
    <t>41830346</t>
  </si>
  <si>
    <t>260000179-26 | 49818-1</t>
  </si>
  <si>
    <t>41825183</t>
  </si>
  <si>
    <t>260000160-26 | 49730-1</t>
  </si>
  <si>
    <t>11/03/2026 | 11/03/2026</t>
  </si>
  <si>
    <t>41825181</t>
  </si>
  <si>
    <t>260000161-26 | 49731-1</t>
  </si>
  <si>
    <t>41827254</t>
  </si>
  <si>
    <t>13/03/2026</t>
  </si>
  <si>
    <t>260000062-26 | 74-1</t>
  </si>
  <si>
    <t>41821502</t>
  </si>
  <si>
    <t>260000059-26</t>
  </si>
  <si>
    <t>41827260</t>
  </si>
  <si>
    <t>260000036-26 | 37-1</t>
  </si>
  <si>
    <t>41827262</t>
  </si>
  <si>
    <t>260000037-26 | 38-1</t>
  </si>
  <si>
    <t>41826850</t>
  </si>
  <si>
    <t>260000033-26 | 40-1</t>
  </si>
  <si>
    <t>20/03/2026 | 20/03/2026</t>
  </si>
  <si>
    <t>41826856</t>
  </si>
  <si>
    <t>260000028-26 | 31-1</t>
  </si>
  <si>
    <t>41826847</t>
  </si>
  <si>
    <t>260000032-26 | 39-1</t>
  </si>
  <si>
    <t>41826844</t>
  </si>
  <si>
    <t>260000030-26 | 33-1</t>
  </si>
  <si>
    <t>41822278</t>
  </si>
  <si>
    <t>260000026-26</t>
  </si>
  <si>
    <t>41826845</t>
  </si>
  <si>
    <t>260000031-26 | 34-1</t>
  </si>
  <si>
    <t>41827256</t>
  </si>
  <si>
    <t>260000035-26 | 36-1</t>
  </si>
  <si>
    <t>41831058</t>
  </si>
  <si>
    <t>260000038-26 | 41-1</t>
  </si>
  <si>
    <t>41827259</t>
  </si>
  <si>
    <t>260000034-26 | 35-1</t>
  </si>
  <si>
    <t>41821570</t>
  </si>
  <si>
    <t>260000025-26</t>
  </si>
  <si>
    <t>41826880</t>
  </si>
  <si>
    <t>260000029-26 | 32-1</t>
  </si>
  <si>
    <t>41835211</t>
  </si>
  <si>
    <t>24/03/2026</t>
  </si>
  <si>
    <t>30967-1</t>
  </si>
  <si>
    <t>17/04/2026</t>
  </si>
  <si>
    <t>41835208</t>
  </si>
  <si>
    <t>256-26</t>
  </si>
  <si>
    <t>06/04/2026</t>
  </si>
  <si>
    <t>41834641</t>
  </si>
  <si>
    <t>23/03/2026</t>
  </si>
  <si>
    <t>270-26</t>
  </si>
  <si>
    <t>41835194</t>
  </si>
  <si>
    <t>30971-1</t>
  </si>
  <si>
    <t>41835197</t>
  </si>
  <si>
    <t>260-26</t>
  </si>
  <si>
    <t>41834643</t>
  </si>
  <si>
    <t>30982-1</t>
  </si>
  <si>
    <t>41835164</t>
  </si>
  <si>
    <t>265-26</t>
  </si>
  <si>
    <t>41835191</t>
  </si>
  <si>
    <t>30975-1</t>
  </si>
  <si>
    <t>41835165</t>
  </si>
  <si>
    <t>30976-1</t>
  </si>
  <si>
    <t>17/04/2026; 27/04/2026</t>
  </si>
  <si>
    <t>41835193</t>
  </si>
  <si>
    <t>41835189</t>
  </si>
  <si>
    <t>263-26</t>
  </si>
  <si>
    <t>41835198</t>
  </si>
  <si>
    <t>30969-1</t>
  </si>
  <si>
    <t>41825182</t>
  </si>
  <si>
    <t>198-26 | 225-1</t>
  </si>
  <si>
    <t>12/03/2026 | 12/03/2026</t>
  </si>
  <si>
    <t>41825204</t>
  </si>
  <si>
    <t>199-26 | 226-1</t>
  </si>
  <si>
    <t>41828626</t>
  </si>
  <si>
    <t>203-26 | 227-1</t>
  </si>
  <si>
    <t>41825293</t>
  </si>
  <si>
    <t>260000041-26 | 47-1</t>
  </si>
  <si>
    <t>41821571</t>
  </si>
  <si>
    <t>260000028-26 | 260000029-26 | 260000030-26 | 260000031-26 | 260000032-26</t>
  </si>
  <si>
    <t>06/03/2026 | 06/03/2026 | 06/03/2026 | 06/03/2026 | 06/03/2026</t>
  </si>
  <si>
    <t>41825141</t>
  </si>
  <si>
    <t>260000039-26 | 45-1</t>
  </si>
  <si>
    <t>41825294</t>
  </si>
  <si>
    <t>260000040-26 | 46-1</t>
  </si>
  <si>
    <t>41822283</t>
  </si>
  <si>
    <t>41825148</t>
  </si>
  <si>
    <t>544-1 | 94-26</t>
  </si>
  <si>
    <t>41830323</t>
  </si>
  <si>
    <t>100-26 | 549-1</t>
  </si>
  <si>
    <t>23/03/2026 | 25/03/2026</t>
  </si>
  <si>
    <t>41830326/41830325</t>
  </si>
  <si>
    <t>101-26 | 550-1</t>
  </si>
  <si>
    <t>41825295</t>
  </si>
  <si>
    <t>543-1 | 93-26</t>
  </si>
  <si>
    <t>41825103</t>
  </si>
  <si>
    <t>545-1 | 95-26</t>
  </si>
  <si>
    <t>41821503</t>
  </si>
  <si>
    <t>260000028-26</t>
  </si>
  <si>
    <t>41825292</t>
  </si>
  <si>
    <t>191-1 | 260000070-26</t>
  </si>
  <si>
    <t>41828624</t>
  </si>
  <si>
    <t>192-1 | 261-26</t>
  </si>
  <si>
    <t>RRY1D18</t>
  </si>
  <si>
    <t>41822119</t>
  </si>
  <si>
    <t>25375-1 | 260000170-26</t>
  </si>
  <si>
    <t>41822118</t>
  </si>
  <si>
    <t>41824733</t>
  </si>
  <si>
    <t>260000402-26</t>
  </si>
  <si>
    <t>41823183</t>
  </si>
  <si>
    <t>00F700512301</t>
  </si>
  <si>
    <t>41826949</t>
  </si>
  <si>
    <t>00A900450801</t>
  </si>
  <si>
    <t>41831083</t>
  </si>
  <si>
    <t>00F700488501</t>
  </si>
  <si>
    <t>41826846</t>
  </si>
  <si>
    <t>12451-1 | 109-26</t>
  </si>
  <si>
    <t>13/03/2026 | 19/03/2026</t>
  </si>
  <si>
    <t>00F700491901</t>
  </si>
  <si>
    <t>41826606</t>
  </si>
  <si>
    <t>12444-1 | 132-26</t>
  </si>
  <si>
    <t>13/03/2026 | 24/03/2026</t>
  </si>
  <si>
    <t>00F700496801</t>
  </si>
  <si>
    <t>41826608</t>
  </si>
  <si>
    <t>12445-1 | 12446-1 | 133-26</t>
  </si>
  <si>
    <t>16/03/2026 | 16/03/2026 | 24/03/2026</t>
  </si>
  <si>
    <t>QCE5B86</t>
  </si>
  <si>
    <t>41825177</t>
  </si>
  <si>
    <t>3792-26 | 9712-1</t>
  </si>
  <si>
    <t>QCE9E05</t>
  </si>
  <si>
    <t>QCC5H96</t>
  </si>
  <si>
    <t>41823232</t>
  </si>
  <si>
    <t>22404-26 | 70805-1</t>
  </si>
  <si>
    <t>41822310</t>
  </si>
  <si>
    <t>41822285</t>
  </si>
  <si>
    <t>9890673</t>
  </si>
  <si>
    <t>961949</t>
  </si>
  <si>
    <t>41898337</t>
  </si>
  <si>
    <t>260000418-26</t>
  </si>
  <si>
    <t>02.07.2026</t>
  </si>
  <si>
    <t>41825213</t>
  </si>
  <si>
    <t>41831082/41831080</t>
  </si>
  <si>
    <t>1256-26 | 322279-1</t>
  </si>
  <si>
    <t>20/03/2026 | 24/03/2026</t>
  </si>
  <si>
    <t>41823181</t>
  </si>
  <si>
    <t>1146-26 | 1147-26</t>
  </si>
  <si>
    <t>41826849</t>
  </si>
  <si>
    <t>1172-26 | 1173-26</t>
  </si>
  <si>
    <t>16/03/2026 | 18/03/2026</t>
  </si>
  <si>
    <t>862469</t>
  </si>
  <si>
    <t>41826852</t>
  </si>
  <si>
    <t>321819-1</t>
  </si>
  <si>
    <t>41826851</t>
  </si>
  <si>
    <t>1171-26</t>
  </si>
  <si>
    <t>41831031</t>
  </si>
  <si>
    <t>260000649-26</t>
  </si>
  <si>
    <t>41831032</t>
  </si>
  <si>
    <t>56501-1</t>
  </si>
  <si>
    <t>41823397</t>
  </si>
  <si>
    <t>41827258</t>
  </si>
  <si>
    <t>260000063-26</t>
  </si>
  <si>
    <t>500580071 50058086</t>
  </si>
  <si>
    <t>5019831 5019832</t>
  </si>
  <si>
    <t>41825176</t>
  </si>
  <si>
    <t>260000060-26</t>
  </si>
  <si>
    <t>5005800100 500580349</t>
  </si>
  <si>
    <t>5019787 5019788</t>
  </si>
  <si>
    <t>41822306</t>
  </si>
  <si>
    <t>248-26</t>
  </si>
  <si>
    <t>41824732</t>
  </si>
  <si>
    <t>260000027-26</t>
  </si>
  <si>
    <t>41835187</t>
  </si>
  <si>
    <t>30980-1</t>
  </si>
  <si>
    <t>41835182</t>
  </si>
  <si>
    <t>41835183</t>
  </si>
  <si>
    <t>30983-1</t>
  </si>
  <si>
    <t>41835186</t>
  </si>
  <si>
    <t>41835184</t>
  </si>
  <si>
    <t>266-26</t>
  </si>
  <si>
    <t>41835181</t>
  </si>
  <si>
    <t>268-26</t>
  </si>
  <si>
    <t>41835190</t>
  </si>
  <si>
    <t>264-26</t>
  </si>
  <si>
    <t>41835192</t>
  </si>
  <si>
    <t>30973-1</t>
  </si>
  <si>
    <t>41823175</t>
  </si>
  <si>
    <t>260000035-26 | 260000036-26 | 260000037-26 | 260000038-26</t>
  </si>
  <si>
    <t>09/03/2026 | 09/03/2026 | 09/03/2026 | 09/03/2026</t>
  </si>
  <si>
    <t>41827267</t>
  </si>
  <si>
    <t>48-1 | 260000042-26</t>
  </si>
  <si>
    <t>41825219</t>
  </si>
  <si>
    <t>14431-26 | 9298-1</t>
  </si>
  <si>
    <t>16/03/2026 | 19/03/2026</t>
  </si>
  <si>
    <t>41823398</t>
  </si>
  <si>
    <t>14424-26 | 14425-26 | 14426-26</t>
  </si>
  <si>
    <t>16/03/2026 | 16/03/2026 | 16/03/2026</t>
  </si>
  <si>
    <t>41825179</t>
  </si>
  <si>
    <t>14429-26 | 9297-1</t>
  </si>
  <si>
    <t>16/03/2026 | 17/03/2026</t>
  </si>
  <si>
    <t xml:space="preserve">51521071 51521072 </t>
  </si>
  <si>
    <t>9795997 9795998</t>
  </si>
  <si>
    <t>41825171</t>
  </si>
  <si>
    <t>14430-26</t>
  </si>
  <si>
    <t>41827261</t>
  </si>
  <si>
    <t>1332-1 | 260000153-26</t>
  </si>
  <si>
    <t>41827257</t>
  </si>
  <si>
    <t>1333-1 | 260000154-26</t>
  </si>
  <si>
    <t>41825178</t>
  </si>
  <si>
    <t>260000014-26</t>
  </si>
  <si>
    <t>EDVALDO SILVA</t>
  </si>
  <si>
    <t>41826848</t>
  </si>
  <si>
    <t>41827255</t>
  </si>
  <si>
    <t>547-1 | 98-26</t>
  </si>
  <si>
    <t>17/03/2026 | 17/03/2026</t>
  </si>
  <si>
    <t>41826881</t>
  </si>
  <si>
    <t>546-1 | 97-26</t>
  </si>
  <si>
    <t>41827251</t>
  </si>
  <si>
    <t>4951-1 | 2129-26</t>
  </si>
  <si>
    <t>18/03/2026 | 19/03/2026</t>
  </si>
  <si>
    <t>41823185</t>
  </si>
  <si>
    <t>260000030-26</t>
  </si>
  <si>
    <t>41823180</t>
  </si>
  <si>
    <t>260000310-26</t>
  </si>
  <si>
    <t>41826883</t>
  </si>
  <si>
    <t>41826860</t>
  </si>
  <si>
    <t>25490-1 | 260000183-26</t>
  </si>
  <si>
    <t>500580349 500580072</t>
  </si>
  <si>
    <t>C.C. 70,69,72,71</t>
  </si>
  <si>
    <t>41823500</t>
  </si>
  <si>
    <t>260000001-26</t>
  </si>
  <si>
    <t>41824043</t>
  </si>
  <si>
    <t>260000003-26</t>
  </si>
  <si>
    <t>41823501</t>
  </si>
  <si>
    <t>260000002-26 | 260000004-26</t>
  </si>
  <si>
    <t>41825174</t>
  </si>
  <si>
    <t>17-26</t>
  </si>
  <si>
    <t>41824737</t>
  </si>
  <si>
    <t>196-26 | 223-1</t>
  </si>
  <si>
    <t>41824739</t>
  </si>
  <si>
    <t>197-26 | 224-1</t>
  </si>
  <si>
    <t>41825166</t>
  </si>
  <si>
    <t>372-26 | 9203-1</t>
  </si>
  <si>
    <t>41825180</t>
  </si>
  <si>
    <t>41832568</t>
  </si>
  <si>
    <t>20/03/2026</t>
  </si>
  <si>
    <t>260000029-26</t>
  </si>
  <si>
    <t>3/26</t>
  </si>
  <si>
    <t>41833120</t>
  </si>
  <si>
    <t>2096-26</t>
  </si>
  <si>
    <t>09/04/2026</t>
  </si>
  <si>
    <t>10/26</t>
  </si>
  <si>
    <t>41831089/41831088</t>
  </si>
  <si>
    <t>1253-26 | 322247-1</t>
  </si>
  <si>
    <t>19/03/2026 | 24/03/2026</t>
  </si>
  <si>
    <t>41830535/41830533</t>
  </si>
  <si>
    <t>1249-26 | 322242-1</t>
  </si>
  <si>
    <t>41830534</t>
  </si>
  <si>
    <t>1248-26</t>
  </si>
  <si>
    <t>41835212</t>
  </si>
  <si>
    <t>260000210-26 | 49982-1</t>
  </si>
  <si>
    <t>41828259</t>
  </si>
  <si>
    <t>14/03/2026</t>
  </si>
  <si>
    <t>260000171-26 | 49766-1</t>
  </si>
  <si>
    <t>41833238</t>
  </si>
  <si>
    <t>49869-1 | 260000189-26</t>
  </si>
  <si>
    <t>20/03/2026 | 23/03/2026</t>
  </si>
  <si>
    <t>KQR1J98</t>
  </si>
  <si>
    <t>41833239</t>
  </si>
  <si>
    <t>49870-1 | 260000190-26</t>
  </si>
  <si>
    <t>41827684</t>
  </si>
  <si>
    <t>49755-1 | 260000167-26</t>
  </si>
  <si>
    <t>41827773</t>
  </si>
  <si>
    <t>260000169-26 | 49757-1</t>
  </si>
  <si>
    <t>41833063</t>
  </si>
  <si>
    <t>260000186-26 | 49862-1</t>
  </si>
  <si>
    <t>41827772</t>
  </si>
  <si>
    <t>49756-1 | 260000168-26</t>
  </si>
  <si>
    <t>41827774</t>
  </si>
  <si>
    <t>260000170-26 | 49758-1</t>
  </si>
  <si>
    <t>41841795</t>
  </si>
  <si>
    <t>02/04/2026</t>
  </si>
  <si>
    <t>260000039-26</t>
  </si>
  <si>
    <t>07/04/2026</t>
  </si>
  <si>
    <t>41857437</t>
  </si>
  <si>
    <t>27/04/2026</t>
  </si>
  <si>
    <t>31498-1</t>
  </si>
  <si>
    <t>13/05/2026</t>
  </si>
  <si>
    <t>41835206</t>
  </si>
  <si>
    <t>30978-1</t>
  </si>
  <si>
    <t>41835207</t>
  </si>
  <si>
    <t>30979-1</t>
  </si>
  <si>
    <t>41835203</t>
  </si>
  <si>
    <t>30977-1</t>
  </si>
  <si>
    <t>41835085</t>
  </si>
  <si>
    <t>30981-1</t>
  </si>
  <si>
    <t>41852249</t>
  </si>
  <si>
    <t>18/04/2026</t>
  </si>
  <si>
    <t>31196-1</t>
  </si>
  <si>
    <t>20/04/2026</t>
  </si>
  <si>
    <t>41852245</t>
  </si>
  <si>
    <t>260000307-26</t>
  </si>
  <si>
    <t>41835204</t>
  </si>
  <si>
    <t>258-26</t>
  </si>
  <si>
    <t>41835205</t>
  </si>
  <si>
    <t>259-26</t>
  </si>
  <si>
    <t>41835202</t>
  </si>
  <si>
    <t>257-26</t>
  </si>
  <si>
    <t>41835084</t>
  </si>
  <si>
    <t>269-26</t>
  </si>
  <si>
    <t>41857435</t>
  </si>
  <si>
    <t>260000368-26</t>
  </si>
  <si>
    <t>41832240</t>
  </si>
  <si>
    <t>41832242</t>
  </si>
  <si>
    <t>41832567</t>
  </si>
  <si>
    <t>260000016-26</t>
  </si>
  <si>
    <t>41832241</t>
  </si>
  <si>
    <t>102-26 | 551-1</t>
  </si>
  <si>
    <t>41832231</t>
  </si>
  <si>
    <t>103-26</t>
  </si>
  <si>
    <t>41856575/41856576</t>
  </si>
  <si>
    <t>108327-1 | 260000296-26</t>
  </si>
  <si>
    <t>06/05/2026 | 06/05/2026</t>
  </si>
  <si>
    <t>41855870/41855872</t>
  </si>
  <si>
    <t>24/04/2026</t>
  </si>
  <si>
    <t>108326-1 | 260000295-26</t>
  </si>
  <si>
    <t>05/05/2026 | 06/05/2026</t>
  </si>
  <si>
    <t>41846309/41846308</t>
  </si>
  <si>
    <t>10/04/2026</t>
  </si>
  <si>
    <t>107891-1 | 260000268-26</t>
  </si>
  <si>
    <t>14/04/2026 | 14/04/2026</t>
  </si>
  <si>
    <t>41846307</t>
  </si>
  <si>
    <t>260000269-26</t>
  </si>
  <si>
    <t>16/04/2026</t>
  </si>
  <si>
    <t>41827681</t>
  </si>
  <si>
    <t>260000463-26 | 4803-1</t>
  </si>
  <si>
    <t>07/04/2026 | 07/04/2026</t>
  </si>
  <si>
    <t>41844315</t>
  </si>
  <si>
    <t>08/04/2026</t>
  </si>
  <si>
    <t>203-1 | 260000097-26</t>
  </si>
  <si>
    <t>08/04/2026 | 08/04/2026</t>
  </si>
  <si>
    <t>41833123</t>
  </si>
  <si>
    <t>196-1 | 260000082-26</t>
  </si>
  <si>
    <t>23/03/2026 | 23/03/2026</t>
  </si>
  <si>
    <t>CC</t>
  </si>
  <si>
    <t>5019946 5019947 5019948 5019949</t>
  </si>
  <si>
    <t>41832978</t>
  </si>
  <si>
    <t>41827680</t>
  </si>
  <si>
    <t>17112-1 | 260000178-26</t>
  </si>
  <si>
    <t>00F700500002</t>
  </si>
  <si>
    <t>41832981</t>
  </si>
  <si>
    <t>12734-1</t>
  </si>
  <si>
    <t>28/04/2026</t>
  </si>
  <si>
    <t>00F700512401</t>
  </si>
  <si>
    <t>41832979</t>
  </si>
  <si>
    <t>138-26</t>
  </si>
  <si>
    <t>17/2026</t>
  </si>
  <si>
    <t>41841773</t>
  </si>
  <si>
    <t>2097-26</t>
  </si>
  <si>
    <t>60/26</t>
  </si>
  <si>
    <t>41846522</t>
  </si>
  <si>
    <t>26-26</t>
  </si>
  <si>
    <t>14/04/2026</t>
  </si>
  <si>
    <t>41846525</t>
  </si>
  <si>
    <t>27-26</t>
  </si>
  <si>
    <t>41844376</t>
  </si>
  <si>
    <t>41845042</t>
  </si>
  <si>
    <t>25-26</t>
  </si>
  <si>
    <t>41848060/41848062</t>
  </si>
  <si>
    <t>1558-26 | 323748-1</t>
  </si>
  <si>
    <t>27/04/2026 | 11/05/2026</t>
  </si>
  <si>
    <t>41831061/41831059</t>
  </si>
  <si>
    <t>1250-26 | 322246-1</t>
  </si>
  <si>
    <t>41843859</t>
  </si>
  <si>
    <t>1476-26</t>
  </si>
  <si>
    <t>41846714/41846716</t>
  </si>
  <si>
    <t>1529-26</t>
  </si>
  <si>
    <t>41843860</t>
  </si>
  <si>
    <t>1475-26</t>
  </si>
  <si>
    <t>41850466</t>
  </si>
  <si>
    <t>9001-1</t>
  </si>
  <si>
    <t>20/04/2026; 23/04/2026; 27/04/2026</t>
  </si>
  <si>
    <t>41850469</t>
  </si>
  <si>
    <t>702-26</t>
  </si>
  <si>
    <t>4120/4649</t>
  </si>
  <si>
    <t>41847645/41847647</t>
  </si>
  <si>
    <t>13/04/2026</t>
  </si>
  <si>
    <t>703-26 | 8991-1</t>
  </si>
  <si>
    <t>17/04/2026 | 17/04/2026</t>
  </si>
  <si>
    <t>41847647</t>
  </si>
  <si>
    <t>8991-1</t>
  </si>
  <si>
    <t>41847646</t>
  </si>
  <si>
    <t>8992-1</t>
  </si>
  <si>
    <t>41847644</t>
  </si>
  <si>
    <t>704-26</t>
  </si>
  <si>
    <t>41844386</t>
  </si>
  <si>
    <t>260000227-26 | 50068-1</t>
  </si>
  <si>
    <t>41844255</t>
  </si>
  <si>
    <t>260000224-26 | 50065-1</t>
  </si>
  <si>
    <t>08/04/2026 | 09/04/2026</t>
  </si>
  <si>
    <t>41845219</t>
  </si>
  <si>
    <t>260000236-26 | 50090-1</t>
  </si>
  <si>
    <t>09/04/2026 | 17/04/2026</t>
  </si>
  <si>
    <t>41843700/41843704/41843708</t>
  </si>
  <si>
    <t>260000223-26 | 50059-1</t>
  </si>
  <si>
    <t>08/04/2026 | 16/04/2026</t>
  </si>
  <si>
    <t>41848066</t>
  </si>
  <si>
    <t>260000243-26 | 50140-1</t>
  </si>
  <si>
    <t>41844256</t>
  </si>
  <si>
    <t>260000225-26 | 50066-1</t>
  </si>
  <si>
    <t>41846281</t>
  </si>
  <si>
    <t>260000238-26 | 50107-1</t>
  </si>
  <si>
    <t>10/04/2026 | 17/04/2026</t>
  </si>
  <si>
    <t>41843580</t>
  </si>
  <si>
    <t>260000221-26 | 50050-1</t>
  </si>
  <si>
    <t>41844257/41844258</t>
  </si>
  <si>
    <t>476-26 | 31920-1</t>
  </si>
  <si>
    <t>15/04/2026 | 23/04/2026</t>
  </si>
  <si>
    <t>41861348</t>
  </si>
  <si>
    <t>05/05/2026</t>
  </si>
  <si>
    <t>06/05/2026</t>
  </si>
  <si>
    <t>41848064</t>
  </si>
  <si>
    <t>260000041-26</t>
  </si>
  <si>
    <t>41846926</t>
  </si>
  <si>
    <t>11/04/2026</t>
  </si>
  <si>
    <t>260000040-26</t>
  </si>
  <si>
    <t>41870400</t>
  </si>
  <si>
    <t>19/05/2026</t>
  </si>
  <si>
    <t>41841771</t>
  </si>
  <si>
    <t>187-26</t>
  </si>
  <si>
    <t>31-26</t>
  </si>
  <si>
    <t>34-26</t>
  </si>
  <si>
    <t>37-26</t>
  </si>
  <si>
    <t>36-26</t>
  </si>
  <si>
    <t>30-26</t>
  </si>
  <si>
    <t>38-26</t>
  </si>
  <si>
    <t>35-26</t>
  </si>
  <si>
    <t>41841792</t>
  </si>
  <si>
    <t>260000079-26</t>
  </si>
  <si>
    <t>41843712</t>
  </si>
  <si>
    <t>41856128/41856129</t>
  </si>
  <si>
    <t>115686-1 | 115687-1 | 260000290-26</t>
  </si>
  <si>
    <t>27/04/2026 | 27/04/2026 | 04/06/2026</t>
  </si>
  <si>
    <t>41843715/41843718</t>
  </si>
  <si>
    <t>115245-1 | 260000220-26</t>
  </si>
  <si>
    <t>41843553/41843554</t>
  </si>
  <si>
    <t>115250-1 | 260000222-26</t>
  </si>
  <si>
    <t>41843578/41843579</t>
  </si>
  <si>
    <t>115249-1 | 260000221-26 | 115247-1</t>
  </si>
  <si>
    <t>08/04/2026 | 08/04/2026 | 24/04/2026</t>
  </si>
  <si>
    <t>41852246</t>
  </si>
  <si>
    <t>31191-1</t>
  </si>
  <si>
    <t>41852220</t>
  </si>
  <si>
    <t>31197-1</t>
  </si>
  <si>
    <t>41852244</t>
  </si>
  <si>
    <t>260000302-26</t>
  </si>
  <si>
    <t>41852219</t>
  </si>
  <si>
    <t>41843721</t>
  </si>
  <si>
    <t>232-1 | 260000002-26</t>
  </si>
  <si>
    <t>15/04/2026 | 15/04/2026</t>
  </si>
  <si>
    <t>41844269</t>
  </si>
  <si>
    <t>231-1 | 260000001-26</t>
  </si>
  <si>
    <t>41843866/41843867</t>
  </si>
  <si>
    <t>260000050-26</t>
  </si>
  <si>
    <t>41845216</t>
  </si>
  <si>
    <t>41841794</t>
  </si>
  <si>
    <t>41844257</t>
  </si>
  <si>
    <t>476-26</t>
  </si>
  <si>
    <t>15/04/2026</t>
  </si>
  <si>
    <t>41841772</t>
  </si>
  <si>
    <t>736123</t>
  </si>
  <si>
    <t>41846303</t>
  </si>
  <si>
    <t>CANCELADO (LOCALIZA VAI PAGAR)</t>
  </si>
  <si>
    <t>41844317</t>
  </si>
  <si>
    <t>260000067-26 | 1464-1</t>
  </si>
  <si>
    <t>41843709</t>
  </si>
  <si>
    <t>1463-1 | 260000066-26</t>
  </si>
  <si>
    <t>41843863</t>
  </si>
  <si>
    <t>1462-1 | 260000065-26</t>
  </si>
  <si>
    <t>134729/83073</t>
  </si>
  <si>
    <t>41847609/41847611</t>
  </si>
  <si>
    <t>260000554-26 | 54621-1</t>
  </si>
  <si>
    <t>41843734</t>
  </si>
  <si>
    <t>17194-1 | 260000257-26</t>
  </si>
  <si>
    <t>00F700491903</t>
  </si>
  <si>
    <t>41844254</t>
  </si>
  <si>
    <t>179-26 | 12642-1</t>
  </si>
  <si>
    <t>10/04/2026 | 14/04/2026</t>
  </si>
  <si>
    <t>41846304</t>
  </si>
  <si>
    <t>41844270</t>
  </si>
  <si>
    <t>28-26</t>
  </si>
  <si>
    <t>41833692</t>
  </si>
  <si>
    <t>21/03/2026</t>
  </si>
  <si>
    <t>29-26</t>
  </si>
  <si>
    <t>41832889</t>
  </si>
  <si>
    <t>260000464-26 | 4802-1</t>
  </si>
  <si>
    <t>41832980</t>
  </si>
  <si>
    <t>51519062 51521058</t>
  </si>
  <si>
    <t>9804010 9804011</t>
  </si>
  <si>
    <t>41833569</t>
  </si>
  <si>
    <t>41833568</t>
  </si>
  <si>
    <t>41843877</t>
  </si>
  <si>
    <t>141755-1 | 260000066-26</t>
  </si>
  <si>
    <t>41843879</t>
  </si>
  <si>
    <t>141756-1 | 260000067-26</t>
  </si>
  <si>
    <t>41843717</t>
  </si>
  <si>
    <t>260000732-26 | 260000733-26 | 260000734-26 | 8289-1 | 8290-1</t>
  </si>
  <si>
    <t>23/04/2026 | 23/04/2026 | 23/04/2026 | 24/04/2026 | 24/04/2026</t>
  </si>
  <si>
    <t>41843881</t>
  </si>
  <si>
    <t>260000731-26 | 8288-1</t>
  </si>
  <si>
    <t>23/04/2026 | 11/05/2026</t>
  </si>
  <si>
    <t>40-26</t>
  </si>
  <si>
    <t>32-26</t>
  </si>
  <si>
    <t>41844259/41844260</t>
  </si>
  <si>
    <t>115260-1 | 115261-1 | 260000224-26</t>
  </si>
  <si>
    <t>08/04/2026; 13/04/2026 | 08/04/2026 | 08/04/2026</t>
  </si>
  <si>
    <t>1880057 1883125</t>
  </si>
  <si>
    <t>9818075 9818077</t>
  </si>
  <si>
    <t>41842964</t>
  </si>
  <si>
    <t>352-26</t>
  </si>
  <si>
    <t>07/04/2026; 10/04/2026; 23/04/2026</t>
  </si>
  <si>
    <t>1880456 1886238</t>
  </si>
  <si>
    <t>9818142 9818169</t>
  </si>
  <si>
    <t>41843719</t>
  </si>
  <si>
    <t>357-26 | 354-26</t>
  </si>
  <si>
    <t>08/04/2026; 20/04/2026 | 14/04/2026</t>
  </si>
  <si>
    <t>41844261/41844262</t>
  </si>
  <si>
    <t>115263-1 | 115264-1 | 260000225-26</t>
  </si>
  <si>
    <t>08/04/2026 | 08/04/2026 | 14/04/2026</t>
  </si>
  <si>
    <t>41841804</t>
  </si>
  <si>
    <t>41843777</t>
  </si>
  <si>
    <t>41845021</t>
  </si>
  <si>
    <t>260000045-26 | 45-1</t>
  </si>
  <si>
    <t>500580100 5005800349 500580074</t>
  </si>
  <si>
    <t>5020190 5020191 5020192</t>
  </si>
  <si>
    <t>41845019</t>
  </si>
  <si>
    <t>260000043-26 | 43-1</t>
  </si>
  <si>
    <t>41845023</t>
  </si>
  <si>
    <t>260000044-26 | 44-1</t>
  </si>
  <si>
    <t>41845022</t>
  </si>
  <si>
    <t>260000046-26 | 46-1</t>
  </si>
  <si>
    <t>41844462</t>
  </si>
  <si>
    <t>260000042-26 | 42-1</t>
  </si>
  <si>
    <t>41844189</t>
  </si>
  <si>
    <t>41852250</t>
  </si>
  <si>
    <t>260000306-26</t>
  </si>
  <si>
    <t>41852253</t>
  </si>
  <si>
    <t>31195-1</t>
  </si>
  <si>
    <t>41852216</t>
  </si>
  <si>
    <t>31192-1</t>
  </si>
  <si>
    <t>41852217</t>
  </si>
  <si>
    <t>260000309-26</t>
  </si>
  <si>
    <t>41852218</t>
  </si>
  <si>
    <t>31198-1</t>
  </si>
  <si>
    <t>41852215</t>
  </si>
  <si>
    <t>260000304-26</t>
  </si>
  <si>
    <t>41849257/41849259</t>
  </si>
  <si>
    <t>260000555-26 | 54622-1</t>
  </si>
  <si>
    <t>15750001 15750002 15750003 15750004</t>
  </si>
  <si>
    <t>41845034</t>
  </si>
  <si>
    <t>51521062 51521063</t>
  </si>
  <si>
    <t>51521058 51521051 51521047</t>
  </si>
  <si>
    <t>41846914</t>
  </si>
  <si>
    <t>53-26</t>
  </si>
  <si>
    <t>41848068</t>
  </si>
  <si>
    <t>56909-1</t>
  </si>
  <si>
    <t>41848067</t>
  </si>
  <si>
    <t>260000873-26</t>
  </si>
  <si>
    <t>16433/154055</t>
  </si>
  <si>
    <t>41847313/41847315</t>
  </si>
  <si>
    <t>260000864-26 | 56899-1</t>
  </si>
  <si>
    <t>14/04/2026 | 17/04/2026</t>
  </si>
  <si>
    <t>41847312</t>
  </si>
  <si>
    <t>260000865-26</t>
  </si>
  <si>
    <t>41847314</t>
  </si>
  <si>
    <t>56898-1</t>
  </si>
  <si>
    <t>41852221</t>
  </si>
  <si>
    <t>260000308-26</t>
  </si>
  <si>
    <t>41845210</t>
  </si>
  <si>
    <t>260000231-26 | 50085-1</t>
  </si>
  <si>
    <t>41845208</t>
  </si>
  <si>
    <t>260000233-26 | 50087-1</t>
  </si>
  <si>
    <t>41845218</t>
  </si>
  <si>
    <t>260000232-26 | 50086-1</t>
  </si>
  <si>
    <t>41845167</t>
  </si>
  <si>
    <t>260000234-26 | 50088-1</t>
  </si>
  <si>
    <t>41845166</t>
  </si>
  <si>
    <t>260000235-26 | 50089-1</t>
  </si>
  <si>
    <t>41844834</t>
  </si>
  <si>
    <t>260000228-26 | 50078-1</t>
  </si>
  <si>
    <t>09/04/2026 | 09/04/2026</t>
  </si>
  <si>
    <t>NPK2G83</t>
  </si>
  <si>
    <t>41861344</t>
  </si>
  <si>
    <t>41845017</t>
  </si>
  <si>
    <t>260000090-26 | 77-1</t>
  </si>
  <si>
    <t>10/04/2026 | 10/04/2026</t>
  </si>
  <si>
    <t>41845018</t>
  </si>
  <si>
    <t>260000089-26 | 76-1</t>
  </si>
  <si>
    <t>09/04/2026 | 10/04/2026</t>
  </si>
  <si>
    <t>41844267</t>
  </si>
  <si>
    <t>260000088-26</t>
  </si>
  <si>
    <t>41844263</t>
  </si>
  <si>
    <t>41844265</t>
  </si>
  <si>
    <t>260000087-26</t>
  </si>
  <si>
    <t>41843707</t>
  </si>
  <si>
    <t>260000084-26</t>
  </si>
  <si>
    <t>41844266</t>
  </si>
  <si>
    <t>260000083-26</t>
  </si>
  <si>
    <t>41854437/41854440</t>
  </si>
  <si>
    <t>23/04/2026</t>
  </si>
  <si>
    <t>223776-1 | 393-26</t>
  </si>
  <si>
    <t>23/04/2026 | 24/04/2026</t>
  </si>
  <si>
    <t>13150026 1880905</t>
  </si>
  <si>
    <t>9818173 9818176</t>
  </si>
  <si>
    <t>41843701</t>
  </si>
  <si>
    <t>354-26 | 357-26</t>
  </si>
  <si>
    <t>08/04/2026; 20/04/2026; 29/04/2026; 04/05/2026 | 14/04/2026</t>
  </si>
  <si>
    <t>41843702</t>
  </si>
  <si>
    <t>355-26 | 356-26</t>
  </si>
  <si>
    <t>41850451</t>
  </si>
  <si>
    <t>260000233-26 | 430-1</t>
  </si>
  <si>
    <t>17/04/2026 | 17/04/2026; 20/04/2026</t>
  </si>
  <si>
    <t>46-26</t>
  </si>
  <si>
    <t>41843779</t>
  </si>
  <si>
    <t>41841779</t>
  </si>
  <si>
    <t>45-26</t>
  </si>
  <si>
    <t>41842960</t>
  </si>
  <si>
    <t>43-26</t>
  </si>
  <si>
    <t>41843731</t>
  </si>
  <si>
    <t>41-26</t>
  </si>
  <si>
    <t>41841780</t>
  </si>
  <si>
    <t>42-26</t>
  </si>
  <si>
    <t>41841778</t>
  </si>
  <si>
    <t>47-26</t>
  </si>
  <si>
    <t>41841791/41841793</t>
  </si>
  <si>
    <t>260000010-26 | 260000011-26</t>
  </si>
  <si>
    <t>06/04/2026 | 06/04/2026</t>
  </si>
  <si>
    <t>41841793</t>
  </si>
  <si>
    <t>39-26</t>
  </si>
  <si>
    <t>41845212</t>
  </si>
  <si>
    <t>233-1 | 260000003-26</t>
  </si>
  <si>
    <t>41843714</t>
  </si>
  <si>
    <t>260000047-26 | 260000048-26 | 260000049-26</t>
  </si>
  <si>
    <t>08/04/2026 | 08/04/2026 | 08/04/2026</t>
  </si>
  <si>
    <t>JEAN TORNICH</t>
  </si>
  <si>
    <t>41847610</t>
  </si>
  <si>
    <t>24906-1 | 431-26</t>
  </si>
  <si>
    <t>41848065</t>
  </si>
  <si>
    <t>1383-1 | 260000206-26</t>
  </si>
  <si>
    <t>41851656</t>
  </si>
  <si>
    <t>51521058 51521057 51521047 51521050</t>
  </si>
  <si>
    <t>00F00516901</t>
  </si>
  <si>
    <t>00F700516901</t>
  </si>
  <si>
    <t>41845220</t>
  </si>
  <si>
    <t>C.C.</t>
  </si>
  <si>
    <t>5020244 5020245 5020246 5020247 5020248</t>
  </si>
  <si>
    <t>41844362</t>
  </si>
  <si>
    <t>41841790</t>
  </si>
  <si>
    <t>41846523</t>
  </si>
  <si>
    <t>260000039-26 | 688-1</t>
  </si>
  <si>
    <t>41853047</t>
  </si>
  <si>
    <t>1615-26</t>
  </si>
  <si>
    <t>41846232</t>
  </si>
  <si>
    <t>1526-26</t>
  </si>
  <si>
    <t>41846282/41846283</t>
  </si>
  <si>
    <t>56900-1 | 260000880-26</t>
  </si>
  <si>
    <t>14/04/2026 | 15/04/2026</t>
  </si>
  <si>
    <t>41848061</t>
  </si>
  <si>
    <t>260000244-26 | 50141-1</t>
  </si>
  <si>
    <t>41847665/41847666</t>
  </si>
  <si>
    <t>260000265-26 | 50226-1</t>
  </si>
  <si>
    <t>41847667</t>
  </si>
  <si>
    <t>260000264-26 | 50225-1</t>
  </si>
  <si>
    <t>41846305/41846306</t>
  </si>
  <si>
    <t>31918-1 | 474-26</t>
  </si>
  <si>
    <t>41846240</t>
  </si>
  <si>
    <t>41845769</t>
  </si>
  <si>
    <t>260000092-26</t>
  </si>
  <si>
    <t>500580100 500580349</t>
  </si>
  <si>
    <t>5020293 5020294</t>
  </si>
  <si>
    <t>41846289</t>
  </si>
  <si>
    <t>366-26</t>
  </si>
  <si>
    <t>14/04/2026; 04/05/2026</t>
  </si>
  <si>
    <t>4152 15426</t>
  </si>
  <si>
    <t>41862246/41862248</t>
  </si>
  <si>
    <t>260000357-26 | 31486-1</t>
  </si>
  <si>
    <t>13/05/2026 | 13/05/2026</t>
  </si>
  <si>
    <t>41857972/41857974</t>
  </si>
  <si>
    <t>260000370-26 | 31495-1</t>
  </si>
  <si>
    <t>15488 4172</t>
  </si>
  <si>
    <t>41861341/41861342</t>
  </si>
  <si>
    <t>260000365-26 | 31501-1</t>
  </si>
  <si>
    <t>41857973/41857976</t>
  </si>
  <si>
    <t>260000364-26 | 31503-1</t>
  </si>
  <si>
    <t>41857431/41857434</t>
  </si>
  <si>
    <t>260000361-26 | 31505-1</t>
  </si>
  <si>
    <t>41858310/41858311</t>
  </si>
  <si>
    <t>260000371-26 | 31493-1</t>
  </si>
  <si>
    <t>4155 15433</t>
  </si>
  <si>
    <t>41862251/41862252</t>
  </si>
  <si>
    <t>260000359-26 | 31487-1</t>
  </si>
  <si>
    <t>4112 15330</t>
  </si>
  <si>
    <t>41861349/41861351</t>
  </si>
  <si>
    <t>260000360-26 | 31502-1</t>
  </si>
  <si>
    <t>41857879/41857882</t>
  </si>
  <si>
    <t>260000369-26 | 31496-1</t>
  </si>
  <si>
    <t>41861351</t>
  </si>
  <si>
    <t>31502-1</t>
  </si>
  <si>
    <t>41855332/41855333</t>
  </si>
  <si>
    <t>260000356-26 | 31485-1</t>
  </si>
  <si>
    <t>4165 15466</t>
  </si>
  <si>
    <t>41860952/41860953</t>
  </si>
  <si>
    <t>04/05/2026</t>
  </si>
  <si>
    <t>260000362-26 | 31506-1</t>
  </si>
  <si>
    <t>41860953</t>
  </si>
  <si>
    <t>31506-1</t>
  </si>
  <si>
    <t>41846268</t>
  </si>
  <si>
    <t>260000052-26</t>
  </si>
  <si>
    <t>41853744</t>
  </si>
  <si>
    <t>41846241</t>
  </si>
  <si>
    <t>14561-26 | 9362-1</t>
  </si>
  <si>
    <t>41853743</t>
  </si>
  <si>
    <t>41856563</t>
  </si>
  <si>
    <t>9415-1 | 14723-26</t>
  </si>
  <si>
    <t>11/05/2026 | 16/06/2026</t>
  </si>
  <si>
    <t>41845997</t>
  </si>
  <si>
    <t>14563-26 | 9364-1</t>
  </si>
  <si>
    <t>41845998</t>
  </si>
  <si>
    <t>14562-26 | 9363-1</t>
  </si>
  <si>
    <t>41845990</t>
  </si>
  <si>
    <t>14569-26</t>
  </si>
  <si>
    <t>9831391</t>
  </si>
  <si>
    <t>979135</t>
  </si>
  <si>
    <t>41914173</t>
  </si>
  <si>
    <t>41855324</t>
  </si>
  <si>
    <t>41849663</t>
  </si>
  <si>
    <t>260000218-26 | 1389-1</t>
  </si>
  <si>
    <t>16/04/2026 | 17/04/2026</t>
  </si>
  <si>
    <t>41854439/41854441</t>
  </si>
  <si>
    <t>576-1 | 134-26</t>
  </si>
  <si>
    <t>24/04/2026 | 07/05/2026</t>
  </si>
  <si>
    <t>51519059 51519055</t>
  </si>
  <si>
    <t>41847653</t>
  </si>
  <si>
    <t>122-26</t>
  </si>
  <si>
    <t>41859167</t>
  </si>
  <si>
    <t>29/04/2026</t>
  </si>
  <si>
    <t>213-1 | 260000123-26</t>
  </si>
  <si>
    <t>05/05/2026 | 05/05/2026</t>
  </si>
  <si>
    <t>41854424</t>
  </si>
  <si>
    <t>2014-26</t>
  </si>
  <si>
    <t>07/05/2026</t>
  </si>
  <si>
    <t>41846310/41846311</t>
  </si>
  <si>
    <t>260000533-26 | 54539-1</t>
  </si>
  <si>
    <t>41846285/41846286</t>
  </si>
  <si>
    <t>260000535-26 | 54542-1</t>
  </si>
  <si>
    <t>27/04/2026 | 08/05/2026</t>
  </si>
  <si>
    <t>41850463</t>
  </si>
  <si>
    <t>444-26 | 60572-1</t>
  </si>
  <si>
    <t>41850440</t>
  </si>
  <si>
    <t>443-26 | 60571-1</t>
  </si>
  <si>
    <t>41854423</t>
  </si>
  <si>
    <t>60829-1 | 498-26</t>
  </si>
  <si>
    <t>04/05/2026 | 06/05/2026</t>
  </si>
  <si>
    <t>41849044</t>
  </si>
  <si>
    <t>9744-1 | 3810-26</t>
  </si>
  <si>
    <t>17/04/2026 | 20/04/2026</t>
  </si>
  <si>
    <t>41854860</t>
  </si>
  <si>
    <t>55-26</t>
  </si>
  <si>
    <t>41856569/41856571</t>
  </si>
  <si>
    <t>1712-26 | 324463-1</t>
  </si>
  <si>
    <t>05/05/2026 | 11/05/2026</t>
  </si>
  <si>
    <t>909974/910279</t>
  </si>
  <si>
    <t>41856565/41856130</t>
  </si>
  <si>
    <t>115681-1</t>
  </si>
  <si>
    <t>12/05/2026</t>
  </si>
  <si>
    <t>41849260/41849261</t>
  </si>
  <si>
    <t>382-26 | 223734-1</t>
  </si>
  <si>
    <t>20/04/2026 | 22/04/2026</t>
  </si>
  <si>
    <t>41860126</t>
  </si>
  <si>
    <t>01/05/2026</t>
  </si>
  <si>
    <t>31504-1</t>
  </si>
  <si>
    <t>41860117</t>
  </si>
  <si>
    <t>31499-1</t>
  </si>
  <si>
    <t>41851962/41851963</t>
  </si>
  <si>
    <t>31193-1 | 260000303-26</t>
  </si>
  <si>
    <t>41848649</t>
  </si>
  <si>
    <t>41854862</t>
  </si>
  <si>
    <t>41853608/41853609</t>
  </si>
  <si>
    <t>2263-1 | 3123-26</t>
  </si>
  <si>
    <t>41848650</t>
  </si>
  <si>
    <t>3142-26</t>
  </si>
  <si>
    <t>18/05/2026</t>
  </si>
  <si>
    <t>41846617</t>
  </si>
  <si>
    <t>260000044-26</t>
  </si>
  <si>
    <t>41854865</t>
  </si>
  <si>
    <t>211-1 | 260000111-26</t>
  </si>
  <si>
    <t>24/04/2026 | 24/04/2026</t>
  </si>
  <si>
    <t>5020385/5020386/5020387/5020388</t>
  </si>
  <si>
    <t>41854867</t>
  </si>
  <si>
    <t>260000032-26</t>
  </si>
  <si>
    <t>41849669</t>
  </si>
  <si>
    <t>41849263</t>
  </si>
  <si>
    <t>19/26</t>
  </si>
  <si>
    <t>41854432</t>
  </si>
  <si>
    <t>2110-26</t>
  </si>
  <si>
    <t>64/26</t>
  </si>
  <si>
    <t>41849256</t>
  </si>
  <si>
    <t>2103-26</t>
  </si>
  <si>
    <t>41849042</t>
  </si>
  <si>
    <t>1556-26</t>
  </si>
  <si>
    <t>41849039</t>
  </si>
  <si>
    <t>1561-26</t>
  </si>
  <si>
    <t>41849038</t>
  </si>
  <si>
    <t>1555-26</t>
  </si>
  <si>
    <t>41849043</t>
  </si>
  <si>
    <t>1557-26</t>
  </si>
  <si>
    <t>1197/1211</t>
  </si>
  <si>
    <t>41848063</t>
  </si>
  <si>
    <t>260000097-26 | 80-1</t>
  </si>
  <si>
    <t>16/04/2026 | 16/04/2026</t>
  </si>
  <si>
    <t>41854584</t>
  </si>
  <si>
    <t>41854859</t>
  </si>
  <si>
    <t>51521087 81521361</t>
  </si>
  <si>
    <t>9830784/9830783</t>
  </si>
  <si>
    <t>41849041</t>
  </si>
  <si>
    <t>16/04/2026; 22/04/2026; 04/05/2026</t>
  </si>
  <si>
    <t>41850093/41850094</t>
  </si>
  <si>
    <t>260000631-26 | 4967-1</t>
  </si>
  <si>
    <t>08/05/2026 | 08/05/2026</t>
  </si>
  <si>
    <t>41849037</t>
  </si>
  <si>
    <t>260000661-26</t>
  </si>
  <si>
    <t>500580088/500580077/500580325</t>
  </si>
  <si>
    <t>5020326/5020327/5020328</t>
  </si>
  <si>
    <t>41850488</t>
  </si>
  <si>
    <t>41849258</t>
  </si>
  <si>
    <t>15770019 15770015</t>
  </si>
  <si>
    <t>9830607/9830608</t>
  </si>
  <si>
    <t>41850449</t>
  </si>
  <si>
    <t>188-26</t>
  </si>
  <si>
    <t>61521011 61521083</t>
  </si>
  <si>
    <t>9834049/9834051</t>
  </si>
  <si>
    <t>41850450</t>
  </si>
  <si>
    <t>623-26</t>
  </si>
  <si>
    <t>41850457</t>
  </si>
  <si>
    <t>260000102-26</t>
  </si>
  <si>
    <t>41857436/41857441</t>
  </si>
  <si>
    <t>115738-1 | 115739-1 | 260000291-26</t>
  </si>
  <si>
    <t>28/04/2026 | 28/04/2026 | 04/06/2026</t>
  </si>
  <si>
    <t>41851222/41851223/41851224</t>
  </si>
  <si>
    <t>115504-1 | 115505-1 | 260000232-26</t>
  </si>
  <si>
    <t>20/04/2026 | 20/04/2026 | 20/04/2026</t>
  </si>
  <si>
    <t>41850452</t>
  </si>
  <si>
    <t>260000264-26 | 17206-1</t>
  </si>
  <si>
    <t>41850478</t>
  </si>
  <si>
    <t>17216-1 | 260000270-26</t>
  </si>
  <si>
    <t>41850475/41850477</t>
  </si>
  <si>
    <t>260000265-26 | 17207-1 | 17208-1</t>
  </si>
  <si>
    <t>16/04/2026 | 17/04/2026 | 17/04/2026</t>
  </si>
  <si>
    <t>41850455</t>
  </si>
  <si>
    <t>17217-1 | 260000271-26</t>
  </si>
  <si>
    <t>41850992</t>
  </si>
  <si>
    <t>17215-1 | 260000269-26</t>
  </si>
  <si>
    <t>41849892</t>
  </si>
  <si>
    <t>17204-1 | 260000262-26</t>
  </si>
  <si>
    <t>41854431/41854433</t>
  </si>
  <si>
    <t>1625-26 | 324216-1</t>
  </si>
  <si>
    <t>41850447/41850442</t>
  </si>
  <si>
    <t>1855-26 | 325850-1</t>
  </si>
  <si>
    <t>19/05/2026 | 04/06/2026</t>
  </si>
  <si>
    <t>41851654/41851657</t>
  </si>
  <si>
    <t>1854-26 | 325858-1</t>
  </si>
  <si>
    <t>41850436</t>
  </si>
  <si>
    <t>1853-26</t>
  </si>
  <si>
    <t>41851699</t>
  </si>
  <si>
    <t>260000259-26 | 50193-1</t>
  </si>
  <si>
    <t>24/04/2026 | 27/04/2026</t>
  </si>
  <si>
    <t>41851646</t>
  </si>
  <si>
    <t>50188-1 | 260000257-26</t>
  </si>
  <si>
    <t>41851648</t>
  </si>
  <si>
    <t>41850439</t>
  </si>
  <si>
    <t>189-26</t>
  </si>
  <si>
    <t>389 131654</t>
  </si>
  <si>
    <t>41869481/41869482/41869483</t>
  </si>
  <si>
    <t>32332-1 | 32333-1 | 260001697-26</t>
  </si>
  <si>
    <t>03/06/2026 | 03/06/2026 | 04/06/2026</t>
  </si>
  <si>
    <t>41857228</t>
  </si>
  <si>
    <t>260001709-26 | 260001710-26 | 260001711-26</t>
  </si>
  <si>
    <t>04/06/2026 | 04/06/2026 | 04/06/2026</t>
  </si>
  <si>
    <t>131287 402</t>
  </si>
  <si>
    <t>9835153 9835032</t>
  </si>
  <si>
    <t>41869416/41869417</t>
  </si>
  <si>
    <t>260001708-26 | 32343-1</t>
  </si>
  <si>
    <t>04/06/2026 | 04/06/2026</t>
  </si>
  <si>
    <t>41851653</t>
  </si>
  <si>
    <t>210-1 | 260000107-26</t>
  </si>
  <si>
    <t>41853168</t>
  </si>
  <si>
    <t>21259-21 | 21260-21 | 19436-26</t>
  </si>
  <si>
    <t>24/04/2026 | 24/04/2026 | 27/04/2026</t>
  </si>
  <si>
    <t>41854875</t>
  </si>
  <si>
    <t>313-26 | 77378-1</t>
  </si>
  <si>
    <t>41851694</t>
  </si>
  <si>
    <t>20/04/2026; 23/04/2026</t>
  </si>
  <si>
    <t>41851631</t>
  </si>
  <si>
    <t>260000048-26</t>
  </si>
  <si>
    <t>41851515</t>
  </si>
  <si>
    <t>260000323-26</t>
  </si>
  <si>
    <t>41851626</t>
  </si>
  <si>
    <t>16714 154727</t>
  </si>
  <si>
    <t>41852256/41852258</t>
  </si>
  <si>
    <t>260000938-26 | 57018-1</t>
  </si>
  <si>
    <t>4185 15540</t>
  </si>
  <si>
    <t>41852213/41852214</t>
  </si>
  <si>
    <t>31194-1 | 260000305-26</t>
  </si>
  <si>
    <t>41852251</t>
  </si>
  <si>
    <t>51-26</t>
  </si>
  <si>
    <t>54-26</t>
  </si>
  <si>
    <t>41851628</t>
  </si>
  <si>
    <t>41852252</t>
  </si>
  <si>
    <t>260000058-26 | 52-1</t>
  </si>
  <si>
    <t>20/04/2026 | 20/04/2026</t>
  </si>
  <si>
    <t>41851627</t>
  </si>
  <si>
    <t>260000054-26 | 260000055-26 | 260000056-26 | 260000057-26</t>
  </si>
  <si>
    <t>17/04/2026 | 17/04/2026 | 17/04/2026 | 17/04/2026</t>
  </si>
  <si>
    <t>9838629/9838631</t>
  </si>
  <si>
    <t>41854422</t>
  </si>
  <si>
    <t>383381-5 | 125102-26</t>
  </si>
  <si>
    <t>41852257</t>
  </si>
  <si>
    <t>41851621/41851623</t>
  </si>
  <si>
    <t>260000572-26 | 54701-1</t>
  </si>
  <si>
    <t>41851522</t>
  </si>
  <si>
    <t>260000571-26</t>
  </si>
  <si>
    <t>41854861</t>
  </si>
  <si>
    <t>260000033-26</t>
  </si>
  <si>
    <t>500580097 500580090 500220</t>
  </si>
  <si>
    <t>5020418 5020419 5020440</t>
  </si>
  <si>
    <t>41851692</t>
  </si>
  <si>
    <t xml:space="preserve">41858529 </t>
  </si>
  <si>
    <t>260000278-26 | 50308-1</t>
  </si>
  <si>
    <t>05/05/2026; 06/05/2026 | 05/05/2026</t>
  </si>
  <si>
    <t xml:space="preserve">41858909 </t>
  </si>
  <si>
    <t>260000282-26 | 50311-1</t>
  </si>
  <si>
    <t>04/05/2026; 06/05/2026 | 04/05/2026</t>
  </si>
  <si>
    <t>914875</t>
  </si>
  <si>
    <t>41854556</t>
  </si>
  <si>
    <t>260000267-26</t>
  </si>
  <si>
    <t>41853749/41853750</t>
  </si>
  <si>
    <t>531-26 | 32010-1</t>
  </si>
  <si>
    <t>100 500580100</t>
  </si>
  <si>
    <t>41854426</t>
  </si>
  <si>
    <t>190-26</t>
  </si>
  <si>
    <t>41854430</t>
  </si>
  <si>
    <t>260000061-26 | 53-1</t>
  </si>
  <si>
    <t>41854425</t>
  </si>
  <si>
    <t>CHARLES NUNES - Ação necessaria</t>
  </si>
  <si>
    <t>41853745</t>
  </si>
  <si>
    <t>206-26</t>
  </si>
  <si>
    <t>15770019-15770018</t>
  </si>
  <si>
    <t>9840306 / 9840307</t>
  </si>
  <si>
    <t>41854428</t>
  </si>
  <si>
    <t>51521063/51521048</t>
  </si>
  <si>
    <t>9840309 / 9840310</t>
  </si>
  <si>
    <t>41856411</t>
  </si>
  <si>
    <t>25/04/2026</t>
  </si>
  <si>
    <t>12737-1 | 12735-1 | 12736-1 | 204-26</t>
  </si>
  <si>
    <t>27/04/2026 | 28/04/2026 | 28/04/2026 | 07/05/2026</t>
  </si>
  <si>
    <t>41854429</t>
  </si>
  <si>
    <t>12702-1 | 209-26</t>
  </si>
  <si>
    <t>23/04/2026 | 07/05/2026</t>
  </si>
  <si>
    <t>41854436</t>
  </si>
  <si>
    <t>208-26 | 12704-1</t>
  </si>
  <si>
    <t>07/05/2026 | 08/05/2026</t>
  </si>
  <si>
    <t>41854086</t>
  </si>
  <si>
    <t>12696-1 | 210-26</t>
  </si>
  <si>
    <t>41857433</t>
  </si>
  <si>
    <t>41856127</t>
  </si>
  <si>
    <t>260000144-26</t>
  </si>
  <si>
    <t>41856403/41856407</t>
  </si>
  <si>
    <t>108324-1 | 260000294-26</t>
  </si>
  <si>
    <t>41856567</t>
  </si>
  <si>
    <t>205-26</t>
  </si>
  <si>
    <t xml:space="preserve">41856122 </t>
  </si>
  <si>
    <t xml:space="preserve">41856106 </t>
  </si>
  <si>
    <t>260000064-26</t>
  </si>
  <si>
    <t>41855323</t>
  </si>
  <si>
    <t>41855867</t>
  </si>
  <si>
    <t>135-1 | 533-26</t>
  </si>
  <si>
    <t xml:space="preserve">41855325 </t>
  </si>
  <si>
    <t>260000630-26 | 4966-1</t>
  </si>
  <si>
    <t>41865260</t>
  </si>
  <si>
    <t>11/05/2026</t>
  </si>
  <si>
    <t>41855334</t>
  </si>
  <si>
    <t>41856119</t>
  </si>
  <si>
    <t>260000035-26</t>
  </si>
  <si>
    <t>41858312</t>
  </si>
  <si>
    <t>41857977</t>
  </si>
  <si>
    <t>41856399</t>
  </si>
  <si>
    <t>260000119-26</t>
  </si>
  <si>
    <t>41861343</t>
  </si>
  <si>
    <t>5020563 5020564 5020565</t>
  </si>
  <si>
    <t xml:space="preserve">41856397 </t>
  </si>
  <si>
    <t>115688-1 | 260000289-26</t>
  </si>
  <si>
    <t>27/04/2026 | 04/06/2026</t>
  </si>
  <si>
    <t>41857978</t>
  </si>
  <si>
    <t>260000252-26 | 453-1</t>
  </si>
  <si>
    <t>41857442</t>
  </si>
  <si>
    <t>260000255-26 | 456-1</t>
  </si>
  <si>
    <t>41856023</t>
  </si>
  <si>
    <t>260000254-26 | 455-1</t>
  </si>
  <si>
    <t>41857225</t>
  </si>
  <si>
    <t>260000253-26 | 454-1</t>
  </si>
  <si>
    <t>15567 4196</t>
  </si>
  <si>
    <t>41862249/41862250</t>
  </si>
  <si>
    <t>260000358-26 | 31491-1</t>
  </si>
  <si>
    <t>4176 15511</t>
  </si>
  <si>
    <t>41861365/41861367</t>
  </si>
  <si>
    <t>260000372-26 | 31490-1</t>
  </si>
  <si>
    <t>41856398</t>
  </si>
  <si>
    <t>41862516</t>
  </si>
  <si>
    <t>9846240 9846268</t>
  </si>
  <si>
    <t>41857975</t>
  </si>
  <si>
    <t>260000118-26</t>
  </si>
  <si>
    <t>41862817</t>
  </si>
  <si>
    <t>14644-26</t>
  </si>
  <si>
    <t>22/05/2026</t>
  </si>
  <si>
    <t>41862819</t>
  </si>
  <si>
    <t>14643-26</t>
  </si>
  <si>
    <t>41859045</t>
  </si>
  <si>
    <t>41859046</t>
  </si>
  <si>
    <t>51519055 51519058 51519059 51519060</t>
  </si>
  <si>
    <t>9847289 9847290 9847292 9847294</t>
  </si>
  <si>
    <t>919847</t>
  </si>
  <si>
    <t>41859346</t>
  </si>
  <si>
    <t>41859044</t>
  </si>
  <si>
    <t>14719-26</t>
  </si>
  <si>
    <t>15/06/2026</t>
  </si>
  <si>
    <t>41859043</t>
  </si>
  <si>
    <t>9492-1 | 14668-26</t>
  </si>
  <si>
    <t>08/06/2026 | 09/06/2026</t>
  </si>
  <si>
    <t>41857979</t>
  </si>
  <si>
    <t>41857817</t>
  </si>
  <si>
    <t>41859188</t>
  </si>
  <si>
    <t>19479-26 | 21331-21</t>
  </si>
  <si>
    <t>11/05/2026 | 11/05/2026</t>
  </si>
  <si>
    <t>41859338</t>
  </si>
  <si>
    <t>41859854</t>
  </si>
  <si>
    <t>30/04/2026</t>
  </si>
  <si>
    <t>260000284-26 | 50313-1</t>
  </si>
  <si>
    <t>04/05/2026 | 04/05/2026</t>
  </si>
  <si>
    <t>238-1 | 260000166-26</t>
  </si>
  <si>
    <t>15/06/2026 | 15/06/2026</t>
  </si>
  <si>
    <t>RASCUNHO</t>
  </si>
  <si>
    <t>41860304</t>
  </si>
  <si>
    <t>246-1 | 260000359-26 | 260000360-26</t>
  </si>
  <si>
    <t>04/05/2026 | 04/05/2026 | 04/05/2026</t>
  </si>
  <si>
    <t>41860311</t>
  </si>
  <si>
    <t>12792-1 | 12793-1 | 12794-1 | 207-26</t>
  </si>
  <si>
    <t>04/05/2026 | 04/05/2026 | 04/05/2026 | 07/05/2026</t>
  </si>
  <si>
    <t>41860308</t>
  </si>
  <si>
    <t>260000050-26 | 47-1</t>
  </si>
  <si>
    <t>4134 15380</t>
  </si>
  <si>
    <t>41860293/41860294</t>
  </si>
  <si>
    <t>260000366-26 | 31500-1</t>
  </si>
  <si>
    <t>4149 15413</t>
  </si>
  <si>
    <t>41860116 41860117</t>
  </si>
  <si>
    <t>260000367-26 | 31499-1</t>
  </si>
  <si>
    <t>4178 15416</t>
  </si>
  <si>
    <t>41860125 41860126</t>
  </si>
  <si>
    <t>260000363-26 | 31504-1</t>
  </si>
  <si>
    <t>4166 15469</t>
  </si>
  <si>
    <t>41860114 41860115</t>
  </si>
  <si>
    <t>62 26</t>
  </si>
  <si>
    <t>41860288</t>
  </si>
  <si>
    <t>63 26</t>
  </si>
  <si>
    <t>41860289</t>
  </si>
  <si>
    <t xml:space="preserve">60 26 </t>
  </si>
  <si>
    <t>41860290</t>
  </si>
  <si>
    <t>260000023-26</t>
  </si>
  <si>
    <t>61 26</t>
  </si>
  <si>
    <t>41860296</t>
  </si>
  <si>
    <t>260000024-26</t>
  </si>
  <si>
    <t>64 26</t>
  </si>
  <si>
    <t>41860297</t>
  </si>
  <si>
    <t>65 26</t>
  </si>
  <si>
    <t>41860298</t>
  </si>
  <si>
    <t>57 26</t>
  </si>
  <si>
    <t>41860299</t>
  </si>
  <si>
    <t>50058096 97 220</t>
  </si>
  <si>
    <t>25 26</t>
  </si>
  <si>
    <t xml:space="preserve">5020516 17 18 </t>
  </si>
  <si>
    <t>41860300</t>
  </si>
  <si>
    <t>21 26</t>
  </si>
  <si>
    <t>41860285</t>
  </si>
  <si>
    <t>20 26</t>
  </si>
  <si>
    <t>41860286</t>
  </si>
  <si>
    <t>26 26</t>
  </si>
  <si>
    <t>41860287</t>
  </si>
  <si>
    <t>22 26</t>
  </si>
  <si>
    <t>921270</t>
  </si>
  <si>
    <t>41860214</t>
  </si>
  <si>
    <t>02/05/2026</t>
  </si>
  <si>
    <t>59 26</t>
  </si>
  <si>
    <t>41860301</t>
  </si>
  <si>
    <t xml:space="preserve">41862815 </t>
  </si>
  <si>
    <t>260000302-26 | 50362-1</t>
  </si>
  <si>
    <t>07/05/2026 | 07/05/2026</t>
  </si>
  <si>
    <t xml:space="preserve">41862813 </t>
  </si>
  <si>
    <t>260000303-26 | 50363-1</t>
  </si>
  <si>
    <t xml:space="preserve">41861378 </t>
  </si>
  <si>
    <t>260000293-26 | 50338-1</t>
  </si>
  <si>
    <t>06/05/2026 | 11/05/2026</t>
  </si>
  <si>
    <t xml:space="preserve">41860212 </t>
  </si>
  <si>
    <t>260000286-26 | 50316-1</t>
  </si>
  <si>
    <t>04/05/2026 | 05/05/2026</t>
  </si>
  <si>
    <t xml:space="preserve">41860213 </t>
  </si>
  <si>
    <t>260000287-26 | 50317-1</t>
  </si>
  <si>
    <t>04/05/2026 | 04/05/2026; 05/05/2026</t>
  </si>
  <si>
    <t xml:space="preserve">41861616 </t>
  </si>
  <si>
    <t>260000637-26 | 4969-1</t>
  </si>
  <si>
    <t>12/05/2026; 13/05/2026 | 12/05/2026; 14/05/2026</t>
  </si>
  <si>
    <t>00F700532800</t>
  </si>
  <si>
    <t>41860309</t>
  </si>
  <si>
    <t>12791-1 | 12817-1 | 212-26</t>
  </si>
  <si>
    <t>04/05/2026; 19/05/2026 | 06/05/2026 | 13/05/2026</t>
  </si>
  <si>
    <t>9882067</t>
  </si>
  <si>
    <t>951833</t>
  </si>
  <si>
    <t>41907144</t>
  </si>
  <si>
    <t>41861615</t>
  </si>
  <si>
    <t>4064-26</t>
  </si>
  <si>
    <t>41865262</t>
  </si>
  <si>
    <t>155390 17000</t>
  </si>
  <si>
    <t>41864158/41864160</t>
  </si>
  <si>
    <t>08/05/2026</t>
  </si>
  <si>
    <t>260001104-26 | 57348-1</t>
  </si>
  <si>
    <t>12/05/2026 | 12/05/2026</t>
  </si>
  <si>
    <t>41863027</t>
  </si>
  <si>
    <t>508-26 | 60892-1</t>
  </si>
  <si>
    <t>41863039</t>
  </si>
  <si>
    <t>541-26</t>
  </si>
  <si>
    <t>41865258</t>
  </si>
  <si>
    <t>260000053-26 | 49-1 | 50-1</t>
  </si>
  <si>
    <t>18/05/2026 | 18/05/2026 | 18/05/2026</t>
  </si>
  <si>
    <t>41865257</t>
  </si>
  <si>
    <t>260000054-26 | 48-1</t>
  </si>
  <si>
    <t>18/05/2026 | 18/05/2026</t>
  </si>
  <si>
    <t>41863029</t>
  </si>
  <si>
    <t>41863028</t>
  </si>
  <si>
    <t>260000051-26</t>
  </si>
  <si>
    <t>41866159</t>
  </si>
  <si>
    <t>260000277-26 | 473-1</t>
  </si>
  <si>
    <t>41866165</t>
  </si>
  <si>
    <t>260000280-26 | 476-1</t>
  </si>
  <si>
    <t>41866166</t>
  </si>
  <si>
    <t>260000278-26 | 474-1</t>
  </si>
  <si>
    <t>41866160</t>
  </si>
  <si>
    <t>260000279-26 | 475-1</t>
  </si>
  <si>
    <t>41866164</t>
  </si>
  <si>
    <t>260000281-26 | 477-1</t>
  </si>
  <si>
    <t>41867231</t>
  </si>
  <si>
    <t>14/05/2026</t>
  </si>
  <si>
    <t>41863014</t>
  </si>
  <si>
    <t>260000313-26</t>
  </si>
  <si>
    <t>41865261</t>
  </si>
  <si>
    <t>41863660</t>
  </si>
  <si>
    <t xml:space="preserve">41863661 </t>
  </si>
  <si>
    <t>260000347-26 | 26214-1</t>
  </si>
  <si>
    <t>14/05/2026 | 14/05/2026</t>
  </si>
  <si>
    <t xml:space="preserve">41885012 </t>
  </si>
  <si>
    <t>287-1 | 260000448-26</t>
  </si>
  <si>
    <t>10/06/2026 | 11/06/2026</t>
  </si>
  <si>
    <t>500580220 50058074</t>
  </si>
  <si>
    <t>9855519 640 644</t>
  </si>
  <si>
    <t>41863664</t>
  </si>
  <si>
    <t>02/06/2026</t>
  </si>
  <si>
    <t>41863035</t>
  </si>
  <si>
    <t>41863034</t>
  </si>
  <si>
    <t>00F700526902</t>
  </si>
  <si>
    <t>41862912</t>
  </si>
  <si>
    <t>12818-1 | 216-26</t>
  </si>
  <si>
    <t>07/05/2026 | 22/05/2026</t>
  </si>
  <si>
    <t>41863274</t>
  </si>
  <si>
    <t>317-1 | 362-26</t>
  </si>
  <si>
    <t>19/05/2026 | 19/05/2026</t>
  </si>
  <si>
    <t>41864154</t>
  </si>
  <si>
    <t>04/06/2026</t>
  </si>
  <si>
    <t>41864156</t>
  </si>
  <si>
    <t>41865873</t>
  </si>
  <si>
    <t xml:space="preserve">41867375 </t>
  </si>
  <si>
    <t>260000253-26 | 1423-1</t>
  </si>
  <si>
    <t>14/05/2026 | 15/05/2026</t>
  </si>
  <si>
    <t>41878505</t>
  </si>
  <si>
    <t>29/05/2026</t>
  </si>
  <si>
    <t>5868-3 | 208-26</t>
  </si>
  <si>
    <t>09/06/2026 | 10/06/2026</t>
  </si>
  <si>
    <t>41866168/41866169</t>
  </si>
  <si>
    <t>32199-1 | 666-26</t>
  </si>
  <si>
    <t>41867585</t>
  </si>
  <si>
    <t>260001019-26</t>
  </si>
  <si>
    <t>10/06/2026</t>
  </si>
  <si>
    <t>60-26</t>
  </si>
  <si>
    <t>41870656</t>
  </si>
  <si>
    <t>194-26</t>
  </si>
  <si>
    <t>65-26</t>
  </si>
  <si>
    <t>41867002</t>
  </si>
  <si>
    <t>192-26</t>
  </si>
  <si>
    <t>41867003</t>
  </si>
  <si>
    <t>193-26</t>
  </si>
  <si>
    <t>62-26</t>
  </si>
  <si>
    <t>64-26</t>
  </si>
  <si>
    <t>66-26</t>
  </si>
  <si>
    <t>56-26</t>
  </si>
  <si>
    <t>41866167</t>
  </si>
  <si>
    <t>191-26</t>
  </si>
  <si>
    <t>58-26</t>
  </si>
  <si>
    <t>57-26</t>
  </si>
  <si>
    <t>59-26</t>
  </si>
  <si>
    <t>52-26</t>
  </si>
  <si>
    <t>41870652</t>
  </si>
  <si>
    <t>23 04 2026</t>
  </si>
  <si>
    <t>RODRIGO OLIVEIRA</t>
  </si>
  <si>
    <r>
      <t xml:space="preserve">9860052 </t>
    </r>
    <r>
      <rPr>
        <b/>
        <sz val="11"/>
        <color rgb="FF00B050"/>
        <rFont val="Calibri"/>
        <family val="2"/>
      </rPr>
      <t>9860581</t>
    </r>
  </si>
  <si>
    <t>41866887</t>
  </si>
  <si>
    <t xml:space="preserve">928987 </t>
  </si>
  <si>
    <t>41867445</t>
  </si>
  <si>
    <t>260000925-26</t>
  </si>
  <si>
    <t>4218 15615</t>
  </si>
  <si>
    <t>9859666 619</t>
  </si>
  <si>
    <t>41865791/41865792</t>
  </si>
  <si>
    <t>31556-1 | 260000385-26</t>
  </si>
  <si>
    <t>15/05/2026 | 18/05/2026</t>
  </si>
  <si>
    <t>41866944</t>
  </si>
  <si>
    <t>482-26</t>
  </si>
  <si>
    <t xml:space="preserve">41867001 </t>
  </si>
  <si>
    <t>260000068-26 | 57-1</t>
  </si>
  <si>
    <t>41867004</t>
  </si>
  <si>
    <t>260000066-26</t>
  </si>
  <si>
    <t>KAIQUE SANTOS</t>
  </si>
  <si>
    <t>41870453</t>
  </si>
  <si>
    <t>41876280</t>
  </si>
  <si>
    <t>27/05/2026</t>
  </si>
  <si>
    <t>590-1 | 146-26</t>
  </si>
  <si>
    <t>27/05/2026 | 01/06/2026</t>
  </si>
  <si>
    <t>41870464/41870467</t>
  </si>
  <si>
    <t>140-26 | 587-1</t>
  </si>
  <si>
    <t>41869622</t>
  </si>
  <si>
    <t>138-26 | 139-26 | 586-1</t>
  </si>
  <si>
    <t xml:space="preserve">931025 </t>
  </si>
  <si>
    <t>41869634/41869636</t>
  </si>
  <si>
    <t>260000072-26 | 260000073-26</t>
  </si>
  <si>
    <t>22.06.2026</t>
  </si>
  <si>
    <t>33B4AF91</t>
  </si>
  <si>
    <t>41866998</t>
  </si>
  <si>
    <t xml:space="preserve">41869637 </t>
  </si>
  <si>
    <t>260-1 | 260000395-26 | 260000396-26</t>
  </si>
  <si>
    <t>18/05/2026; 19/05/2026; 21/05/2026; 22/05/2026 | 18/05/2026 | 18/05/2026</t>
  </si>
  <si>
    <t>9859947/9859949</t>
  </si>
  <si>
    <t>41867228/41867230</t>
  </si>
  <si>
    <t>260000666-26 | 55038-1</t>
  </si>
  <si>
    <t>9859942/9859945</t>
  </si>
  <si>
    <t>41867587/41867586</t>
  </si>
  <si>
    <t>55077-1 | 260000687-26</t>
  </si>
  <si>
    <t>41967135/41867136</t>
  </si>
  <si>
    <t>55030-1</t>
  </si>
  <si>
    <t>41866371</t>
  </si>
  <si>
    <t>5173121 51521071</t>
  </si>
  <si>
    <t>9859504 9859500</t>
  </si>
  <si>
    <t>1173022 23 061 11530002</t>
  </si>
  <si>
    <t xml:space="preserve">9859489 93 96 99 </t>
  </si>
  <si>
    <t>31521045 31521026</t>
  </si>
  <si>
    <t>9859572 9859573</t>
  </si>
  <si>
    <t>41867845</t>
  </si>
  <si>
    <t>41868838</t>
  </si>
  <si>
    <t>15/05/2026</t>
  </si>
  <si>
    <t>1819-26 | 1820-26</t>
  </si>
  <si>
    <t>942613</t>
  </si>
  <si>
    <t>41880276</t>
  </si>
  <si>
    <t>03/06/2026</t>
  </si>
  <si>
    <t>50652-1 | 260000361-26</t>
  </si>
  <si>
    <t>03/06/2026 | 04/06/2026</t>
  </si>
  <si>
    <t>941962</t>
  </si>
  <si>
    <t>41880282</t>
  </si>
  <si>
    <t>260000362-26 | 50653-1</t>
  </si>
  <si>
    <t>941972</t>
  </si>
  <si>
    <t>41880285</t>
  </si>
  <si>
    <t>50654-1 | 260000363-26</t>
  </si>
  <si>
    <t>41878480</t>
  </si>
  <si>
    <t>260000333-26 | 50591-1</t>
  </si>
  <si>
    <t>02/06/2026 | 02/06/2026</t>
  </si>
  <si>
    <t>41878476</t>
  </si>
  <si>
    <t>260000334-26 | 50592-1</t>
  </si>
  <si>
    <t>01/06/2026 | 01/06/2026</t>
  </si>
  <si>
    <t>942370</t>
  </si>
  <si>
    <t>41879988</t>
  </si>
  <si>
    <t>50646-1 | 260000358-26</t>
  </si>
  <si>
    <t>940644</t>
  </si>
  <si>
    <t>41878460</t>
  </si>
  <si>
    <t>260000336-26 | 50593-1</t>
  </si>
  <si>
    <t>41878116</t>
  </si>
  <si>
    <t>260000342-26 | 50602-1</t>
  </si>
  <si>
    <t>41878458</t>
  </si>
  <si>
    <t>260000335-26</t>
  </si>
  <si>
    <t>01/06/2026</t>
  </si>
  <si>
    <t>41872964</t>
  </si>
  <si>
    <t>21/05/2026</t>
  </si>
  <si>
    <t>260000163-26</t>
  </si>
  <si>
    <t>41872968</t>
  </si>
  <si>
    <t>260000165-26</t>
  </si>
  <si>
    <t>41868009</t>
  </si>
  <si>
    <t>260000775-26 | 5092-1</t>
  </si>
  <si>
    <t>41868690</t>
  </si>
  <si>
    <t>260000368-26 | 26301-1</t>
  </si>
  <si>
    <t>21/05/2026 | 21/05/2026</t>
  </si>
  <si>
    <t>41870451</t>
  </si>
  <si>
    <t>392-26 | 78476-1</t>
  </si>
  <si>
    <t>22/06/2026 | 22/06/2026</t>
  </si>
  <si>
    <t>41868058</t>
  </si>
  <si>
    <t>17288-1 | 260000334-26</t>
  </si>
  <si>
    <t>939184</t>
  </si>
  <si>
    <t>41894189</t>
  </si>
  <si>
    <t>50859-1</t>
  </si>
  <si>
    <t>23/06/2026</t>
  </si>
  <si>
    <t>41869010</t>
  </si>
  <si>
    <t>41870655</t>
  </si>
  <si>
    <t>16/06/2026</t>
  </si>
  <si>
    <t xml:space="preserve">41868847 </t>
  </si>
  <si>
    <t>1825-26 | 1826-26 | 1827-26 | 1828-26 | 1829-26 | 1852-26</t>
  </si>
  <si>
    <t>19/05/2026 | 19/05/2026 | 19/05/2026 | 19/05/2026 | 19/05/2026 | 19/05/2026</t>
  </si>
  <si>
    <t>41871634/41871635</t>
  </si>
  <si>
    <t>20/05/2026</t>
  </si>
  <si>
    <t>1902-26 | 1919-26</t>
  </si>
  <si>
    <t>41868727</t>
  </si>
  <si>
    <t>1812-26 | 1813-26 | 1814-26 | 1815-26 | 1816-26 | 1817-26 | 1818-26</t>
  </si>
  <si>
    <t>18/05/2026 | 18/05/2026 | 18/05/2026 | 18/05/2026 | 18/05/2026 | 18/05/2026 | 18/05/2026</t>
  </si>
  <si>
    <t>41868846</t>
  </si>
  <si>
    <t>1821-26 | 1822-26 | 1823-26 | 1824-26</t>
  </si>
  <si>
    <t>18/05/2026 | 18/05/2026 | 18/05/2026 | 18/05/2026</t>
  </si>
  <si>
    <t>500580100 349</t>
  </si>
  <si>
    <t>5020720 5020721</t>
  </si>
  <si>
    <t>41870653</t>
  </si>
  <si>
    <t>465-26</t>
  </si>
  <si>
    <t>41878285</t>
  </si>
  <si>
    <t>397-26</t>
  </si>
  <si>
    <t>41868779/41868780</t>
  </si>
  <si>
    <t>260000695-26 | 55096-1</t>
  </si>
  <si>
    <t>41868845</t>
  </si>
  <si>
    <t>41868839</t>
  </si>
  <si>
    <t>41874454</t>
  </si>
  <si>
    <t>25/05/2026</t>
  </si>
  <si>
    <t xml:space="preserve">941938 </t>
  </si>
  <si>
    <t>41880278</t>
  </si>
  <si>
    <t>1446-1 | 260000270-26</t>
  </si>
  <si>
    <t>03/06/2026 | 03/06/2026</t>
  </si>
  <si>
    <t xml:space="preserve">41875268 </t>
  </si>
  <si>
    <t>26/05/2026</t>
  </si>
  <si>
    <t>12298-1</t>
  </si>
  <si>
    <t>27/05/2026; 29/05/2026</t>
  </si>
  <si>
    <t>942478</t>
  </si>
  <si>
    <t>41880306</t>
  </si>
  <si>
    <t>03.06.2026</t>
  </si>
  <si>
    <t>4228/15637</t>
  </si>
  <si>
    <t>9865297/9865296</t>
  </si>
  <si>
    <t>939126</t>
  </si>
  <si>
    <t>41877286/41877287</t>
  </si>
  <si>
    <t>260000437-26 | 31830-1</t>
  </si>
  <si>
    <t>04/06/2026 | 08/06/2026</t>
  </si>
  <si>
    <t>934072</t>
  </si>
  <si>
    <t>41875261</t>
  </si>
  <si>
    <t>26545-1 | 260000421-26</t>
  </si>
  <si>
    <t>500580220 090</t>
  </si>
  <si>
    <t>27 26</t>
  </si>
  <si>
    <t>5020865/5020868</t>
  </si>
  <si>
    <t>943447</t>
  </si>
  <si>
    <t>41882121</t>
  </si>
  <si>
    <t>09/06/2026</t>
  </si>
  <si>
    <t>29 26</t>
  </si>
  <si>
    <t>9867391</t>
  </si>
  <si>
    <t>28 26</t>
  </si>
  <si>
    <t>9867393</t>
  </si>
  <si>
    <t>30 26</t>
  </si>
  <si>
    <t>9867387</t>
  </si>
  <si>
    <t>41872966</t>
  </si>
  <si>
    <t>260000164-26</t>
  </si>
  <si>
    <t>41872963</t>
  </si>
  <si>
    <t>260000159-26</t>
  </si>
  <si>
    <t>41872957</t>
  </si>
  <si>
    <t>41872970</t>
  </si>
  <si>
    <t>4237 15662</t>
  </si>
  <si>
    <t>41875066/41875067</t>
  </si>
  <si>
    <t>31833-1 | 260000440-26</t>
  </si>
  <si>
    <t>69-26</t>
  </si>
  <si>
    <t>41872962</t>
  </si>
  <si>
    <t>70-26</t>
  </si>
  <si>
    <t>71-26</t>
  </si>
  <si>
    <t>72-26</t>
  </si>
  <si>
    <t xml:space="preserve">GISELLE SANTOS </t>
  </si>
  <si>
    <t>41875262</t>
  </si>
  <si>
    <t>260000073-26</t>
  </si>
  <si>
    <t>41871641</t>
  </si>
  <si>
    <t>GREGUNI BARBOSA</t>
  </si>
  <si>
    <t xml:space="preserve">945357 </t>
  </si>
  <si>
    <t xml:space="preserve">41884998 </t>
  </si>
  <si>
    <t>260000074-26</t>
  </si>
  <si>
    <t>500580346 072 071</t>
  </si>
  <si>
    <t>00F700512305</t>
  </si>
  <si>
    <t>5020873 5020874 5020875</t>
  </si>
  <si>
    <t>41875317</t>
  </si>
  <si>
    <t>230-26</t>
  </si>
  <si>
    <t>41875470</t>
  </si>
  <si>
    <t>938391</t>
  </si>
  <si>
    <t>41896474</t>
  </si>
  <si>
    <t>41875257/41875259</t>
  </si>
  <si>
    <t>1982-26 | 326355-1</t>
  </si>
  <si>
    <t>01/06/2026 | 05/06/2026</t>
  </si>
  <si>
    <t>41875263/41875264</t>
  </si>
  <si>
    <t>1981-26 | 326356-1</t>
  </si>
  <si>
    <t>41875266/41875267</t>
  </si>
  <si>
    <t>1980-26 | 326357-1</t>
  </si>
  <si>
    <t>04/06/2026 | 05/06/2026</t>
  </si>
  <si>
    <t>937221</t>
  </si>
  <si>
    <t>41885750</t>
  </si>
  <si>
    <t>260000455-26 | 288-1</t>
  </si>
  <si>
    <t>11/06/2026 | 11/06/2026</t>
  </si>
  <si>
    <t>41874714</t>
  </si>
  <si>
    <t>344-26 | 4479-1</t>
  </si>
  <si>
    <t>10/06/2026 | 10/06/2026</t>
  </si>
  <si>
    <t>41874717</t>
  </si>
  <si>
    <t>343-26 | 4480-1</t>
  </si>
  <si>
    <t>41875260</t>
  </si>
  <si>
    <t>339-26 | 4484-1</t>
  </si>
  <si>
    <t>41875265</t>
  </si>
  <si>
    <t>345-26 | 4485-1</t>
  </si>
  <si>
    <t>41874485</t>
  </si>
  <si>
    <t>342-26 | 4481-1</t>
  </si>
  <si>
    <t>41874452</t>
  </si>
  <si>
    <t>341-26 | 4482-1</t>
  </si>
  <si>
    <t>41874453</t>
  </si>
  <si>
    <t>340-26 | 4483-1</t>
  </si>
  <si>
    <t>933880</t>
  </si>
  <si>
    <t>41872505</t>
  </si>
  <si>
    <t>260000065-26</t>
  </si>
  <si>
    <t>09.06.2026</t>
  </si>
  <si>
    <t>9868036</t>
  </si>
  <si>
    <t>933279</t>
  </si>
  <si>
    <t>41884258</t>
  </si>
  <si>
    <t>260000441-26 | 284-1</t>
  </si>
  <si>
    <t>955335</t>
  </si>
  <si>
    <t>41891948</t>
  </si>
  <si>
    <t>260000080-26</t>
  </si>
  <si>
    <t>936107</t>
  </si>
  <si>
    <t>41874151</t>
  </si>
  <si>
    <t>260000071-26</t>
  </si>
  <si>
    <t>01.06.2026</t>
  </si>
  <si>
    <t>4252 15692</t>
  </si>
  <si>
    <t>41875405/41875406</t>
  </si>
  <si>
    <t>260000445-26 | 31861-1</t>
  </si>
  <si>
    <t>4250/15590</t>
  </si>
  <si>
    <t>9869847/9869849</t>
  </si>
  <si>
    <t>936762</t>
  </si>
  <si>
    <t>28/05/2026</t>
  </si>
  <si>
    <t>9869859</t>
  </si>
  <si>
    <t>939145</t>
  </si>
  <si>
    <t>41877575</t>
  </si>
  <si>
    <t>595-1 | 148-26</t>
  </si>
  <si>
    <t>41873858</t>
  </si>
  <si>
    <t>108771-1 | 260000325-26</t>
  </si>
  <si>
    <t>25/05/2026 | 26/05/2026</t>
  </si>
  <si>
    <t>963737</t>
  </si>
  <si>
    <t>41900765/41900764</t>
  </si>
  <si>
    <t>260000921-26</t>
  </si>
  <si>
    <t>03.07.2026</t>
  </si>
  <si>
    <t>500580069 070</t>
  </si>
  <si>
    <t>936130</t>
  </si>
  <si>
    <t xml:space="preserve">41874295 </t>
  </si>
  <si>
    <t>00F700526903</t>
  </si>
  <si>
    <t>41874715</t>
  </si>
  <si>
    <t>12914-1 | 12915-1 | 231-26</t>
  </si>
  <si>
    <t>25/05/2026 | 25/05/2026 | 04/06/2026</t>
  </si>
  <si>
    <t>00F700537001</t>
  </si>
  <si>
    <t>41874710</t>
  </si>
  <si>
    <t>12913-1 | 232-26</t>
  </si>
  <si>
    <t>25/05/2026 | 04/06/2026</t>
  </si>
  <si>
    <t>00F00539801</t>
  </si>
  <si>
    <t>41874712</t>
  </si>
  <si>
    <t>12912-1 | 235-26</t>
  </si>
  <si>
    <t>25/05/2026 | 10/06/2026</t>
  </si>
  <si>
    <t>10336/52736</t>
  </si>
  <si>
    <t>9869845</t>
  </si>
  <si>
    <t>951868</t>
  </si>
  <si>
    <t>41895126/41895125</t>
  </si>
  <si>
    <t>9871460</t>
  </si>
  <si>
    <t>938847</t>
  </si>
  <si>
    <t>41877240</t>
  </si>
  <si>
    <t>260000269-26 | 1445-1</t>
  </si>
  <si>
    <t>01/06/2026 | 02/06/2026</t>
  </si>
  <si>
    <t>9871438</t>
  </si>
  <si>
    <t>939121</t>
  </si>
  <si>
    <t>41877377</t>
  </si>
  <si>
    <t>538-26 | 25224-1</t>
  </si>
  <si>
    <t>4251/15628</t>
  </si>
  <si>
    <t>938737 </t>
  </si>
  <si>
    <t>41906770/41906771</t>
  </si>
  <si>
    <t>500580088 0346 072 071 081 0264 0222 0100 0349 0433</t>
  </si>
  <si>
    <t>5021027/5021028/5021029/5021030/5021031/5021032/5021033/5021034/5021035/5021036</t>
  </si>
  <si>
    <t>940721</t>
  </si>
  <si>
    <t xml:space="preserve">41878614 </t>
  </si>
  <si>
    <t>942611</t>
  </si>
  <si>
    <t>41880299</t>
  </si>
  <si>
    <t>2198-26</t>
  </si>
  <si>
    <t>18/06/2026</t>
  </si>
  <si>
    <t>9873335</t>
  </si>
  <si>
    <t>942784</t>
  </si>
  <si>
    <t>41881592</t>
  </si>
  <si>
    <t>2027-26</t>
  </si>
  <si>
    <t>9873406</t>
  </si>
  <si>
    <t>946193</t>
  </si>
  <si>
    <t>260000385-26 | 50717-1</t>
  </si>
  <si>
    <t>9873744</t>
  </si>
  <si>
    <t>939726</t>
  </si>
  <si>
    <t>41877891</t>
  </si>
  <si>
    <t>196-26</t>
  </si>
  <si>
    <t>9873741</t>
  </si>
  <si>
    <t>9873747</t>
  </si>
  <si>
    <t>9873746</t>
  </si>
  <si>
    <t>9873411</t>
  </si>
  <si>
    <t>942830</t>
  </si>
  <si>
    <t>9873199</t>
  </si>
  <si>
    <t>940271</t>
  </si>
  <si>
    <t>41878192</t>
  </si>
  <si>
    <t>260000057-26</t>
  </si>
  <si>
    <t>5020999</t>
  </si>
  <si>
    <t>939959</t>
  </si>
  <si>
    <t>41877893</t>
  </si>
  <si>
    <t>260000058-26</t>
  </si>
  <si>
    <t>9873210</t>
  </si>
  <si>
    <t>9873211</t>
  </si>
  <si>
    <t>9873255</t>
  </si>
  <si>
    <t>940239</t>
  </si>
  <si>
    <t>41877887</t>
  </si>
  <si>
    <t>260000056-26</t>
  </si>
  <si>
    <t>9873353</t>
  </si>
  <si>
    <t>9873748</t>
  </si>
  <si>
    <t>9873348</t>
  </si>
  <si>
    <t>9873352</t>
  </si>
  <si>
    <t>9873249</t>
  </si>
  <si>
    <t>9873339</t>
  </si>
  <si>
    <t>9873613</t>
  </si>
  <si>
    <t>947654</t>
  </si>
  <si>
    <t>260000326-26 | 528-1</t>
  </si>
  <si>
    <t>16/06/2026 | 16/06/2026</t>
  </si>
  <si>
    <t>9873541</t>
  </si>
  <si>
    <t>947589</t>
  </si>
  <si>
    <t>260000299-26 | 503-1</t>
  </si>
  <si>
    <t>15/06/2026 | 18/06/2026</t>
  </si>
  <si>
    <t>9873616</t>
  </si>
  <si>
    <t>947640</t>
  </si>
  <si>
    <t>260000327-26 | 529-1</t>
  </si>
  <si>
    <t>9873615</t>
  </si>
  <si>
    <t>947701</t>
  </si>
  <si>
    <t>260000301-26 | 505-1</t>
  </si>
  <si>
    <t>9879790</t>
  </si>
  <si>
    <t>947653</t>
  </si>
  <si>
    <t>260000313-26 | 519-1</t>
  </si>
  <si>
    <t>15/06/2026 | 16/06/2026</t>
  </si>
  <si>
    <t>4264/15714</t>
  </si>
  <si>
    <t>9873195</t>
  </si>
  <si>
    <t>936452</t>
  </si>
  <si>
    <t>41880010/41880011</t>
  </si>
  <si>
    <t>260000443-26 | 31847-1</t>
  </si>
  <si>
    <t>04/06/2026 | 04/06/2026; 09/06/2026</t>
  </si>
  <si>
    <t>15703/4256</t>
  </si>
  <si>
    <t>9873197</t>
  </si>
  <si>
    <t>944188</t>
  </si>
  <si>
    <t>41881590/41881591</t>
  </si>
  <si>
    <t>260000453-26 | 31916-1</t>
  </si>
  <si>
    <t>15682/4244</t>
  </si>
  <si>
    <t>9873404</t>
  </si>
  <si>
    <t>944236</t>
  </si>
  <si>
    <t>41881682/41881683</t>
  </si>
  <si>
    <t>260000454-26 | 31917-1</t>
  </si>
  <si>
    <t>9873658</t>
  </si>
  <si>
    <t>943693</t>
  </si>
  <si>
    <t>14709-26 | 9520-1</t>
  </si>
  <si>
    <t>9873498</t>
  </si>
  <si>
    <t>949797</t>
  </si>
  <si>
    <t>151-26 | 599-1</t>
  </si>
  <si>
    <t>18/06/2026 | 18/06/2026</t>
  </si>
  <si>
    <t>2795/2681/2798</t>
  </si>
  <si>
    <t xml:space="preserve">940094 </t>
  </si>
  <si>
    <t>41878199/41878197</t>
  </si>
  <si>
    <t>260000064-26 | 260000066-26</t>
  </si>
  <si>
    <t>09/06/2026 | 09/06/2026</t>
  </si>
  <si>
    <t>9873355</t>
  </si>
  <si>
    <t>944152</t>
  </si>
  <si>
    <t>1482-1 | 260000101-26</t>
  </si>
  <si>
    <t>9873681</t>
  </si>
  <si>
    <t>951410</t>
  </si>
  <si>
    <t>41892590/41892589</t>
  </si>
  <si>
    <t>396-26</t>
  </si>
  <si>
    <t>9873463</t>
  </si>
  <si>
    <t>939493</t>
  </si>
  <si>
    <t>41877574</t>
  </si>
  <si>
    <t>9873465</t>
  </si>
  <si>
    <t>9873469</t>
  </si>
  <si>
    <t>9873467</t>
  </si>
  <si>
    <t>9873417</t>
  </si>
  <si>
    <t>9873460</t>
  </si>
  <si>
    <t>9873494/9873493/9873485</t>
  </si>
  <si>
    <t>9873466</t>
  </si>
  <si>
    <t>9873474</t>
  </si>
  <si>
    <t>9873471</t>
  </si>
  <si>
    <t>9873403</t>
  </si>
  <si>
    <t>943546</t>
  </si>
  <si>
    <t>41881677</t>
  </si>
  <si>
    <t>22/06/2026</t>
  </si>
  <si>
    <t>9873207</t>
  </si>
  <si>
    <t>4037/14542</t>
  </si>
  <si>
    <t>9873699</t>
  </si>
  <si>
    <t>940528</t>
  </si>
  <si>
    <t>41878283/41878284</t>
  </si>
  <si>
    <t>31831-1 | 260000438-26</t>
  </si>
  <si>
    <t>5021026</t>
  </si>
  <si>
    <t>940459</t>
  </si>
  <si>
    <t>41878202</t>
  </si>
  <si>
    <t>14671-26</t>
  </si>
  <si>
    <t>08/06/2026</t>
  </si>
  <si>
    <t>9873659</t>
  </si>
  <si>
    <t>940455</t>
  </si>
  <si>
    <t xml:space="preserve">41878191 </t>
  </si>
  <si>
    <t>9493-1</t>
  </si>
  <si>
    <t>4194/14019</t>
  </si>
  <si>
    <t>9873740</t>
  </si>
  <si>
    <t>940454</t>
  </si>
  <si>
    <t>41878281/41878282</t>
  </si>
  <si>
    <t>31832-1 | 260000439-26</t>
  </si>
  <si>
    <t>9873680</t>
  </si>
  <si>
    <t>940442</t>
  </si>
  <si>
    <t xml:space="preserve">41878201 </t>
  </si>
  <si>
    <t>9494-1</t>
  </si>
  <si>
    <t>9861761</t>
  </si>
  <si>
    <t>940635</t>
  </si>
  <si>
    <t>41878507</t>
  </si>
  <si>
    <t>5021069</t>
  </si>
  <si>
    <t>947837</t>
  </si>
  <si>
    <t>9876554</t>
  </si>
  <si>
    <t>944529</t>
  </si>
  <si>
    <t>05/06/2026</t>
  </si>
  <si>
    <t>9876558</t>
  </si>
  <si>
    <t>951689</t>
  </si>
  <si>
    <t>9876510</t>
  </si>
  <si>
    <t>9876517</t>
  </si>
  <si>
    <t>9876521</t>
  </si>
  <si>
    <t>9876527</t>
  </si>
  <si>
    <t>9876529</t>
  </si>
  <si>
    <t>9876553</t>
  </si>
  <si>
    <t>156275/17365</t>
  </si>
  <si>
    <t>9876458</t>
  </si>
  <si>
    <t>946330</t>
  </si>
  <si>
    <t>41884143/41884142</t>
  </si>
  <si>
    <t>57977-1 | 260001404-26</t>
  </si>
  <si>
    <t>9876713</t>
  </si>
  <si>
    <t>946360</t>
  </si>
  <si>
    <t>41887320/41887321</t>
  </si>
  <si>
    <t>260001442-26 | 58059-1</t>
  </si>
  <si>
    <t>9876929</t>
  </si>
  <si>
    <t>958707</t>
  </si>
  <si>
    <t xml:space="preserve">41907197 </t>
  </si>
  <si>
    <t>9862100</t>
  </si>
  <si>
    <t>942465</t>
  </si>
  <si>
    <t>41880302</t>
  </si>
  <si>
    <t>260000360-26 | 50651-1</t>
  </si>
  <si>
    <t>9876950</t>
  </si>
  <si>
    <t>945993</t>
  </si>
  <si>
    <t>260000384-26 | 50716-1</t>
  </si>
  <si>
    <t>9876944</t>
  </si>
  <si>
    <t>946017</t>
  </si>
  <si>
    <t>260000383-26 | 50715-1</t>
  </si>
  <si>
    <t>9876878</t>
  </si>
  <si>
    <t>946161</t>
  </si>
  <si>
    <t>50690-1 | 260000376-26</t>
  </si>
  <si>
    <t>9876941</t>
  </si>
  <si>
    <t>946143</t>
  </si>
  <si>
    <t>50688-1 | 260000374-26</t>
  </si>
  <si>
    <t>9876926</t>
  </si>
  <si>
    <t>946128</t>
  </si>
  <si>
    <t>260000375-26 | 50689-1</t>
  </si>
  <si>
    <t>08/06/2026 | 08/06/2026</t>
  </si>
  <si>
    <t>9876938</t>
  </si>
  <si>
    <t>946173</t>
  </si>
  <si>
    <t>260000381-26 | 50713-1</t>
  </si>
  <si>
    <t>9876948</t>
  </si>
  <si>
    <t>945922</t>
  </si>
  <si>
    <t>260000382-26 | 50714-1</t>
  </si>
  <si>
    <t>9876920</t>
  </si>
  <si>
    <t>946044</t>
  </si>
  <si>
    <t>50687-1 | 260000373-26</t>
  </si>
  <si>
    <t>9879820</t>
  </si>
  <si>
    <t>946042</t>
  </si>
  <si>
    <t>41879987</t>
  </si>
  <si>
    <t>50645-1 | 260000357-26</t>
  </si>
  <si>
    <t>9879783</t>
  </si>
  <si>
    <t>950164</t>
  </si>
  <si>
    <t>41887393</t>
  </si>
  <si>
    <t>15458-1 | 831-26</t>
  </si>
  <si>
    <t>9866859</t>
  </si>
  <si>
    <t>932468</t>
  </si>
  <si>
    <t>41880271</t>
  </si>
  <si>
    <t>260000171-26</t>
  </si>
  <si>
    <t>9877139</t>
  </si>
  <si>
    <t>942872</t>
  </si>
  <si>
    <t>41881594</t>
  </si>
  <si>
    <t>260000172-26</t>
  </si>
  <si>
    <t>9876455</t>
  </si>
  <si>
    <t>944306</t>
  </si>
  <si>
    <t>41881676</t>
  </si>
  <si>
    <t>260000173-26</t>
  </si>
  <si>
    <t>177/178/179</t>
  </si>
  <si>
    <t>9877073</t>
  </si>
  <si>
    <t>944291</t>
  </si>
  <si>
    <t>4272/15715</t>
  </si>
  <si>
    <t>9877123</t>
  </si>
  <si>
    <t>946668</t>
  </si>
  <si>
    <t>41884065/41884064</t>
  </si>
  <si>
    <t>260000483-26</t>
  </si>
  <si>
    <t>75-26</t>
  </si>
  <si>
    <t>9877124</t>
  </si>
  <si>
    <t>946654</t>
  </si>
  <si>
    <t>12/06/2026</t>
  </si>
  <si>
    <t>9877075</t>
  </si>
  <si>
    <t>946548</t>
  </si>
  <si>
    <t>67-1 | 260000081-26</t>
  </si>
  <si>
    <t>17/06/2026 | 23/06/2026</t>
  </si>
  <si>
    <t>9877077</t>
  </si>
  <si>
    <t>946558</t>
  </si>
  <si>
    <t>66-1 | 260000080-26</t>
  </si>
  <si>
    <t>9876567</t>
  </si>
  <si>
    <t>942853</t>
  </si>
  <si>
    <t>62-1 | 260000075-26</t>
  </si>
  <si>
    <t>05/06/2026; 09/06/2026 | 09/06/2026</t>
  </si>
  <si>
    <t>9877067</t>
  </si>
  <si>
    <t>949778</t>
  </si>
  <si>
    <t>260000076-26</t>
  </si>
  <si>
    <t>9877125</t>
  </si>
  <si>
    <t>949695</t>
  </si>
  <si>
    <t>260001842-26</t>
  </si>
  <si>
    <t>9876711</t>
  </si>
  <si>
    <t>942285</t>
  </si>
  <si>
    <t>41880279/41880281</t>
  </si>
  <si>
    <t>1481-1 | 260000100-26</t>
  </si>
  <si>
    <t>9876578</t>
  </si>
  <si>
    <t>944571</t>
  </si>
  <si>
    <t>385-26 | 386-26</t>
  </si>
  <si>
    <t>9876600</t>
  </si>
  <si>
    <t>41882017</t>
  </si>
  <si>
    <t>9876560</t>
  </si>
  <si>
    <t>949973</t>
  </si>
  <si>
    <t>260000462-26 | 291-1 | 292-1</t>
  </si>
  <si>
    <t>15/06/2026 | 15/06/2026 | 18/06/2026</t>
  </si>
  <si>
    <t>9876605</t>
  </si>
  <si>
    <t>946287</t>
  </si>
  <si>
    <t>9876573</t>
  </si>
  <si>
    <t>946305</t>
  </si>
  <si>
    <t>260000067-26</t>
  </si>
  <si>
    <t>32 26</t>
  </si>
  <si>
    <t>31 26</t>
  </si>
  <si>
    <t>9877121</t>
  </si>
  <si>
    <t>943302</t>
  </si>
  <si>
    <t>35 26/33 26</t>
  </si>
  <si>
    <t>9877079</t>
  </si>
  <si>
    <t>34 26</t>
  </si>
  <si>
    <t>9877078</t>
  </si>
  <si>
    <t>9876557</t>
  </si>
  <si>
    <t>943490</t>
  </si>
  <si>
    <t xml:space="preserve">41882007 </t>
  </si>
  <si>
    <t>260000075-26</t>
  </si>
  <si>
    <t>9876561</t>
  </si>
  <si>
    <t xml:space="preserve">943490 </t>
  </si>
  <si>
    <t>9876528</t>
  </si>
  <si>
    <t>9889201</t>
  </si>
  <si>
    <t>976640</t>
  </si>
  <si>
    <t>5021070</t>
  </si>
  <si>
    <t xml:space="preserve">950744 </t>
  </si>
  <si>
    <t>41889232</t>
  </si>
  <si>
    <t>17/06/2026</t>
  </si>
  <si>
    <t>17370/156279</t>
  </si>
  <si>
    <t>9876667</t>
  </si>
  <si>
    <t>969051</t>
  </si>
  <si>
    <t>41904434/41904435</t>
  </si>
  <si>
    <t>58461-1 | 260001618-26</t>
  </si>
  <si>
    <t>03/07/2026</t>
  </si>
  <si>
    <t>17365/156275</t>
  </si>
  <si>
    <t>9876569</t>
  </si>
  <si>
    <t>946416</t>
  </si>
  <si>
    <t>41884137/41884139</t>
  </si>
  <si>
    <t>9876767</t>
  </si>
  <si>
    <t>946053</t>
  </si>
  <si>
    <t>41884074</t>
  </si>
  <si>
    <t>9876933</t>
  </si>
  <si>
    <t>958565/958506</t>
  </si>
  <si>
    <t>41897200/41897965</t>
  </si>
  <si>
    <t>260000432-26</t>
  </si>
  <si>
    <t>01/07/2026</t>
  </si>
  <si>
    <t>9876946</t>
  </si>
  <si>
    <t>950637</t>
  </si>
  <si>
    <t>260000410-26</t>
  </si>
  <si>
    <t xml:space="preserve">942056 </t>
  </si>
  <si>
    <t>41880019</t>
  </si>
  <si>
    <t>5020964</t>
  </si>
  <si>
    <t>940821</t>
  </si>
  <si>
    <t>41880307</t>
  </si>
  <si>
    <t>9867289</t>
  </si>
  <si>
    <t>920143</t>
  </si>
  <si>
    <t>41880169/41880167</t>
  </si>
  <si>
    <t>326913-1 | 2004-26</t>
  </si>
  <si>
    <t>4283/15749</t>
  </si>
  <si>
    <t>5021059</t>
  </si>
  <si>
    <t>944678</t>
  </si>
  <si>
    <t>41883435/41883434</t>
  </si>
  <si>
    <t>260000449-26 | 31913-1</t>
  </si>
  <si>
    <t>9877608</t>
  </si>
  <si>
    <t>949772</t>
  </si>
  <si>
    <t>9877572</t>
  </si>
  <si>
    <t>944666</t>
  </si>
  <si>
    <t>143258-1 | 260000108-26</t>
  </si>
  <si>
    <t>9877577</t>
  </si>
  <si>
    <t>944610</t>
  </si>
  <si>
    <t>143257-1 | 260000107-26</t>
  </si>
  <si>
    <t>9877576</t>
  </si>
  <si>
    <t>944622</t>
  </si>
  <si>
    <t>143259-1 | 260000109-26</t>
  </si>
  <si>
    <t>9877575</t>
  </si>
  <si>
    <t>944653</t>
  </si>
  <si>
    <t>143260-1 | 260000110-26</t>
  </si>
  <si>
    <t>09/06/2026; 12/06/2026 | 09/06/2026</t>
  </si>
  <si>
    <t>5021057</t>
  </si>
  <si>
    <t>954230</t>
  </si>
  <si>
    <t>41890880/41890879</t>
  </si>
  <si>
    <t>116987-1 | 260000317-26</t>
  </si>
  <si>
    <t>24/06/2026 | 24/06/2026</t>
  </si>
  <si>
    <t>9877566</t>
  </si>
  <si>
    <t>946602</t>
  </si>
  <si>
    <t>260000300-26</t>
  </si>
  <si>
    <t>9877565</t>
  </si>
  <si>
    <t>946563</t>
  </si>
  <si>
    <t>260000299-26</t>
  </si>
  <si>
    <t>4281/15730</t>
  </si>
  <si>
    <t>9877569</t>
  </si>
  <si>
    <t>944668</t>
  </si>
  <si>
    <t>41883420/41883419</t>
  </si>
  <si>
    <t>260000452-26 | 31915-1</t>
  </si>
  <si>
    <t>9877562</t>
  </si>
  <si>
    <t>949800</t>
  </si>
  <si>
    <t>152-26 | 600-1</t>
  </si>
  <si>
    <t>18/06/2026 | 22/06/2026</t>
  </si>
  <si>
    <t>9877584</t>
  </si>
  <si>
    <t>945925</t>
  </si>
  <si>
    <t>260000776-26 | 5093-1</t>
  </si>
  <si>
    <t>9879757</t>
  </si>
  <si>
    <t>945919</t>
  </si>
  <si>
    <t>260000774-26 | 5091-1</t>
  </si>
  <si>
    <t>9877597</t>
  </si>
  <si>
    <t>946440</t>
  </si>
  <si>
    <t>233-1 | 260000160-26</t>
  </si>
  <si>
    <t>61521042/12060003</t>
  </si>
  <si>
    <t>REQUISITANTES</t>
  </si>
  <si>
    <t>41881690</t>
  </si>
  <si>
    <t>4234-26</t>
  </si>
  <si>
    <t>11/06/2026</t>
  </si>
  <si>
    <t>9877620</t>
  </si>
  <si>
    <t>944283</t>
  </si>
  <si>
    <t>9877624</t>
  </si>
  <si>
    <t>9877622</t>
  </si>
  <si>
    <t>9877627</t>
  </si>
  <si>
    <t>9877578</t>
  </si>
  <si>
    <t>63280163/63256350</t>
  </si>
  <si>
    <t>9879780/9883685</t>
  </si>
  <si>
    <t>953757</t>
  </si>
  <si>
    <t>13092-1 | 13093-1</t>
  </si>
  <si>
    <t>23/06/2026 | 23/06/2026</t>
  </si>
  <si>
    <t>9894101</t>
  </si>
  <si>
    <t>957966</t>
  </si>
  <si>
    <t>41894908</t>
  </si>
  <si>
    <t>9877561</t>
  </si>
  <si>
    <t>962701</t>
  </si>
  <si>
    <t>41901051</t>
  </si>
  <si>
    <t>02/07/2026</t>
  </si>
  <si>
    <t>5021204</t>
  </si>
  <si>
    <t>950483</t>
  </si>
  <si>
    <t>41888484</t>
  </si>
  <si>
    <t>9881936</t>
  </si>
  <si>
    <t>949052</t>
  </si>
  <si>
    <t>15705/4258</t>
  </si>
  <si>
    <t>9881926</t>
  </si>
  <si>
    <t>949599</t>
  </si>
  <si>
    <t>41886842/41886841</t>
  </si>
  <si>
    <t>260000482-26 | 32073-1</t>
  </si>
  <si>
    <t>23/06/2026 | 24/06/2026</t>
  </si>
  <si>
    <t>15668/4239</t>
  </si>
  <si>
    <t>9881927</t>
  </si>
  <si>
    <t>949665</t>
  </si>
  <si>
    <t>41886843/41886844</t>
  </si>
  <si>
    <t>260000481-26 | 32072-1</t>
  </si>
  <si>
    <t>4242/15680</t>
  </si>
  <si>
    <t>9881929</t>
  </si>
  <si>
    <t>949702</t>
  </si>
  <si>
    <t>41886948/41886950</t>
  </si>
  <si>
    <t>260000480-26 | 32071-1</t>
  </si>
  <si>
    <t>225731/220779</t>
  </si>
  <si>
    <t>9881993</t>
  </si>
  <si>
    <t>951743</t>
  </si>
  <si>
    <t>41888626/41888627</t>
  </si>
  <si>
    <t>260000691-26 | 36842-2</t>
  </si>
  <si>
    <t>85048102/85048095/096/097/1573001/002/003</t>
  </si>
  <si>
    <t>36 26</t>
  </si>
  <si>
    <t>9881938/9881981/9881982/9881984/9881986/9881987/9881991</t>
  </si>
  <si>
    <t>948949</t>
  </si>
  <si>
    <t>37 26</t>
  </si>
  <si>
    <t>9881935</t>
  </si>
  <si>
    <t>948895</t>
  </si>
  <si>
    <t>38 26</t>
  </si>
  <si>
    <t>9881931</t>
  </si>
  <si>
    <t>9882094</t>
  </si>
  <si>
    <t>950328</t>
  </si>
  <si>
    <t>41887809/41887811</t>
  </si>
  <si>
    <t>2146-26</t>
  </si>
  <si>
    <t>9882091</t>
  </si>
  <si>
    <t>954432</t>
  </si>
  <si>
    <t>41892444/41892439/41892445</t>
  </si>
  <si>
    <t>2232-26</t>
  </si>
  <si>
    <t>9882088</t>
  </si>
  <si>
    <t>955678</t>
  </si>
  <si>
    <t>41893278/41893279</t>
  </si>
  <si>
    <t>2233-26</t>
  </si>
  <si>
    <t>9882080</t>
  </si>
  <si>
    <t>955093</t>
  </si>
  <si>
    <t>41891945/41891943</t>
  </si>
  <si>
    <t>2209-26</t>
  </si>
  <si>
    <t>9882078</t>
  </si>
  <si>
    <t>950305</t>
  </si>
  <si>
    <t>41887814/41887813</t>
  </si>
  <si>
    <t>2081-26</t>
  </si>
  <si>
    <t>9881995</t>
  </si>
  <si>
    <t>963418</t>
  </si>
  <si>
    <t>41907121/41907118</t>
  </si>
  <si>
    <t>9882098</t>
  </si>
  <si>
    <t>953024</t>
  </si>
  <si>
    <t>41906345</t>
  </si>
  <si>
    <t>41884998</t>
  </si>
  <si>
    <t>15732/4275</t>
  </si>
  <si>
    <t>9881923</t>
  </si>
  <si>
    <t>964005</t>
  </si>
  <si>
    <t>41900598/41900599</t>
  </si>
  <si>
    <t>32226-1 | 260000516-26</t>
  </si>
  <si>
    <t>07/07/2026</t>
  </si>
  <si>
    <t>4293/15750</t>
  </si>
  <si>
    <t>9883683</t>
  </si>
  <si>
    <t>955098</t>
  </si>
  <si>
    <t>41891525/41891526</t>
  </si>
  <si>
    <t>32220-1 | 260000510-26</t>
  </si>
  <si>
    <t>225332/220781</t>
  </si>
  <si>
    <t>9879095</t>
  </si>
  <si>
    <t>948899</t>
  </si>
  <si>
    <t>41890182/41890183</t>
  </si>
  <si>
    <t>36863-2 | 260000703-26</t>
  </si>
  <si>
    <t>9881920</t>
  </si>
  <si>
    <t>947446</t>
  </si>
  <si>
    <t>260000025-26 | 260000026-26 | 260000027-26 | 260000028-26</t>
  </si>
  <si>
    <t>10/06/2026 | 10/06/2026 | 10/06/2026 | 10/06/2026</t>
  </si>
  <si>
    <t>9881918</t>
  </si>
  <si>
    <t>9881917</t>
  </si>
  <si>
    <t>9881913</t>
  </si>
  <si>
    <t>9881910</t>
  </si>
  <si>
    <t>949108</t>
  </si>
  <si>
    <t>HBZ1H56</t>
  </si>
  <si>
    <t xml:space="preserve">947492 </t>
  </si>
  <si>
    <t>41885317</t>
  </si>
  <si>
    <t>4285-26</t>
  </si>
  <si>
    <t>9883682</t>
  </si>
  <si>
    <t>950372</t>
  </si>
  <si>
    <t>2082-26 | 2083-26 | 2084-26 | 2085-26</t>
  </si>
  <si>
    <t>16/06/2026 | 16/06/2026 | 16/06/2026 | 16/06/2026</t>
  </si>
  <si>
    <t>9883679</t>
  </si>
  <si>
    <t>9883677</t>
  </si>
  <si>
    <t>9883674</t>
  </si>
  <si>
    <t>31521045/35005015/31521029</t>
  </si>
  <si>
    <t>9883657/9883659/9883661</t>
  </si>
  <si>
    <t>955792</t>
  </si>
  <si>
    <t>260000062-26</t>
  </si>
  <si>
    <t>11521003/002/001/004/005/1173002/15048015</t>
  </si>
  <si>
    <t>9883553/9883554/9883556/9883558/9883559/9892149/9883643/9883644</t>
  </si>
  <si>
    <t>955722</t>
  </si>
  <si>
    <t>9888017</t>
  </si>
  <si>
    <t>951855</t>
  </si>
  <si>
    <t>9883418</t>
  </si>
  <si>
    <t>953614</t>
  </si>
  <si>
    <t>13084-1 | 13086-1 | 13087-1 | 244-26</t>
  </si>
  <si>
    <t>23/06/2026 | 23/06/2026 | 23/06/2026 | 23/06/2026</t>
  </si>
  <si>
    <t>31521033/13150007/31521037/31521018</t>
  </si>
  <si>
    <t>02/03/04/05/</t>
  </si>
  <si>
    <t>9883145/9883146/9883147/9883148</t>
  </si>
  <si>
    <t>954228</t>
  </si>
  <si>
    <t>9883144</t>
  </si>
  <si>
    <t>949535</t>
  </si>
  <si>
    <t>41886919/41886920</t>
  </si>
  <si>
    <t>260000843-26 | 55522-1</t>
  </si>
  <si>
    <t>12/06/2026 | 16/06/2026</t>
  </si>
  <si>
    <t>500580100/0349</t>
  </si>
  <si>
    <t>5021282/5021283</t>
  </si>
  <si>
    <t>954142</t>
  </si>
  <si>
    <t>522-26</t>
  </si>
  <si>
    <t>9883142</t>
  </si>
  <si>
    <t>948881</t>
  </si>
  <si>
    <t>9883140</t>
  </si>
  <si>
    <t>948857</t>
  </si>
  <si>
    <t>220780/225686</t>
  </si>
  <si>
    <t>9882870</t>
  </si>
  <si>
    <t>950155</t>
  </si>
  <si>
    <t>41888468/41888466</t>
  </si>
  <si>
    <t>2159-2 | 260000687-26 | 36843-2</t>
  </si>
  <si>
    <t>16/06/2026 | 16/06/2026 | 16/06/2026</t>
  </si>
  <si>
    <t>9883688</t>
  </si>
  <si>
    <t>953808</t>
  </si>
  <si>
    <t>13088-1 | 13089-1 | 13090-1 | 245-26</t>
  </si>
  <si>
    <t>5021304</t>
  </si>
  <si>
    <t>22030323/22030211</t>
  </si>
  <si>
    <t>9882878/9882874</t>
  </si>
  <si>
    <t>948823</t>
  </si>
  <si>
    <t>41886740</t>
  </si>
  <si>
    <t>5021281</t>
  </si>
  <si>
    <t>949125</t>
  </si>
  <si>
    <t>41894182</t>
  </si>
  <si>
    <t>9883143</t>
  </si>
  <si>
    <t>953903</t>
  </si>
  <si>
    <t>41897186/41897185</t>
  </si>
  <si>
    <t>9883670</t>
  </si>
  <si>
    <t>960058 </t>
  </si>
  <si>
    <t>41896379</t>
  </si>
  <si>
    <t>2314-26</t>
  </si>
  <si>
    <t>9885750</t>
  </si>
  <si>
    <t>954375</t>
  </si>
  <si>
    <t>2167-26 | 2177-26 | 2178-26</t>
  </si>
  <si>
    <t>22/06/2026 | 22/06/2026 | 22/06/2026</t>
  </si>
  <si>
    <t>9885724</t>
  </si>
  <si>
    <t>9885666</t>
  </si>
  <si>
    <t>955876</t>
  </si>
  <si>
    <t>50846-1 | 260000415-26</t>
  </si>
  <si>
    <t>22/06/2026 | 23/06/2026</t>
  </si>
  <si>
    <t>9885665</t>
  </si>
  <si>
    <t>955969</t>
  </si>
  <si>
    <t>50847-1 | 260000416-26</t>
  </si>
  <si>
    <t>9885664</t>
  </si>
  <si>
    <t>955898</t>
  </si>
  <si>
    <t>41893158</t>
  </si>
  <si>
    <t>260000414-26 | 50844-1</t>
  </si>
  <si>
    <t>9885662</t>
  </si>
  <si>
    <t>954964</t>
  </si>
  <si>
    <t>14733-26</t>
  </si>
  <si>
    <t>9885579</t>
  </si>
  <si>
    <t>9888473</t>
  </si>
  <si>
    <t>955935</t>
  </si>
  <si>
    <t>395-26</t>
  </si>
  <si>
    <t>9888467</t>
  </si>
  <si>
    <t>954782</t>
  </si>
  <si>
    <t>41891406/41891408</t>
  </si>
  <si>
    <t>260000238-26 | 260000239-26</t>
  </si>
  <si>
    <t>9888466</t>
  </si>
  <si>
    <t>9888465</t>
  </si>
  <si>
    <t>5021363</t>
  </si>
  <si>
    <t>955639</t>
  </si>
  <si>
    <t>260000061-26</t>
  </si>
  <si>
    <t>424/19779</t>
  </si>
  <si>
    <t>9884751</t>
  </si>
  <si>
    <t xml:space="preserve">952886 </t>
  </si>
  <si>
    <t>41889629/41889628</t>
  </si>
  <si>
    <t>2176-2 | 36880-2 | 260000711-26</t>
  </si>
  <si>
    <t>19/06/2026 | 19/06/2026 | 24/06/2026</t>
  </si>
  <si>
    <t>9888472</t>
  </si>
  <si>
    <t>955407</t>
  </si>
  <si>
    <t>9884743</t>
  </si>
  <si>
    <t>954405</t>
  </si>
  <si>
    <t>260000468-26</t>
  </si>
  <si>
    <t>24/06/2026</t>
  </si>
  <si>
    <t>9884745</t>
  </si>
  <si>
    <t>951700</t>
  </si>
  <si>
    <t>260000183-26</t>
  </si>
  <si>
    <t>9884746</t>
  </si>
  <si>
    <t>951867</t>
  </si>
  <si>
    <t>64-1 | 260000077-26</t>
  </si>
  <si>
    <t>16/06/2026 | 23/06/2026</t>
  </si>
  <si>
    <t>9884750</t>
  </si>
  <si>
    <t>951861</t>
  </si>
  <si>
    <t>65-1 | 260000078-26</t>
  </si>
  <si>
    <t>9884747</t>
  </si>
  <si>
    <t>951856</t>
  </si>
  <si>
    <t>4288/15757</t>
  </si>
  <si>
    <t>9884742</t>
  </si>
  <si>
    <t>955133</t>
  </si>
  <si>
    <t>41891957/41891955</t>
  </si>
  <si>
    <t>32078-1 | 260000485-26</t>
  </si>
  <si>
    <t>9884676</t>
  </si>
  <si>
    <t>955392</t>
  </si>
  <si>
    <t>260000871-26</t>
  </si>
  <si>
    <t>9891731</t>
  </si>
  <si>
    <t>957927</t>
  </si>
  <si>
    <t>41894735</t>
  </si>
  <si>
    <t>260000424-26</t>
  </si>
  <si>
    <t>9889207</t>
  </si>
  <si>
    <t>951467</t>
  </si>
  <si>
    <t>41907219/41907218/41907217</t>
  </si>
  <si>
    <t>9891773</t>
  </si>
  <si>
    <t>260000424-27</t>
  </si>
  <si>
    <t>9885719</t>
  </si>
  <si>
    <t>952727</t>
  </si>
  <si>
    <t>9885669</t>
  </si>
  <si>
    <t>9885678</t>
  </si>
  <si>
    <t>9885679</t>
  </si>
  <si>
    <t>9885717</t>
  </si>
  <si>
    <t>9885713</t>
  </si>
  <si>
    <t>9885261</t>
  </si>
  <si>
    <t xml:space="preserve">952062 </t>
  </si>
  <si>
    <t>41890651</t>
  </si>
  <si>
    <t>9889379</t>
  </si>
  <si>
    <t>953017</t>
  </si>
  <si>
    <t>9885570</t>
  </si>
  <si>
    <t>952730</t>
  </si>
  <si>
    <t>41893300/41893299</t>
  </si>
  <si>
    <t>9889721</t>
  </si>
  <si>
    <t>962717</t>
  </si>
  <si>
    <t>41901062</t>
  </si>
  <si>
    <t>253-1</t>
  </si>
  <si>
    <t>9891988</t>
  </si>
  <si>
    <t>961863</t>
  </si>
  <si>
    <t>41898334</t>
  </si>
  <si>
    <t>32539-1</t>
  </si>
  <si>
    <t>9884702</t>
  </si>
  <si>
    <t>958689</t>
  </si>
  <si>
    <t>41896480</t>
  </si>
  <si>
    <t>260000430-26</t>
  </si>
  <si>
    <t>9884679</t>
  </si>
  <si>
    <t>958632</t>
  </si>
  <si>
    <t>41896479/41896475</t>
  </si>
  <si>
    <t>260000431-26</t>
  </si>
  <si>
    <t>9885732</t>
  </si>
  <si>
    <t>958250</t>
  </si>
  <si>
    <t>41898234/41898232</t>
  </si>
  <si>
    <t>109708-1</t>
  </si>
  <si>
    <t>01/07/2027</t>
  </si>
  <si>
    <t>9884704</t>
  </si>
  <si>
    <t>957991</t>
  </si>
  <si>
    <t xml:space="preserve">41894909 </t>
  </si>
  <si>
    <t>260000425-26</t>
  </si>
  <si>
    <t>9885723</t>
  </si>
  <si>
    <t>955618</t>
  </si>
  <si>
    <t>41892428/41892429</t>
  </si>
  <si>
    <t>328413-1 | 328413-1</t>
  </si>
  <si>
    <t>26/06/2026</t>
  </si>
  <si>
    <t>9885726</t>
  </si>
  <si>
    <t>955582</t>
  </si>
  <si>
    <t>41892431/41892432</t>
  </si>
  <si>
    <t>328493-1 | 328493-1</t>
  </si>
  <si>
    <t>4289/15758</t>
  </si>
  <si>
    <t>9884716</t>
  </si>
  <si>
    <t>955179</t>
  </si>
  <si>
    <t>41891959/41891961</t>
  </si>
  <si>
    <t>260000484-26</t>
  </si>
  <si>
    <t>9885568</t>
  </si>
  <si>
    <t>955116</t>
  </si>
  <si>
    <t>41893575/41893574</t>
  </si>
  <si>
    <t>328479-1</t>
  </si>
  <si>
    <t>9885667</t>
  </si>
  <si>
    <t>954016</t>
  </si>
  <si>
    <t xml:space="preserve">41896790/41896789 </t>
  </si>
  <si>
    <t>109619-1</t>
  </si>
  <si>
    <t>9884130</t>
  </si>
  <si>
    <t>949512</t>
  </si>
  <si>
    <t>41886963</t>
  </si>
  <si>
    <t>260000078-26</t>
  </si>
  <si>
    <t>9888461</t>
  </si>
  <si>
    <t>953337</t>
  </si>
  <si>
    <t>126408-26</t>
  </si>
  <si>
    <t>5021303</t>
  </si>
  <si>
    <t>2833/2830</t>
  </si>
  <si>
    <t xml:space="preserve">950762 </t>
  </si>
  <si>
    <t xml:space="preserve">41889564 </t>
  </si>
  <si>
    <t>9891919</t>
  </si>
  <si>
    <t>957277</t>
  </si>
  <si>
    <t>41894102 </t>
  </si>
  <si>
    <t>260000419-26</t>
  </si>
  <si>
    <t>9882096</t>
  </si>
  <si>
    <t>955078</t>
  </si>
  <si>
    <t>41891944/41891942</t>
  </si>
  <si>
    <t>2175-26</t>
  </si>
  <si>
    <t>9889372</t>
  </si>
  <si>
    <t>946899</t>
  </si>
  <si>
    <t>41891939/41891936</t>
  </si>
  <si>
    <t>2210-26</t>
  </si>
  <si>
    <t>9889371</t>
  </si>
  <si>
    <t>954155</t>
  </si>
  <si>
    <t>41898178|41898180</t>
  </si>
  <si>
    <t>257886-1</t>
  </si>
  <si>
    <t>29/06/2026</t>
  </si>
  <si>
    <t>9891129</t>
  </si>
  <si>
    <t>955964</t>
  </si>
  <si>
    <t>41893244/41893246</t>
  </si>
  <si>
    <t>2231-26</t>
  </si>
  <si>
    <t>9891134</t>
  </si>
  <si>
    <t>955953</t>
  </si>
  <si>
    <t>41893154/41893157</t>
  </si>
  <si>
    <t>2224-26</t>
  </si>
  <si>
    <t>9888463</t>
  </si>
  <si>
    <t>952614</t>
  </si>
  <si>
    <t>260000470-26 | 294-1</t>
  </si>
  <si>
    <t>17/06/2026 | 17/06/2026</t>
  </si>
  <si>
    <t>9890416</t>
  </si>
  <si>
    <t>957057</t>
  </si>
  <si>
    <t>13130046/ 45/ 44</t>
  </si>
  <si>
    <t>9890417</t>
  </si>
  <si>
    <t>9890419</t>
  </si>
  <si>
    <t>9890460</t>
  </si>
  <si>
    <t>9890461</t>
  </si>
  <si>
    <t>9891395</t>
  </si>
  <si>
    <t>41894188</t>
  </si>
  <si>
    <t>9891394</t>
  </si>
  <si>
    <t>957009</t>
  </si>
  <si>
    <t>41894184</t>
  </si>
  <si>
    <t>9891393</t>
  </si>
  <si>
    <t>44203/43344</t>
  </si>
  <si>
    <t>9890635</t>
  </si>
  <si>
    <t>955569</t>
  </si>
  <si>
    <t>41892433/41892434</t>
  </si>
  <si>
    <t>2220-26</t>
  </si>
  <si>
    <t>24/2026</t>
  </si>
  <si>
    <t>9890163</t>
  </si>
  <si>
    <t>944248</t>
  </si>
  <si>
    <t>2214-26</t>
  </si>
  <si>
    <t>38/2026</t>
  </si>
  <si>
    <t>9891212</t>
  </si>
  <si>
    <t>955920</t>
  </si>
  <si>
    <t>41893148/41893150</t>
  </si>
  <si>
    <t>2222-26</t>
  </si>
  <si>
    <t>9891213</t>
  </si>
  <si>
    <t>955905</t>
  </si>
  <si>
    <t>41893151/41893152</t>
  </si>
  <si>
    <t>2223-26</t>
  </si>
  <si>
    <t>9891216</t>
  </si>
  <si>
    <t>955884</t>
  </si>
  <si>
    <t>41893250/41893252</t>
  </si>
  <si>
    <t>2234-26</t>
  </si>
  <si>
    <t>9891219</t>
  </si>
  <si>
    <t>955864</t>
  </si>
  <si>
    <t>41893249/41893251</t>
  </si>
  <si>
    <t>2230-26</t>
  </si>
  <si>
    <t>9892024</t>
  </si>
  <si>
    <t>955694</t>
  </si>
  <si>
    <t>41893210/41893211</t>
  </si>
  <si>
    <t>2226-26</t>
  </si>
  <si>
    <t>9891912</t>
  </si>
  <si>
    <t>957377</t>
  </si>
  <si>
    <t>9891910</t>
  </si>
  <si>
    <t>9891391</t>
  </si>
  <si>
    <t>9891948</t>
  </si>
  <si>
    <t>9889215</t>
  </si>
  <si>
    <t>953111</t>
  </si>
  <si>
    <t xml:space="preserve">41906348 </t>
  </si>
  <si>
    <t>51521045/51521055</t>
  </si>
  <si>
    <t>9891382/9891390</t>
  </si>
  <si>
    <t>955621</t>
  </si>
  <si>
    <t xml:space="preserve">41894185 </t>
  </si>
  <si>
    <t>5021462</t>
  </si>
  <si>
    <t>5021445</t>
  </si>
  <si>
    <t>970981</t>
  </si>
  <si>
    <t>41907198</t>
  </si>
  <si>
    <t>9891207</t>
  </si>
  <si>
    <t>955846</t>
  </si>
  <si>
    <t>41893245/41893247</t>
  </si>
  <si>
    <t>328414-1 | 2237-26</t>
  </si>
  <si>
    <t>9890430</t>
  </si>
  <si>
    <t>957371</t>
  </si>
  <si>
    <t>260000416-26</t>
  </si>
  <si>
    <t>9890428</t>
  </si>
  <si>
    <t>957233</t>
  </si>
  <si>
    <t>41894187</t>
  </si>
  <si>
    <t>260000467-26</t>
  </si>
  <si>
    <t>9888460</t>
  </si>
  <si>
    <t>955809</t>
  </si>
  <si>
    <t>41894444</t>
  </si>
  <si>
    <t>260000491-26</t>
  </si>
  <si>
    <t>4271/15728</t>
  </si>
  <si>
    <t>9890424</t>
  </si>
  <si>
    <t>963782</t>
  </si>
  <si>
    <t>41900042/41900043</t>
  </si>
  <si>
    <t>260000517-26</t>
  </si>
  <si>
    <t>9890671</t>
  </si>
  <si>
    <t>963433</t>
  </si>
  <si>
    <t>41900132</t>
  </si>
  <si>
    <t>9890789</t>
  </si>
  <si>
    <t>961924</t>
  </si>
  <si>
    <t>41898434</t>
  </si>
  <si>
    <t>9890905</t>
  </si>
  <si>
    <t>958816</t>
  </si>
  <si>
    <t>41896447</t>
  </si>
  <si>
    <t>260000034-26</t>
  </si>
  <si>
    <t>9890907</t>
  </si>
  <si>
    <t>958156</t>
  </si>
  <si>
    <t xml:space="preserve">41897967 </t>
  </si>
  <si>
    <t>260000433-26</t>
  </si>
  <si>
    <t>9890859</t>
  </si>
  <si>
    <t>957381</t>
  </si>
  <si>
    <t>41894905</t>
  </si>
  <si>
    <t>9890472</t>
  </si>
  <si>
    <t>957140</t>
  </si>
  <si>
    <t>41901049</t>
  </si>
  <si>
    <t>260000379-26</t>
  </si>
  <si>
    <t>9890469</t>
  </si>
  <si>
    <t>957085</t>
  </si>
  <si>
    <t>41896471</t>
  </si>
  <si>
    <t>260000376-26</t>
  </si>
  <si>
    <t>9891200</t>
  </si>
  <si>
    <t>955932</t>
  </si>
  <si>
    <t>41893155/41893156</t>
  </si>
  <si>
    <t>2236-26 | 328475-1</t>
  </si>
  <si>
    <t>9890908</t>
  </si>
  <si>
    <t>955850</t>
  </si>
  <si>
    <t>41894186</t>
  </si>
  <si>
    <t>9889369</t>
  </si>
  <si>
    <t>954260</t>
  </si>
  <si>
    <t>41892597/41892596</t>
  </si>
  <si>
    <t>257364-1</t>
  </si>
  <si>
    <t>9890307</t>
  </si>
  <si>
    <t>953909</t>
  </si>
  <si>
    <t>41890752/41890750</t>
  </si>
  <si>
    <t>958927</t>
  </si>
  <si>
    <t>41897192</t>
  </si>
  <si>
    <t>958918</t>
  </si>
  <si>
    <t>41897193</t>
  </si>
  <si>
    <t>958912</t>
  </si>
  <si>
    <t>958363</t>
  </si>
  <si>
    <t>41901061</t>
  </si>
  <si>
    <t>51521085</t>
  </si>
  <si>
    <t>9890759</t>
  </si>
  <si>
    <t>963744</t>
  </si>
  <si>
    <t>41900771</t>
  </si>
  <si>
    <t>1499-1</t>
  </si>
  <si>
    <t>9890752</t>
  </si>
  <si>
    <t>963775</t>
  </si>
  <si>
    <t>41900769</t>
  </si>
  <si>
    <t>9890679</t>
  </si>
  <si>
    <t>963997</t>
  </si>
  <si>
    <t>41902244</t>
  </si>
  <si>
    <t>1500-1</t>
  </si>
  <si>
    <t>06/07/2026</t>
  </si>
  <si>
    <t>9891907</t>
  </si>
  <si>
    <t>958891</t>
  </si>
  <si>
    <t>41896277</t>
  </si>
  <si>
    <t>9891829</t>
  </si>
  <si>
    <t>961937</t>
  </si>
  <si>
    <t>41906413</t>
  </si>
  <si>
    <t>9892061</t>
  </si>
  <si>
    <t>964036</t>
  </si>
  <si>
    <t>41900571</t>
  </si>
  <si>
    <t>260000375-26</t>
  </si>
  <si>
    <t>9894614</t>
  </si>
  <si>
    <t>960073</t>
  </si>
  <si>
    <t>41896432</t>
  </si>
  <si>
    <t>9894616</t>
  </si>
  <si>
    <t>9894640</t>
  </si>
  <si>
    <t>9894604</t>
  </si>
  <si>
    <t>9894506</t>
  </si>
  <si>
    <t>960067</t>
  </si>
  <si>
    <t>41896855</t>
  </si>
  <si>
    <t>9894500</t>
  </si>
  <si>
    <t>9894502</t>
  </si>
  <si>
    <t>9894501</t>
  </si>
  <si>
    <t>51521085/94/91/90</t>
  </si>
  <si>
    <t>9894503</t>
  </si>
  <si>
    <t>9894504</t>
  </si>
  <si>
    <t>9894505</t>
  </si>
  <si>
    <t>51521042/51521043</t>
  </si>
  <si>
    <t>9894418</t>
  </si>
  <si>
    <t>51521050/51521062</t>
  </si>
  <si>
    <t>9894419/9894417</t>
  </si>
  <si>
    <t>84-26</t>
  </si>
  <si>
    <t>9893234</t>
  </si>
  <si>
    <t>959999</t>
  </si>
  <si>
    <t>41896434</t>
  </si>
  <si>
    <t>260000031-26</t>
  </si>
  <si>
    <t>77-26</t>
  </si>
  <si>
    <t>9893400</t>
  </si>
  <si>
    <t>79-26</t>
  </si>
  <si>
    <t>9893239</t>
  </si>
  <si>
    <t>80-26</t>
  </si>
  <si>
    <t>9893237</t>
  </si>
  <si>
    <t>81-26</t>
  </si>
  <si>
    <t>9893235</t>
  </si>
  <si>
    <t>78-26</t>
  </si>
  <si>
    <t>9893403</t>
  </si>
  <si>
    <t>76-26</t>
  </si>
  <si>
    <t>9893402</t>
  </si>
  <si>
    <t>83-26</t>
  </si>
  <si>
    <t>9894601</t>
  </si>
  <si>
    <t>82-26</t>
  </si>
  <si>
    <t>9894645</t>
  </si>
  <si>
    <t>5021584</t>
  </si>
  <si>
    <t>959982</t>
  </si>
  <si>
    <t>41896431</t>
  </si>
  <si>
    <t>260000202-26</t>
  </si>
  <si>
    <t>5021583</t>
  </si>
  <si>
    <t>5021493</t>
  </si>
  <si>
    <t>5021490</t>
  </si>
  <si>
    <t>9894103</t>
  </si>
  <si>
    <t>959279</t>
  </si>
  <si>
    <t>41896448</t>
  </si>
  <si>
    <t>260000085-26</t>
  </si>
  <si>
    <t>22080170/ 168/169</t>
  </si>
  <si>
    <t>9894104/9894105/9894106</t>
  </si>
  <si>
    <t>9894590</t>
  </si>
  <si>
    <t>958025</t>
  </si>
  <si>
    <t>41896456</t>
  </si>
  <si>
    <t>260000091-26</t>
  </si>
  <si>
    <t>9894593</t>
  </si>
  <si>
    <t>9894589</t>
  </si>
  <si>
    <t>9894587</t>
  </si>
  <si>
    <t>73-26</t>
  </si>
  <si>
    <t>9891267</t>
  </si>
  <si>
    <t>957235</t>
  </si>
  <si>
    <t>41894901</t>
  </si>
  <si>
    <t>197-26</t>
  </si>
  <si>
    <t>5021491</t>
  </si>
  <si>
    <t>9891294</t>
  </si>
  <si>
    <t>9891297</t>
  </si>
  <si>
    <t>9891261</t>
  </si>
  <si>
    <t>67-26</t>
  </si>
  <si>
    <t>9891287</t>
  </si>
  <si>
    <t>68-26</t>
  </si>
  <si>
    <t>9891289</t>
  </si>
  <si>
    <t>9891292</t>
  </si>
  <si>
    <t>9891293</t>
  </si>
  <si>
    <t>74-26</t>
  </si>
  <si>
    <t>9891296</t>
  </si>
  <si>
    <t>41894902</t>
  </si>
  <si>
    <t>14705-1</t>
  </si>
  <si>
    <t xml:space="preserve">959387 </t>
  </si>
  <si>
    <t>41896451/41896457</t>
  </si>
  <si>
    <t>5021618</t>
  </si>
  <si>
    <t>966263</t>
  </si>
  <si>
    <t>41902243</t>
  </si>
  <si>
    <t>500580579</t>
  </si>
  <si>
    <t xml:space="preserve">959318 </t>
  </si>
  <si>
    <t>41896386</t>
  </si>
  <si>
    <t>9892070</t>
  </si>
  <si>
    <t>957058</t>
  </si>
  <si>
    <t>41901063</t>
  </si>
  <si>
    <t>9894415</t>
  </si>
  <si>
    <t>960359</t>
  </si>
  <si>
    <t>41898177</t>
  </si>
  <si>
    <t>255-26</t>
  </si>
  <si>
    <t>9894585</t>
  </si>
  <si>
    <t>960194</t>
  </si>
  <si>
    <t>41898952</t>
  </si>
  <si>
    <t>260000090-26</t>
  </si>
  <si>
    <t>5021546</t>
  </si>
  <si>
    <t>960167</t>
  </si>
  <si>
    <t>41896435</t>
  </si>
  <si>
    <t>198-26</t>
  </si>
  <si>
    <t>9891942</t>
  </si>
  <si>
    <t>959977</t>
  </si>
  <si>
    <t xml:space="preserve">41896377 </t>
  </si>
  <si>
    <t>260000428-26</t>
  </si>
  <si>
    <t>9894348</t>
  </si>
  <si>
    <t>959975</t>
  </si>
  <si>
    <t>41896376</t>
  </si>
  <si>
    <t>260000427-26</t>
  </si>
  <si>
    <t>9894350</t>
  </si>
  <si>
    <t>959973</t>
  </si>
  <si>
    <t xml:space="preserve">41896437 </t>
  </si>
  <si>
    <t>9894668</t>
  </si>
  <si>
    <t>959634</t>
  </si>
  <si>
    <t>41896433</t>
  </si>
  <si>
    <t>5021606</t>
  </si>
  <si>
    <t>961392</t>
  </si>
  <si>
    <t>41898231</t>
  </si>
  <si>
    <t>5021586</t>
  </si>
  <si>
    <t>961381</t>
  </si>
  <si>
    <t>41898243</t>
  </si>
  <si>
    <t>989458</t>
  </si>
  <si>
    <t>961356</t>
  </si>
  <si>
    <t>41898233</t>
  </si>
  <si>
    <t>9896074</t>
  </si>
  <si>
    <t>961314</t>
  </si>
  <si>
    <t>41898174</t>
  </si>
  <si>
    <t>TZG6C32</t>
  </si>
  <si>
    <t>9896131</t>
  </si>
  <si>
    <t>961408</t>
  </si>
  <si>
    <t xml:space="preserve">41899936 </t>
  </si>
  <si>
    <t>260000082-26</t>
  </si>
  <si>
    <t>9896063</t>
  </si>
  <si>
    <t>961282</t>
  </si>
  <si>
    <t>41897761</t>
  </si>
  <si>
    <t>260000417-26</t>
  </si>
  <si>
    <t>9896014</t>
  </si>
  <si>
    <t>961259</t>
  </si>
  <si>
    <t>41898175</t>
  </si>
  <si>
    <t>9894617</t>
  </si>
  <si>
    <t>961903</t>
  </si>
  <si>
    <t>41898336/41898335</t>
  </si>
  <si>
    <t>895-26 | 32539-1</t>
  </si>
  <si>
    <t>85-26</t>
  </si>
  <si>
    <t>9893238</t>
  </si>
  <si>
    <t>961430</t>
  </si>
  <si>
    <t>41900747</t>
  </si>
  <si>
    <t>9894642</t>
  </si>
  <si>
    <t>960620</t>
  </si>
  <si>
    <t>41898333</t>
  </si>
  <si>
    <t>9894705</t>
  </si>
  <si>
    <t>961378</t>
  </si>
  <si>
    <t>41899937</t>
  </si>
  <si>
    <t>156-26</t>
  </si>
  <si>
    <t>9894347</t>
  </si>
  <si>
    <t>961061</t>
  </si>
  <si>
    <t xml:space="preserve">41901047 </t>
  </si>
  <si>
    <t>260000440-26</t>
  </si>
  <si>
    <t>9894343/9894345</t>
  </si>
  <si>
    <t>960926</t>
  </si>
  <si>
    <t xml:space="preserve">41901039 </t>
  </si>
  <si>
    <t>260000441-26</t>
  </si>
  <si>
    <t>15810/4303</t>
  </si>
  <si>
    <t>9894641</t>
  </si>
  <si>
    <t>963858</t>
  </si>
  <si>
    <t>41900549/41900550</t>
  </si>
  <si>
    <t>32224-1 | 260000513-26</t>
  </si>
  <si>
    <t>15803/4301</t>
  </si>
  <si>
    <t>9894670</t>
  </si>
  <si>
    <t>963745</t>
  </si>
  <si>
    <t>41899934</t>
  </si>
  <si>
    <t>9894414</t>
  </si>
  <si>
    <t>963477</t>
  </si>
  <si>
    <t>41900759</t>
  </si>
  <si>
    <t>260000037-26</t>
  </si>
  <si>
    <t>9894651</t>
  </si>
  <si>
    <t>963572</t>
  </si>
  <si>
    <t>41900772/41900774</t>
  </si>
  <si>
    <t>55852-1 | 260000919-26</t>
  </si>
  <si>
    <t>9894353</t>
  </si>
  <si>
    <t xml:space="preserve">958307 </t>
  </si>
  <si>
    <t>41894660</t>
  </si>
  <si>
    <t>260001204-26</t>
  </si>
  <si>
    <t>9894409</t>
  </si>
  <si>
    <t>961983</t>
  </si>
  <si>
    <t>41900130/41900131</t>
  </si>
  <si>
    <t xml:space="preserve">961653 </t>
  </si>
  <si>
    <t>41899859</t>
  </si>
  <si>
    <t>9895805</t>
  </si>
  <si>
    <t>961447</t>
  </si>
  <si>
    <t xml:space="preserve">41899938/41899940 </t>
  </si>
  <si>
    <t>260001613-26 | 58460-1</t>
  </si>
  <si>
    <t>9895486</t>
  </si>
  <si>
    <t>963096</t>
  </si>
  <si>
    <t>41900127</t>
  </si>
  <si>
    <t>9895490</t>
  </si>
  <si>
    <t>963085</t>
  </si>
  <si>
    <t>41900128</t>
  </si>
  <si>
    <t>260000038-26</t>
  </si>
  <si>
    <t>9895804</t>
  </si>
  <si>
    <t>963053</t>
  </si>
  <si>
    <t>41899935/41899939</t>
  </si>
  <si>
    <t>260000512-26 | 32223-1</t>
  </si>
  <si>
    <t>9895501</t>
  </si>
  <si>
    <t>963032</t>
  </si>
  <si>
    <t xml:space="preserve">41900763 </t>
  </si>
  <si>
    <t>260000439-26</t>
  </si>
  <si>
    <t>9895497</t>
  </si>
  <si>
    <t>963014</t>
  </si>
  <si>
    <t xml:space="preserve">41901042 </t>
  </si>
  <si>
    <t>260000442-26</t>
  </si>
  <si>
    <t>9895810</t>
  </si>
  <si>
    <t>963006</t>
  </si>
  <si>
    <t>41900595/41900594/41900593</t>
  </si>
  <si>
    <t>9895809</t>
  </si>
  <si>
    <t>962666</t>
  </si>
  <si>
    <t>41900754/41900758</t>
  </si>
  <si>
    <t>9895485</t>
  </si>
  <si>
    <t>964124</t>
  </si>
  <si>
    <t>41900579/41900581</t>
  </si>
  <si>
    <t>329429-1 | 2329-26</t>
  </si>
  <si>
    <t>04/07/2026</t>
  </si>
  <si>
    <t>9895484</t>
  </si>
  <si>
    <t>964109</t>
  </si>
  <si>
    <t>41900575/41900573</t>
  </si>
  <si>
    <t>2330-26</t>
  </si>
  <si>
    <t>44676</t>
  </si>
  <si>
    <t>9896122</t>
  </si>
  <si>
    <t>964071</t>
  </si>
  <si>
    <t>41900572/41900574</t>
  </si>
  <si>
    <t>329273-1 | 2319-26</t>
  </si>
  <si>
    <t>5021632</t>
  </si>
  <si>
    <t>961884</t>
  </si>
  <si>
    <t>41907135</t>
  </si>
  <si>
    <t>9891210</t>
  </si>
  <si>
    <t>964618</t>
  </si>
  <si>
    <t>41901401</t>
  </si>
  <si>
    <t>9895483</t>
  </si>
  <si>
    <t>964554</t>
  </si>
  <si>
    <t>41901395</t>
  </si>
  <si>
    <t>2357-26</t>
  </si>
  <si>
    <t>5021651/5021652</t>
  </si>
  <si>
    <t>964526</t>
  </si>
  <si>
    <t>41900576</t>
  </si>
  <si>
    <t>260000069-26</t>
  </si>
  <si>
    <t>1151030/15048014/2311001/1173013</t>
  </si>
  <si>
    <t>5021647/5021648/5021649</t>
  </si>
  <si>
    <t>964268</t>
  </si>
  <si>
    <t>41900577</t>
  </si>
  <si>
    <t>260000070-26</t>
  </si>
  <si>
    <t>9895480</t>
  </si>
  <si>
    <t>969729</t>
  </si>
  <si>
    <t>41907126</t>
  </si>
  <si>
    <t>9896128</t>
  </si>
  <si>
    <t>961346</t>
  </si>
  <si>
    <t xml:space="preserve">41900766 </t>
  </si>
  <si>
    <t>640-26</t>
  </si>
  <si>
    <t>9896860</t>
  </si>
  <si>
    <t>965473</t>
  </si>
  <si>
    <t>41902222</t>
  </si>
  <si>
    <t>41510/72934</t>
  </si>
  <si>
    <t>9896751</t>
  </si>
  <si>
    <t>965446</t>
  </si>
  <si>
    <t>41901378/41901377</t>
  </si>
  <si>
    <t>41509/72933</t>
  </si>
  <si>
    <t>9896764</t>
  </si>
  <si>
    <t>965391</t>
  </si>
  <si>
    <t>41901214/41901215</t>
  </si>
  <si>
    <t>9896716</t>
  </si>
  <si>
    <t>964642</t>
  </si>
  <si>
    <t>41901386</t>
  </si>
  <si>
    <t>5021650</t>
  </si>
  <si>
    <t>966385</t>
  </si>
  <si>
    <t>41903166</t>
  </si>
  <si>
    <t>07.07.2026</t>
  </si>
  <si>
    <t>9896818</t>
  </si>
  <si>
    <t>971127</t>
  </si>
  <si>
    <t>51DFE002</t>
  </si>
  <si>
    <t>9896826</t>
  </si>
  <si>
    <t>966372</t>
  </si>
  <si>
    <t>5021646</t>
  </si>
  <si>
    <t>971239</t>
  </si>
  <si>
    <t>9899189</t>
  </si>
  <si>
    <t>965558</t>
  </si>
  <si>
    <t>9899253</t>
  </si>
  <si>
    <t>9899243</t>
  </si>
  <si>
    <t>9896699</t>
  </si>
  <si>
    <t>9899245</t>
  </si>
  <si>
    <t>968457</t>
  </si>
  <si>
    <t>41903927</t>
  </si>
  <si>
    <t>08/07/2026</t>
  </si>
  <si>
    <t>9899193</t>
  </si>
  <si>
    <t>971273</t>
  </si>
  <si>
    <t>41907102/41907100</t>
  </si>
  <si>
    <t>37157-2</t>
  </si>
  <si>
    <t>13/07/2026</t>
  </si>
  <si>
    <t>9899256</t>
  </si>
  <si>
    <t>971537</t>
  </si>
  <si>
    <t>41907106/41907107</t>
  </si>
  <si>
    <t>37159-2</t>
  </si>
  <si>
    <t>9899198</t>
  </si>
  <si>
    <t>968041</t>
  </si>
  <si>
    <t>41903926/41903928</t>
  </si>
  <si>
    <t>37-26 | 36-26</t>
  </si>
  <si>
    <t>9899199</t>
  </si>
  <si>
    <t>90009842</t>
  </si>
  <si>
    <t>9899252</t>
  </si>
  <si>
    <t>9899251</t>
  </si>
  <si>
    <t>9899247</t>
  </si>
  <si>
    <t>9899187</t>
  </si>
  <si>
    <t>972499</t>
  </si>
  <si>
    <t>9899118</t>
  </si>
  <si>
    <t xml:space="preserve">CHARLES SANTOS </t>
  </si>
  <si>
    <t>9897784</t>
  </si>
  <si>
    <t>975450</t>
  </si>
  <si>
    <t>9899960</t>
  </si>
  <si>
    <t>966247</t>
  </si>
  <si>
    <t>41902210</t>
  </si>
  <si>
    <t>9899618</t>
  </si>
  <si>
    <t>9899921</t>
  </si>
  <si>
    <t>500580090/0220/0096</t>
  </si>
  <si>
    <t>43-26 (A e B)</t>
  </si>
  <si>
    <t>966724/966685</t>
  </si>
  <si>
    <t>41903168/41903174</t>
  </si>
  <si>
    <t>260000030-26 | 260000031-26</t>
  </si>
  <si>
    <t>15770038/0023/0032</t>
  </si>
  <si>
    <t>9900184</t>
  </si>
  <si>
    <t>969353</t>
  </si>
  <si>
    <t>41906405</t>
  </si>
  <si>
    <t>9900180</t>
  </si>
  <si>
    <t>90007642</t>
  </si>
  <si>
    <t>9899976</t>
  </si>
  <si>
    <t>9899975</t>
  </si>
  <si>
    <t>9899967</t>
  </si>
  <si>
    <t>157471/17807</t>
  </si>
  <si>
    <t>9899968</t>
  </si>
  <si>
    <t>977839</t>
  </si>
  <si>
    <t>9899966</t>
  </si>
  <si>
    <t>970524</t>
  </si>
  <si>
    <t>41906363</t>
  </si>
  <si>
    <t>9899964</t>
  </si>
  <si>
    <t>972322</t>
  </si>
  <si>
    <t>41907769</t>
  </si>
  <si>
    <t>4253/15676</t>
  </si>
  <si>
    <t>9899886</t>
  </si>
  <si>
    <t xml:space="preserve">969752 </t>
  </si>
  <si>
    <t>41906375/41906376</t>
  </si>
  <si>
    <t>4107/15293</t>
  </si>
  <si>
    <t>9899891</t>
  </si>
  <si>
    <t>969839</t>
  </si>
  <si>
    <t>41905239/41905238</t>
  </si>
  <si>
    <t>9899974</t>
  </si>
  <si>
    <t>969531</t>
  </si>
  <si>
    <t>41905236/41905237</t>
  </si>
  <si>
    <t>55931-1 | 260000949-26</t>
  </si>
  <si>
    <t>09/07/2026</t>
  </si>
  <si>
    <t>90001558</t>
  </si>
  <si>
    <t>966058</t>
  </si>
  <si>
    <t>41902124</t>
  </si>
  <si>
    <t>5021708</t>
  </si>
  <si>
    <t>969135</t>
  </si>
  <si>
    <t>41904449</t>
  </si>
  <si>
    <t>260000072-26</t>
  </si>
  <si>
    <t>4329/15892</t>
  </si>
  <si>
    <t>90001462</t>
  </si>
  <si>
    <t>973095</t>
  </si>
  <si>
    <t>90011139</t>
  </si>
  <si>
    <t>972479</t>
  </si>
  <si>
    <t>41907825/41907824</t>
  </si>
  <si>
    <t>90001456</t>
  </si>
  <si>
    <t>973331</t>
  </si>
  <si>
    <t>90001608</t>
  </si>
  <si>
    <t>968419</t>
  </si>
  <si>
    <t>41903925</t>
  </si>
  <si>
    <t>13191-1</t>
  </si>
  <si>
    <t>90003013</t>
  </si>
  <si>
    <t>965624</t>
  </si>
  <si>
    <t>41904433</t>
  </si>
  <si>
    <t>90002704</t>
  </si>
  <si>
    <t>969110</t>
  </si>
  <si>
    <t>41904445</t>
  </si>
  <si>
    <t>90003890</t>
  </si>
  <si>
    <t>971130</t>
  </si>
  <si>
    <t>41906762</t>
  </si>
  <si>
    <t>90002707</t>
  </si>
  <si>
    <t>157210/17703</t>
  </si>
  <si>
    <t>90002784/90002782</t>
  </si>
  <si>
    <t>974400</t>
  </si>
  <si>
    <t>90002641</t>
  </si>
  <si>
    <t>90002646</t>
  </si>
  <si>
    <t>155758/17156</t>
  </si>
  <si>
    <t>90014357</t>
  </si>
  <si>
    <t>973179</t>
  </si>
  <si>
    <t>90002715</t>
  </si>
  <si>
    <t>972835</t>
  </si>
  <si>
    <t>90002656</t>
  </si>
  <si>
    <t>968052</t>
  </si>
  <si>
    <t>41904438</t>
  </si>
  <si>
    <t>90002701</t>
  </si>
  <si>
    <t>90002649</t>
  </si>
  <si>
    <t>500580100/500580349</t>
  </si>
  <si>
    <t>5021742/5021743</t>
  </si>
  <si>
    <t>90002753</t>
  </si>
  <si>
    <t>969203</t>
  </si>
  <si>
    <t>41906412</t>
  </si>
  <si>
    <t>90003004</t>
  </si>
  <si>
    <t>969487</t>
  </si>
  <si>
    <t>41906368/41906369</t>
  </si>
  <si>
    <t>90002749</t>
  </si>
  <si>
    <t>972572</t>
  </si>
  <si>
    <t>5021741</t>
  </si>
  <si>
    <t>969183</t>
  </si>
  <si>
    <t>41908704</t>
  </si>
  <si>
    <t>260000081-26 | 81-26</t>
  </si>
  <si>
    <t>14/07/2026</t>
  </si>
  <si>
    <t>90002613</t>
  </si>
  <si>
    <t>969548</t>
  </si>
  <si>
    <t>41906400</t>
  </si>
  <si>
    <t>260000407-26</t>
  </si>
  <si>
    <t>10/07/2026</t>
  </si>
  <si>
    <t>90003008</t>
  </si>
  <si>
    <t>969255</t>
  </si>
  <si>
    <t>41906422</t>
  </si>
  <si>
    <t>90007753</t>
  </si>
  <si>
    <t>969411</t>
  </si>
  <si>
    <t>41906426</t>
  </si>
  <si>
    <t>260000408-26</t>
  </si>
  <si>
    <t>5021740</t>
  </si>
  <si>
    <t>971303</t>
  </si>
  <si>
    <t>41907133</t>
  </si>
  <si>
    <t>584*/9516</t>
  </si>
  <si>
    <t>90006769</t>
  </si>
  <si>
    <t>977292</t>
  </si>
  <si>
    <t>90003180</t>
  </si>
  <si>
    <t>971442</t>
  </si>
  <si>
    <t>90003121</t>
  </si>
  <si>
    <t>969048</t>
  </si>
  <si>
    <t>41906343</t>
  </si>
  <si>
    <t>90003022</t>
  </si>
  <si>
    <t>972469</t>
  </si>
  <si>
    <t>41908596</t>
  </si>
  <si>
    <t>5021744</t>
  </si>
  <si>
    <t>971662</t>
  </si>
  <si>
    <t>41908301</t>
  </si>
  <si>
    <t>90003889</t>
  </si>
  <si>
    <t>969181</t>
  </si>
  <si>
    <t>41904785</t>
  </si>
  <si>
    <t>81521023/81521201</t>
  </si>
  <si>
    <t>CHARLES ROMAYNI</t>
  </si>
  <si>
    <t>90005134/90002178</t>
  </si>
  <si>
    <t>963156</t>
  </si>
  <si>
    <t>41906848</t>
  </si>
  <si>
    <t>5021709</t>
  </si>
  <si>
    <t>90003891</t>
  </si>
  <si>
    <t>969771</t>
  </si>
  <si>
    <t>41906391</t>
  </si>
  <si>
    <t>5021712</t>
  </si>
  <si>
    <t>5021710</t>
  </si>
  <si>
    <t>968019</t>
  </si>
  <si>
    <t>2325/2338</t>
  </si>
  <si>
    <t>HERICLIS PEREIRA</t>
  </si>
  <si>
    <t>90006270</t>
  </si>
  <si>
    <t>979623</t>
  </si>
  <si>
    <t>90006619</t>
  </si>
  <si>
    <t>968614</t>
  </si>
  <si>
    <t>41907115</t>
  </si>
  <si>
    <t>90006618</t>
  </si>
  <si>
    <t>970235</t>
  </si>
  <si>
    <t>41907131</t>
  </si>
  <si>
    <t>90006614</t>
  </si>
  <si>
    <t>90006611</t>
  </si>
  <si>
    <t>90006609</t>
  </si>
  <si>
    <t>972989</t>
  </si>
  <si>
    <t>90006600</t>
  </si>
  <si>
    <t>90006602</t>
  </si>
  <si>
    <t>90006278</t>
  </si>
  <si>
    <t>90006277</t>
  </si>
  <si>
    <t>500580097/096</t>
  </si>
  <si>
    <t>5021784/5021785</t>
  </si>
  <si>
    <t>970323</t>
  </si>
  <si>
    <t>41906792/41906793</t>
  </si>
  <si>
    <t>90006603</t>
  </si>
  <si>
    <t>970306</t>
  </si>
  <si>
    <t>41906407</t>
  </si>
  <si>
    <t>90006762</t>
  </si>
  <si>
    <t>5021786</t>
  </si>
  <si>
    <t>90006766</t>
  </si>
  <si>
    <t>970257</t>
  </si>
  <si>
    <t>41906361/41906360</t>
  </si>
  <si>
    <t>600-26</t>
  </si>
  <si>
    <t>15928/4355</t>
  </si>
  <si>
    <t>90006268</t>
  </si>
  <si>
    <t>973065</t>
  </si>
  <si>
    <t>15906/4344</t>
  </si>
  <si>
    <t>90006266</t>
  </si>
  <si>
    <t>973121</t>
  </si>
  <si>
    <t>90006961</t>
  </si>
  <si>
    <t>972514</t>
  </si>
  <si>
    <t>90006960</t>
  </si>
  <si>
    <t>90006778</t>
  </si>
  <si>
    <t>QCD1C27</t>
  </si>
  <si>
    <t>90008047</t>
  </si>
  <si>
    <t>971156</t>
  </si>
  <si>
    <t>41906444</t>
  </si>
  <si>
    <t>90007668</t>
  </si>
  <si>
    <t>90007667</t>
  </si>
  <si>
    <t>90007660</t>
  </si>
  <si>
    <t>973733</t>
  </si>
  <si>
    <t>157738/17924</t>
  </si>
  <si>
    <t>90007399</t>
  </si>
  <si>
    <t>974404</t>
  </si>
  <si>
    <t>90010081</t>
  </si>
  <si>
    <t>974342</t>
  </si>
  <si>
    <t>51521087/51521096/51521102</t>
  </si>
  <si>
    <t>90010080</t>
  </si>
  <si>
    <t>5152101107/51519037</t>
  </si>
  <si>
    <t>90010016</t>
  </si>
  <si>
    <t>51521106/51521105</t>
  </si>
  <si>
    <t>90010011</t>
  </si>
  <si>
    <t>90010004</t>
  </si>
  <si>
    <t>90009937</t>
  </si>
  <si>
    <t>90009927</t>
  </si>
  <si>
    <t>90009889</t>
  </si>
  <si>
    <t>978536</t>
  </si>
  <si>
    <t>90009880</t>
  </si>
  <si>
    <t>972868</t>
  </si>
  <si>
    <t>90009840</t>
  </si>
  <si>
    <t>972633</t>
  </si>
  <si>
    <t>90010241</t>
  </si>
  <si>
    <t>975283</t>
  </si>
  <si>
    <t>90010088</t>
  </si>
  <si>
    <t>974175</t>
  </si>
  <si>
    <t>90010090</t>
  </si>
  <si>
    <t>974201</t>
  </si>
  <si>
    <t>90010091</t>
  </si>
  <si>
    <t>972907</t>
  </si>
  <si>
    <t>90010167</t>
  </si>
  <si>
    <t>973730</t>
  </si>
  <si>
    <t>90010168</t>
  </si>
  <si>
    <t>972918</t>
  </si>
  <si>
    <t>90010169</t>
  </si>
  <si>
    <t>975422</t>
  </si>
  <si>
    <t>90010170</t>
  </si>
  <si>
    <t>978805</t>
  </si>
  <si>
    <t>90010177</t>
  </si>
  <si>
    <t>972467</t>
  </si>
  <si>
    <t>41908608/41908607</t>
  </si>
  <si>
    <t>90010174</t>
  </si>
  <si>
    <t>972405</t>
  </si>
  <si>
    <t>41908567/41908568</t>
  </si>
  <si>
    <t>22080167/22080169/41521042</t>
  </si>
  <si>
    <t>90009655/90009654/90009656</t>
  </si>
  <si>
    <t>972066</t>
  </si>
  <si>
    <t>41907668</t>
  </si>
  <si>
    <t>90013484</t>
  </si>
  <si>
    <t>978749</t>
  </si>
  <si>
    <t>90013499</t>
  </si>
  <si>
    <t>978829</t>
  </si>
  <si>
    <t>90013505</t>
  </si>
  <si>
    <t>978733</t>
  </si>
  <si>
    <t>90013483</t>
  </si>
  <si>
    <t>975289</t>
  </si>
  <si>
    <t>90013416</t>
  </si>
  <si>
    <t>975267</t>
  </si>
  <si>
    <t>5021935</t>
  </si>
  <si>
    <t>975107</t>
  </si>
  <si>
    <t>5021934</t>
  </si>
  <si>
    <t>975071</t>
  </si>
  <si>
    <t>90013406</t>
  </si>
  <si>
    <t>975028</t>
  </si>
  <si>
    <t>17050/155508</t>
  </si>
  <si>
    <t>90014521</t>
  </si>
  <si>
    <t>978440</t>
  </si>
  <si>
    <t>90013358</t>
  </si>
  <si>
    <t>976678</t>
  </si>
  <si>
    <t>90013355</t>
  </si>
  <si>
    <t>976654</t>
  </si>
  <si>
    <t>90013351</t>
  </si>
  <si>
    <t>977802</t>
  </si>
  <si>
    <t>90013282</t>
  </si>
  <si>
    <t>976635</t>
  </si>
  <si>
    <t>90014372</t>
  </si>
  <si>
    <t>976840</t>
  </si>
  <si>
    <t>90013178</t>
  </si>
  <si>
    <t>976508</t>
  </si>
  <si>
    <t>90013066</t>
  </si>
  <si>
    <t>976983</t>
  </si>
  <si>
    <t>90010176</t>
  </si>
  <si>
    <t>975367</t>
  </si>
  <si>
    <t>90014630</t>
  </si>
  <si>
    <t>979111</t>
  </si>
  <si>
    <t>90014625</t>
  </si>
  <si>
    <t>980334</t>
  </si>
  <si>
    <t>90014591</t>
  </si>
  <si>
    <t>977875</t>
  </si>
  <si>
    <t>90014588</t>
  </si>
  <si>
    <t>978425</t>
  </si>
  <si>
    <t>90014580</t>
  </si>
  <si>
    <t>978871</t>
  </si>
  <si>
    <t>90014536</t>
  </si>
  <si>
    <t>977278</t>
  </si>
  <si>
    <t>90023232</t>
  </si>
  <si>
    <t>979188</t>
  </si>
  <si>
    <t>90014528</t>
  </si>
  <si>
    <t>977194</t>
  </si>
  <si>
    <t>41912010</t>
  </si>
  <si>
    <t>13090014/13090012</t>
  </si>
  <si>
    <t>LUCAS TAVARES</t>
  </si>
  <si>
    <t>90013571/90013572</t>
  </si>
  <si>
    <t>974785</t>
  </si>
  <si>
    <t>90013562</t>
  </si>
  <si>
    <t>975007</t>
  </si>
  <si>
    <t>90014368</t>
  </si>
  <si>
    <t>978722</t>
  </si>
  <si>
    <t>15750001/15750003</t>
  </si>
  <si>
    <t>90012819/90012840</t>
  </si>
  <si>
    <t>973705</t>
  </si>
  <si>
    <t>1307-01</t>
  </si>
  <si>
    <t>974699</t>
  </si>
  <si>
    <t>41909922</t>
  </si>
  <si>
    <t>90014759</t>
  </si>
  <si>
    <t>975459</t>
  </si>
  <si>
    <t>90014742</t>
  </si>
  <si>
    <t>976953</t>
  </si>
  <si>
    <t>90014736</t>
  </si>
  <si>
    <t>90014731</t>
  </si>
  <si>
    <t>5021913</t>
  </si>
  <si>
    <t>90014720</t>
  </si>
  <si>
    <t>90014729</t>
  </si>
  <si>
    <t>90014827</t>
  </si>
  <si>
    <t>977006</t>
  </si>
  <si>
    <t>90014825</t>
  </si>
  <si>
    <t>90014794</t>
  </si>
  <si>
    <t>90014790</t>
  </si>
  <si>
    <t>90014797</t>
  </si>
  <si>
    <t>90014821</t>
  </si>
  <si>
    <t>90017117</t>
  </si>
  <si>
    <t>971351</t>
  </si>
  <si>
    <t>41912900</t>
  </si>
  <si>
    <t>90017203</t>
  </si>
  <si>
    <t>90017179</t>
  </si>
  <si>
    <t>4367/15949</t>
  </si>
  <si>
    <t>90017014</t>
  </si>
  <si>
    <t>SALES</t>
  </si>
  <si>
    <t>5021962</t>
  </si>
  <si>
    <t>5021963</t>
  </si>
  <si>
    <t>90017026</t>
  </si>
  <si>
    <t>979106</t>
  </si>
  <si>
    <t>90017035</t>
  </si>
  <si>
    <t>980769</t>
  </si>
  <si>
    <t>5021965</t>
  </si>
  <si>
    <t>982383</t>
  </si>
  <si>
    <t>89-26</t>
  </si>
  <si>
    <t>90017054</t>
  </si>
  <si>
    <t>87-26</t>
  </si>
  <si>
    <t>90017058</t>
  </si>
  <si>
    <t>90017101</t>
  </si>
  <si>
    <t>982214</t>
  </si>
  <si>
    <t>5021966</t>
  </si>
  <si>
    <t>86-26</t>
  </si>
  <si>
    <t>90017159</t>
  </si>
  <si>
    <t>88-26</t>
  </si>
  <si>
    <t>90017162</t>
  </si>
  <si>
    <t>90017166</t>
  </si>
  <si>
    <t>90017174</t>
  </si>
  <si>
    <t>90014755</t>
  </si>
  <si>
    <t>977740</t>
  </si>
  <si>
    <t>5022029</t>
  </si>
  <si>
    <t>982525</t>
  </si>
  <si>
    <t>90023505</t>
  </si>
  <si>
    <t>981351</t>
  </si>
  <si>
    <t>4381/15993</t>
  </si>
  <si>
    <t>5022030</t>
  </si>
  <si>
    <t>982223</t>
  </si>
  <si>
    <t>5022031</t>
  </si>
  <si>
    <t>978028</t>
  </si>
  <si>
    <t>5021897</t>
  </si>
  <si>
    <t>978716</t>
  </si>
  <si>
    <t>10632/53306</t>
  </si>
  <si>
    <t>90001478</t>
  </si>
  <si>
    <t>975163</t>
  </si>
  <si>
    <t>90023831</t>
  </si>
  <si>
    <t>980823</t>
  </si>
  <si>
    <t>90024212</t>
  </si>
  <si>
    <t>982363</t>
  </si>
  <si>
    <t>90024213</t>
  </si>
  <si>
    <t>90024218</t>
  </si>
  <si>
    <t>982267</t>
  </si>
  <si>
    <t>5173116/51521059/51521057/51521049</t>
  </si>
  <si>
    <t>90024219</t>
  </si>
  <si>
    <t>90024400</t>
  </si>
  <si>
    <t>90024401</t>
  </si>
  <si>
    <t>90024402</t>
  </si>
  <si>
    <t>982335</t>
  </si>
  <si>
    <t>90024404</t>
  </si>
  <si>
    <t>90024405</t>
  </si>
  <si>
    <t>90024407</t>
  </si>
  <si>
    <t>90024408</t>
  </si>
  <si>
    <t>90024409</t>
  </si>
  <si>
    <t>90024410</t>
  </si>
  <si>
    <t>90-26</t>
  </si>
  <si>
    <t>90024412</t>
  </si>
  <si>
    <t>4337/15896</t>
  </si>
  <si>
    <t>4338/15897</t>
  </si>
  <si>
    <t>4380/15978</t>
  </si>
  <si>
    <t>90023235</t>
  </si>
  <si>
    <t>51521100/51521109</t>
  </si>
  <si>
    <t>51521095/51521088/51521103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</si>
</sst>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00B050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</font>
    <font>
      <sz val="10"/>
      <color rgb="FF6A6A6A"/>
      <name val="Helvetica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0" fontId="0" fillId="2" borderId="0" xfId="0" applyFill="1" applyAlignment="1">
      <alignment vertical="center"/>
    </xf>
    <xf numFmtId="49" fontId="6" fillId="2" borderId="10" xfId="0" applyNumberFormat="1" applyFont="1" applyFill="1" applyBorder="1" applyAlignment="1">
      <alignment horizontal="center" vertical="center"/>
    </xf>
    <xf numFmtId="14" fontId="6" fillId="2" borderId="10" xfId="0" applyNumberFormat="1" applyFont="1" applyFill="1" applyBorder="1" applyAlignment="1">
      <alignment horizontal="center" vertical="center"/>
    </xf>
    <xf numFmtId="44" fontId="0" fillId="2" borderId="0" xfId="0" applyNumberFormat="1" applyFill="1" applyAlignment="1">
      <alignment vertical="center"/>
    </xf>
    <xf numFmtId="44" fontId="6" fillId="2" borderId="10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2" borderId="0" xfId="0" applyNumberFormat="1" applyFill="1" applyAlignment="1">
      <alignment vertical="center"/>
    </xf>
    <xf numFmtId="49" fontId="6" fillId="2" borderId="12" xfId="0" applyNumberFormat="1" applyFon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11" xfId="0" applyNumberFormat="1" applyBorder="1" applyAlignment="1">
      <alignment horizontal="center" vertical="center" wrapText="1"/>
    </xf>
    <xf numFmtId="14" fontId="0" fillId="2" borderId="0" xfId="0" applyNumberFormat="1" applyFill="1" applyAlignment="1">
      <alignment vertical="center"/>
    </xf>
    <xf numFmtId="14" fontId="0" fillId="0" borderId="14" xfId="0" applyNumberFormat="1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8" fontId="0" fillId="0" borderId="10" xfId="0" applyNumberFormat="1" applyBorder="1" applyAlignment="1">
      <alignment horizontal="center" vertical="center"/>
    </xf>
    <xf numFmtId="14" fontId="8" fillId="3" borderId="0" xfId="0" applyNumberFormat="1" applyFont="1" applyFill="1" applyAlignment="1">
      <alignment wrapText="1"/>
    </xf>
  </cellXfs>
  <cellStyles count="2">
    <cellStyle name="Normal" xfId="0" builtinId="0"/>
    <cellStyle name="Normal 2" xfId="1" xr:uid="{1F362933-619A-4FDD-BBAC-8C2B1F38B76A}"/>
  </cellStyles>
  <dxfs count="64"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/>
    </dxf>
    <dxf>
      <numFmt numFmtId="30" formatCode="@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83B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228600</xdr:rowOff>
    </xdr:from>
    <xdr:to>
      <xdr:col>1</xdr:col>
      <xdr:colOff>895350</xdr:colOff>
      <xdr:row>0</xdr:row>
      <xdr:rowOff>552450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2EB32A-A35C-48B6-9F89-51515595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28600"/>
          <a:ext cx="2495550" cy="3238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0571A-6F42-4FB7-BAA6-86BE991A98D4}" name="Tabela3" displayName="Tabela3" ref="A1:A387" totalsRowShown="0" headerRowDxfId="61" dataDxfId="60" headerRowBorderDxfId="58" tableBorderDxfId="59" totalsRowBorderDxfId="57">
  <autoFilter ref="A1:A387" xr:uid="{A0F0571A-6F42-4FB7-BAA6-86BE991A98D4}"/>
  <tableColumns count="1">
    <tableColumn id="1" xr3:uid="{221054E6-DE6E-49BC-8CCD-03C2A983F482}" name="Fornecedores Terceiros " dataDxfId="5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36192-0FF4-4B3E-A114-E7A9A4BD1A0D}" name="Tabela4" displayName="Tabela4" ref="A1:B10000" totalsRowShown="0" headerRowDxfId="55" dataDxfId="54" headerRowBorderDxfId="52" tableBorderDxfId="53" totalsRowBorderDxfId="51">
  <autoFilter ref="A1:B10000" xr:uid="{F5236192-0FF4-4B3E-A114-E7A9A4BD1A0D}"/>
  <tableColumns count="2">
    <tableColumn id="1" xr3:uid="{F1671247-480E-445E-8404-15453F4BADCE}" name="Prefixo" dataDxfId="50"/>
    <tableColumn id="2" xr3:uid="{FC151F74-FF4E-4CB5-BCD2-BC5013113D7D}" name="Equipamento" dataDxfId="4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85EF3-4606-45BC-A2EB-924C5C960DCF}" name="Tabela5" displayName="Tabela5" ref="A2:R2324" headerRowDxfId="34" dataDxfId="33" totalsRowDxfId="32">
  <autoFilter ref="A2:R2324" xr:uid="{95D85EF3-4606-45BC-A2EB-924C5C960DCF}">
    <filterColumn colId="4">
      <filters>
        <filter val="ROTA OESTE"/>
      </filters>
    </filterColumn>
  </autoFilter>
  <tableColumns count="18">
    <tableColumn id="1" xr3:uid="{2BA1BB84-E36A-49FE-AB73-BE4D23393ECC}" name="DATA DE RECEBIMENTO" totalsRowLabel="Total" dataDxfId="30" totalsRowDxfId="31"/>
    <tableColumn id="2" xr3:uid="{8202A6C9-3663-46CE-882A-D5D7A5CC0BCD}" name="DATA LANÇAMENTO" dataDxfId="28" totalsRowDxfId="29"/>
    <tableColumn id="3" xr3:uid="{C196C8CD-5B17-4151-AC8F-1B76C2D73BE8}" name="PREFIXO " dataDxfId="26" totalsRowDxfId="27"/>
    <tableColumn id="4" xr3:uid="{08B3CCAB-DCB2-4A62-893B-3811426493B1}" name="Equipamento" dataDxfId="24" totalsRowDxfId="25">
      <calculatedColumnFormula>IFERROR(VLOOKUP(Tabela5[[#This Row],[PREFIXO ]],Tabela4[#All],2,0),"CENTRO DE CUSTO")</calculatedColumnFormula>
    </tableColumn>
    <tableColumn id="5" xr3:uid="{69F3CBD9-7E58-4099-AEC1-0CF584CDD96E}" name="FORNECEDOR" dataDxfId="22" totalsRowDxfId="23"/>
    <tableColumn id="6" xr3:uid="{08373118-45E5-4FD6-8A64-FE9E7934FE7F}" name="Nº ORÇ. FINAL" dataDxfId="20" totalsRowDxfId="21"/>
    <tableColumn id="7" xr3:uid="{2DA3D660-DB8F-4A52-B7E6-05DCB52A7003}" name="VALOR SERVIÇO" dataDxfId="18" totalsRowDxfId="19"/>
    <tableColumn id="8" xr3:uid="{FA6EC557-41F5-4DAD-83FB-3791F9481134}" name="VALOR PEÇAS" dataDxfId="16" totalsRowDxfId="17"/>
    <tableColumn id="9" xr3:uid="{C72DE3D0-B6C0-42F3-8FB6-A368C271CDA2}" name="VALOR TOTAL" dataDxfId="14" totalsRowDxfId="15">
      <calculatedColumnFormula>G3+H3</calculatedColumnFormula>
    </tableColumn>
    <tableColumn id="10" xr3:uid="{A2C8F6C8-7C5D-46EC-935A-B6DA41ADA182}" name="SOLICITANTE" dataDxfId="12" totalsRowDxfId="13"/>
    <tableColumn id="11" xr3:uid="{7DC40C70-4A06-496F-A324-41C91D070C58}" name="Nº ORDEM SERVIÇO" dataDxfId="10" totalsRowDxfId="11"/>
    <tableColumn id="12" xr3:uid="{44577FCC-86F1-4FCD-8AF2-AE747A6536E2}" name="Nº REQUISIÇÃO" dataDxfId="8" totalsRowDxfId="9"/>
    <tableColumn id="13" xr3:uid="{3563D21A-04A7-4215-9245-DD0AB4D94410}" name="Nº PEDIDO DE COMPRA" dataDxfId="7"/>
    <tableColumn id="18" xr3:uid="{6271F534-3E4D-4B10-BFF3-1AEB8A6D5305}" name="DATA DO PEDIDO" dataDxfId="6"/>
    <tableColumn id="14" xr3:uid="{1BAED45E-7A9B-41D9-807B-77CF44EE9EFE}" name="Nº NFS/DANFE" dataDxfId="5"/>
    <tableColumn id="15" xr3:uid="{AFF831C3-783F-4386-8B1B-91441759642F}" name="DATA LANÇAMENTO(NFS)" dataDxfId="4"/>
    <tableColumn id="16" xr3:uid="{08F13BD6-BA02-4B97-866C-C949EA32E739}" name="STATUS" dataDxfId="2" totalsRowDxfId="3">
      <calculatedColumnFormula array="1">_xlfn.IFS(
A3="","",
AND(A3&lt;&gt;"",B3=""),"FALTA LANÇAMENTO",
AND(B3&lt;&gt;"",M3=""),"FALTA O PEDIDO",
AND(M3&lt;&gt;"",O3=""),"FALTA NF",
O3&lt;&gt;"","CONCLUÍDO")</calculatedColumnFormula>
    </tableColumn>
    <tableColumn id="17" xr3:uid="{B2EE9D16-3A25-4623-9BAF-3DBDEE24C5F7}" name="OBS ADICIONAIS" totalsRowFunction="count" dataDxfId="0" totalsRow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5241-C609-43F8-8D03-2C619A675C81}">
  <dimension ref="A1:A387"/>
  <sheetViews>
    <sheetView topLeftCell="A379" workbookViewId="0">
      <selection activeCell="A388" sqref="A388"/>
    </sheetView>
  </sheetViews>
  <sheetFormatPr defaultRowHeight="15"/>
  <cols>
    <col min="1" max="1" width="47" bestFit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72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3" t="s">
        <v>228</v>
      </c>
    </row>
    <row r="231" spans="1:1">
      <c r="A231" s="3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3" t="s">
        <v>237</v>
      </c>
    </row>
    <row r="240" spans="1:1">
      <c r="A240" s="3" t="s">
        <v>238</v>
      </c>
    </row>
    <row r="241" spans="1:1">
      <c r="A241" s="3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3" t="s">
        <v>242</v>
      </c>
    </row>
    <row r="245" spans="1:1">
      <c r="A245" s="3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3" t="s">
        <v>254</v>
      </c>
    </row>
    <row r="257" spans="1:1">
      <c r="A257" s="3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3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  <row r="270" spans="1:1">
      <c r="A270" s="3" t="s">
        <v>268</v>
      </c>
    </row>
    <row r="271" spans="1:1">
      <c r="A271" s="3" t="s">
        <v>269</v>
      </c>
    </row>
    <row r="272" spans="1:1">
      <c r="A272" s="3" t="s">
        <v>270</v>
      </c>
    </row>
    <row r="273" spans="1:1">
      <c r="A273" s="3" t="s">
        <v>271</v>
      </c>
    </row>
    <row r="274" spans="1:1">
      <c r="A274" s="3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3" t="s">
        <v>275</v>
      </c>
    </row>
    <row r="278" spans="1:1">
      <c r="A278" s="3" t="s">
        <v>276</v>
      </c>
    </row>
    <row r="279" spans="1:1">
      <c r="A279" s="3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3" t="s">
        <v>263</v>
      </c>
    </row>
    <row r="288" spans="1:1">
      <c r="A288" s="3" t="s">
        <v>285</v>
      </c>
    </row>
    <row r="289" spans="1:1">
      <c r="A289" s="3" t="s">
        <v>286</v>
      </c>
    </row>
    <row r="290" spans="1:1">
      <c r="A290" s="3" t="s">
        <v>33</v>
      </c>
    </row>
    <row r="291" spans="1:1">
      <c r="A291" s="3" t="s">
        <v>272</v>
      </c>
    </row>
    <row r="292" spans="1:1">
      <c r="A292" s="3" t="s">
        <v>226</v>
      </c>
    </row>
    <row r="293" spans="1:1">
      <c r="A293" s="3" t="s">
        <v>287</v>
      </c>
    </row>
    <row r="294" spans="1:1">
      <c r="A294" s="3" t="s">
        <v>288</v>
      </c>
    </row>
    <row r="295" spans="1:1">
      <c r="A295" s="3" t="s">
        <v>289</v>
      </c>
    </row>
    <row r="296" spans="1:1">
      <c r="A296" s="3" t="s">
        <v>290</v>
      </c>
    </row>
    <row r="297" spans="1:1">
      <c r="A297" s="3" t="s">
        <v>291</v>
      </c>
    </row>
    <row r="298" spans="1:1">
      <c r="A298" s="3" t="s">
        <v>292</v>
      </c>
    </row>
    <row r="299" spans="1:1">
      <c r="A299" s="3" t="s">
        <v>293</v>
      </c>
    </row>
    <row r="300" spans="1:1">
      <c r="A300" s="3" t="s">
        <v>294</v>
      </c>
    </row>
    <row r="301" spans="1:1">
      <c r="A301" s="3" t="s">
        <v>295</v>
      </c>
    </row>
    <row r="302" spans="1:1">
      <c r="A302" s="3" t="s">
        <v>296</v>
      </c>
    </row>
    <row r="303" spans="1:1">
      <c r="A303" s="3" t="s">
        <v>208</v>
      </c>
    </row>
    <row r="304" spans="1:1">
      <c r="A304" s="3"/>
    </row>
    <row r="305" spans="1:1">
      <c r="A305" s="3" t="s">
        <v>297</v>
      </c>
    </row>
    <row r="306" spans="1:1">
      <c r="A306" s="3" t="s">
        <v>298</v>
      </c>
    </row>
    <row r="307" spans="1:1">
      <c r="A307" s="3" t="s">
        <v>299</v>
      </c>
    </row>
    <row r="308" spans="1:1">
      <c r="A308" s="3" t="s">
        <v>300</v>
      </c>
    </row>
    <row r="309" spans="1:1">
      <c r="A309" s="3" t="s">
        <v>301</v>
      </c>
    </row>
    <row r="310" spans="1:1">
      <c r="A310" s="3" t="s">
        <v>302</v>
      </c>
    </row>
    <row r="311" spans="1:1">
      <c r="A311" s="3" t="s">
        <v>303</v>
      </c>
    </row>
    <row r="312" spans="1:1">
      <c r="A312" s="3" t="s">
        <v>304</v>
      </c>
    </row>
    <row r="313" spans="1:1">
      <c r="A313" s="3" t="s">
        <v>305</v>
      </c>
    </row>
    <row r="314" spans="1:1">
      <c r="A314" s="3" t="s">
        <v>306</v>
      </c>
    </row>
    <row r="315" spans="1:1">
      <c r="A315" s="3" t="s">
        <v>307</v>
      </c>
    </row>
    <row r="316" spans="1:1">
      <c r="A316" s="3" t="s">
        <v>308</v>
      </c>
    </row>
    <row r="317" spans="1:1">
      <c r="A317" s="3" t="s">
        <v>309</v>
      </c>
    </row>
    <row r="318" spans="1:1">
      <c r="A318" s="3" t="s">
        <v>310</v>
      </c>
    </row>
    <row r="319" spans="1:1">
      <c r="A319" s="3" t="s">
        <v>311</v>
      </c>
    </row>
    <row r="320" spans="1:1">
      <c r="A320" s="3" t="s">
        <v>231</v>
      </c>
    </row>
    <row r="321" spans="1:1">
      <c r="A321" s="3" t="s">
        <v>312</v>
      </c>
    </row>
    <row r="322" spans="1:1">
      <c r="A322" s="3" t="s">
        <v>313</v>
      </c>
    </row>
    <row r="323" spans="1:1">
      <c r="A323" s="3" t="s">
        <v>314</v>
      </c>
    </row>
    <row r="324" spans="1:1">
      <c r="A324" s="3" t="s">
        <v>315</v>
      </c>
    </row>
    <row r="325" spans="1:1">
      <c r="A325" s="3" t="s">
        <v>316</v>
      </c>
    </row>
    <row r="326" spans="1:1">
      <c r="A326" s="3" t="s">
        <v>317</v>
      </c>
    </row>
    <row r="327" spans="1:1">
      <c r="A327" s="3" t="s">
        <v>318</v>
      </c>
    </row>
    <row r="328" spans="1:1">
      <c r="A328" s="3" t="s">
        <v>319</v>
      </c>
    </row>
    <row r="329" spans="1:1">
      <c r="A329" s="3" t="s">
        <v>320</v>
      </c>
    </row>
    <row r="330" spans="1:1">
      <c r="A330" s="3" t="s">
        <v>321</v>
      </c>
    </row>
    <row r="331" spans="1:1">
      <c r="A331" s="3" t="s">
        <v>322</v>
      </c>
    </row>
    <row r="332" spans="1:1">
      <c r="A332" s="3" t="s">
        <v>323</v>
      </c>
    </row>
    <row r="333" spans="1:1">
      <c r="A333" s="3" t="s">
        <v>324</v>
      </c>
    </row>
    <row r="334" spans="1:1">
      <c r="A334" s="3" t="s">
        <v>325</v>
      </c>
    </row>
    <row r="335" spans="1:1">
      <c r="A335" s="3" t="s">
        <v>326</v>
      </c>
    </row>
    <row r="336" spans="1:1">
      <c r="A336" s="3" t="s">
        <v>327</v>
      </c>
    </row>
    <row r="337" spans="1:1">
      <c r="A337" s="3" t="s">
        <v>328</v>
      </c>
    </row>
    <row r="338" spans="1:1">
      <c r="A338" s="3" t="s">
        <v>329</v>
      </c>
    </row>
    <row r="339" spans="1:1">
      <c r="A339" s="3" t="s">
        <v>330</v>
      </c>
    </row>
    <row r="340" spans="1:1">
      <c r="A340" s="4" t="s">
        <v>71</v>
      </c>
    </row>
    <row r="341" spans="1:1">
      <c r="A341" s="4" t="s">
        <v>68</v>
      </c>
    </row>
    <row r="342" spans="1:1">
      <c r="A342" s="4" t="s">
        <v>331</v>
      </c>
    </row>
    <row r="343" spans="1:1">
      <c r="A343" s="4" t="s">
        <v>332</v>
      </c>
    </row>
    <row r="344" spans="1:1">
      <c r="A344" s="4" t="s">
        <v>333</v>
      </c>
    </row>
    <row r="345" spans="1:1">
      <c r="A345" s="4" t="s">
        <v>334</v>
      </c>
    </row>
    <row r="346" spans="1:1">
      <c r="A346" s="4" t="s">
        <v>335</v>
      </c>
    </row>
    <row r="347" spans="1:1">
      <c r="A347" s="4" t="s">
        <v>336</v>
      </c>
    </row>
    <row r="348" spans="1:1">
      <c r="A348" s="4" t="s">
        <v>337</v>
      </c>
    </row>
    <row r="349" spans="1:1">
      <c r="A349" s="4" t="s">
        <v>338</v>
      </c>
    </row>
    <row r="350" spans="1:1">
      <c r="A350" s="4" t="s">
        <v>339</v>
      </c>
    </row>
    <row r="351" spans="1:1">
      <c r="A351" s="4" t="s">
        <v>340</v>
      </c>
    </row>
    <row r="352" spans="1:1">
      <c r="A352" s="4" t="s">
        <v>341</v>
      </c>
    </row>
    <row r="353" spans="1:1">
      <c r="A353" s="4" t="s">
        <v>342</v>
      </c>
    </row>
    <row r="354" spans="1:1">
      <c r="A354" s="4" t="s">
        <v>343</v>
      </c>
    </row>
    <row r="355" spans="1:1">
      <c r="A355" s="4" t="s">
        <v>344</v>
      </c>
    </row>
    <row r="356" spans="1:1">
      <c r="A356" s="4" t="s">
        <v>345</v>
      </c>
    </row>
    <row r="357" spans="1:1">
      <c r="A357" s="4" t="s">
        <v>346</v>
      </c>
    </row>
    <row r="358" spans="1:1">
      <c r="A358" s="4" t="s">
        <v>347</v>
      </c>
    </row>
    <row r="359" spans="1:1">
      <c r="A359" s="4" t="s">
        <v>348</v>
      </c>
    </row>
    <row r="360" spans="1:1">
      <c r="A360" s="4" t="s">
        <v>349</v>
      </c>
    </row>
    <row r="361" spans="1:1">
      <c r="A361" s="4" t="s">
        <v>350</v>
      </c>
    </row>
    <row r="362" spans="1:1">
      <c r="A362" s="4" t="s">
        <v>351</v>
      </c>
    </row>
    <row r="363" spans="1:1">
      <c r="A363" s="4" t="s">
        <v>352</v>
      </c>
    </row>
    <row r="364" spans="1:1">
      <c r="A364" s="4" t="s">
        <v>353</v>
      </c>
    </row>
    <row r="365" spans="1:1">
      <c r="A365" s="4" t="s">
        <v>354</v>
      </c>
    </row>
    <row r="366" spans="1:1">
      <c r="A366" s="4" t="s">
        <v>355</v>
      </c>
    </row>
    <row r="367" spans="1:1">
      <c r="A367" s="4" t="s">
        <v>356</v>
      </c>
    </row>
    <row r="368" spans="1:1">
      <c r="A368" s="4" t="s">
        <v>357</v>
      </c>
    </row>
    <row r="369" spans="1:1">
      <c r="A369" s="4" t="s">
        <v>358</v>
      </c>
    </row>
    <row r="370" spans="1:1">
      <c r="A370" s="4" t="s">
        <v>359</v>
      </c>
    </row>
    <row r="371" spans="1:1">
      <c r="A371" s="4" t="s">
        <v>360</v>
      </c>
    </row>
    <row r="372" spans="1:1">
      <c r="A372" s="4" t="s">
        <v>361</v>
      </c>
    </row>
    <row r="373" spans="1:1">
      <c r="A373" s="4" t="s">
        <v>362</v>
      </c>
    </row>
    <row r="374" spans="1:1">
      <c r="A374" s="4" t="s">
        <v>363</v>
      </c>
    </row>
    <row r="375" spans="1:1">
      <c r="A375" s="4" t="s">
        <v>364</v>
      </c>
    </row>
    <row r="376" spans="1:1">
      <c r="A376" s="4" t="s">
        <v>365</v>
      </c>
    </row>
    <row r="377" spans="1:1">
      <c r="A377" s="4" t="s">
        <v>366</v>
      </c>
    </row>
    <row r="378" spans="1:1">
      <c r="A378" s="4" t="s">
        <v>367</v>
      </c>
    </row>
    <row r="379" spans="1:1">
      <c r="A379" s="4" t="s">
        <v>368</v>
      </c>
    </row>
    <row r="380" spans="1:1">
      <c r="A380" s="4" t="s">
        <v>369</v>
      </c>
    </row>
    <row r="381" spans="1:1">
      <c r="A381" s="4" t="s">
        <v>370</v>
      </c>
    </row>
    <row r="382" spans="1:1">
      <c r="A382" s="4" t="s">
        <v>371</v>
      </c>
    </row>
    <row r="383" spans="1:1">
      <c r="A383" s="44" t="s">
        <v>372</v>
      </c>
    </row>
    <row r="384" spans="1:1">
      <c r="A384" s="44" t="s">
        <v>373</v>
      </c>
    </row>
    <row r="385" spans="1:1">
      <c r="A385" s="44" t="s">
        <v>374</v>
      </c>
    </row>
    <row r="386" spans="1:1">
      <c r="A386" s="44" t="s">
        <v>375</v>
      </c>
    </row>
    <row r="387" spans="1:1">
      <c r="A387" s="44" t="s">
        <v>376</v>
      </c>
    </row>
  </sheetData>
  <conditionalFormatting sqref="A1">
    <cfRule type="duplicateValues" dxfId="63" priority="1"/>
  </conditionalFormatting>
  <conditionalFormatting sqref="A99:A281 A2:A96">
    <cfRule type="duplicateValues" dxfId="62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7614-D83F-4665-B6D8-800CAD3A59C1}">
  <dimension ref="A1:B10000"/>
  <sheetViews>
    <sheetView topLeftCell="A1792" workbookViewId="0">
      <selection activeCell="E2273" sqref="E2273"/>
    </sheetView>
  </sheetViews>
  <sheetFormatPr defaultRowHeight="15"/>
  <cols>
    <col min="1" max="1" width="11.85546875" bestFit="1" customWidth="1"/>
    <col min="2" max="2" width="56.42578125" bestFit="1" customWidth="1"/>
  </cols>
  <sheetData>
    <row r="1" spans="1:2" ht="14.25" customHeight="1">
      <c r="A1" s="5" t="s">
        <v>377</v>
      </c>
      <c r="B1" s="6" t="s">
        <v>378</v>
      </c>
    </row>
    <row r="2" spans="1:2" ht="14.25" customHeight="1">
      <c r="A2" s="7">
        <v>1726243</v>
      </c>
      <c r="B2" s="8" t="s">
        <v>379</v>
      </c>
    </row>
    <row r="3" spans="1:2" ht="14.25" customHeight="1">
      <c r="A3" s="7">
        <v>150210220</v>
      </c>
      <c r="B3" s="8" t="s">
        <v>380</v>
      </c>
    </row>
    <row r="4" spans="1:2" ht="14.25" customHeight="1">
      <c r="A4" s="7">
        <v>81521060</v>
      </c>
      <c r="B4" s="8" t="s">
        <v>381</v>
      </c>
    </row>
    <row r="5" spans="1:2" ht="14.25" customHeight="1">
      <c r="A5" s="7">
        <v>150210100</v>
      </c>
      <c r="B5" s="8" t="s">
        <v>382</v>
      </c>
    </row>
    <row r="6" spans="1:2" ht="14.25" customHeight="1">
      <c r="A6" s="7">
        <v>150210093</v>
      </c>
      <c r="B6" s="8" t="s">
        <v>383</v>
      </c>
    </row>
    <row r="7" spans="1:2" ht="14.25" customHeight="1">
      <c r="A7" s="7">
        <v>150210077</v>
      </c>
      <c r="B7" s="8" t="s">
        <v>384</v>
      </c>
    </row>
    <row r="8" spans="1:2" ht="14.25" customHeight="1">
      <c r="A8" s="7">
        <v>150210070</v>
      </c>
      <c r="B8" s="8" t="s">
        <v>385</v>
      </c>
    </row>
    <row r="9" spans="1:2" ht="14.25" customHeight="1">
      <c r="A9" s="7">
        <v>150210110</v>
      </c>
      <c r="B9" s="8" t="s">
        <v>386</v>
      </c>
    </row>
    <row r="10" spans="1:2" ht="14.25" customHeight="1">
      <c r="A10" s="7">
        <v>150210050</v>
      </c>
      <c r="B10" s="8" t="s">
        <v>387</v>
      </c>
    </row>
    <row r="11" spans="1:2" ht="14.25" customHeight="1">
      <c r="A11" s="7">
        <v>150210069</v>
      </c>
      <c r="B11" s="8" t="s">
        <v>388</v>
      </c>
    </row>
    <row r="12" spans="1:2" ht="14.25" customHeight="1">
      <c r="A12" s="7">
        <v>150210061</v>
      </c>
      <c r="B12" s="8" t="s">
        <v>389</v>
      </c>
    </row>
    <row r="13" spans="1:2" ht="14.25" customHeight="1">
      <c r="A13" s="7">
        <v>150210346</v>
      </c>
      <c r="B13" s="8" t="s">
        <v>390</v>
      </c>
    </row>
    <row r="14" spans="1:2" ht="14.25" customHeight="1">
      <c r="A14" s="7">
        <v>150210325</v>
      </c>
      <c r="B14" s="8" t="s">
        <v>391</v>
      </c>
    </row>
    <row r="15" spans="1:2" ht="14.25" customHeight="1">
      <c r="A15" s="7">
        <v>150210044</v>
      </c>
      <c r="B15" s="8" t="s">
        <v>392</v>
      </c>
    </row>
    <row r="16" spans="1:2" ht="14.25" customHeight="1">
      <c r="A16" s="7">
        <v>150210073</v>
      </c>
      <c r="B16" s="8" t="s">
        <v>393</v>
      </c>
    </row>
    <row r="17" spans="1:2" ht="14.25" customHeight="1">
      <c r="A17" s="7">
        <v>150210437</v>
      </c>
      <c r="B17" s="8" t="s">
        <v>394</v>
      </c>
    </row>
    <row r="18" spans="1:2" ht="14.25" customHeight="1">
      <c r="A18" s="7">
        <v>150210218</v>
      </c>
      <c r="B18" s="9" t="s">
        <v>395</v>
      </c>
    </row>
    <row r="19" spans="1:2" ht="14.25" customHeight="1">
      <c r="A19" s="7">
        <v>81521295</v>
      </c>
      <c r="B19" s="8" t="s">
        <v>396</v>
      </c>
    </row>
    <row r="20" spans="1:2" ht="14.25" customHeight="1">
      <c r="A20" s="7">
        <v>8173554</v>
      </c>
      <c r="B20" s="8" t="s">
        <v>397</v>
      </c>
    </row>
    <row r="21" spans="1:2" ht="14.25" customHeight="1">
      <c r="A21" s="7">
        <v>61521107</v>
      </c>
      <c r="B21" s="8" t="s">
        <v>398</v>
      </c>
    </row>
    <row r="22" spans="1:2" ht="14.25" customHeight="1">
      <c r="A22" s="7">
        <v>627373</v>
      </c>
      <c r="B22" s="8" t="s">
        <v>399</v>
      </c>
    </row>
    <row r="23" spans="1:2" ht="14.25" customHeight="1">
      <c r="A23" s="7">
        <v>150210097</v>
      </c>
      <c r="B23" s="8" t="s">
        <v>400</v>
      </c>
    </row>
    <row r="24" spans="1:2" ht="14.25" customHeight="1">
      <c r="A24" s="7">
        <v>61521102</v>
      </c>
      <c r="B24" s="8" t="s">
        <v>401</v>
      </c>
    </row>
    <row r="25" spans="1:2" ht="14.25" customHeight="1">
      <c r="A25" s="7">
        <v>81519050</v>
      </c>
      <c r="B25" s="8" t="s">
        <v>402</v>
      </c>
    </row>
    <row r="26" spans="1:2" ht="14.25" customHeight="1">
      <c r="A26" s="7">
        <v>8151904</v>
      </c>
      <c r="B26" s="8" t="s">
        <v>402</v>
      </c>
    </row>
    <row r="27" spans="1:2" ht="14.25" customHeight="1">
      <c r="A27" s="7">
        <v>150210328</v>
      </c>
      <c r="B27" s="8" t="s">
        <v>403</v>
      </c>
    </row>
    <row r="28" spans="1:2" ht="14.25" customHeight="1">
      <c r="A28" s="7">
        <v>150210064</v>
      </c>
      <c r="B28" s="8" t="s">
        <v>404</v>
      </c>
    </row>
    <row r="29" spans="1:2" ht="14.25" customHeight="1">
      <c r="A29" s="7">
        <v>7157354</v>
      </c>
      <c r="B29" s="8" t="s">
        <v>405</v>
      </c>
    </row>
    <row r="30" spans="1:2" ht="14.25" customHeight="1">
      <c r="A30" s="7">
        <v>61521106</v>
      </c>
      <c r="B30" s="8" t="s">
        <v>406</v>
      </c>
    </row>
    <row r="31" spans="1:2" ht="14.25" customHeight="1">
      <c r="A31" s="7">
        <v>61521105</v>
      </c>
      <c r="B31" s="8" t="s">
        <v>407</v>
      </c>
    </row>
    <row r="32" spans="1:2" ht="14.25" customHeight="1">
      <c r="A32" s="7">
        <v>41521064</v>
      </c>
      <c r="B32" s="8" t="s">
        <v>408</v>
      </c>
    </row>
    <row r="33" spans="1:2" ht="14.25" customHeight="1">
      <c r="A33" s="7">
        <v>81520164</v>
      </c>
      <c r="B33" s="8" t="s">
        <v>409</v>
      </c>
    </row>
    <row r="34" spans="1:2" ht="14.25" customHeight="1">
      <c r="A34" s="7">
        <v>41521067</v>
      </c>
      <c r="B34" s="8" t="s">
        <v>410</v>
      </c>
    </row>
    <row r="35" spans="1:2" ht="14.25" customHeight="1">
      <c r="A35" s="7">
        <v>41521068</v>
      </c>
      <c r="B35" s="8" t="s">
        <v>410</v>
      </c>
    </row>
    <row r="36" spans="1:2" ht="14.25" customHeight="1">
      <c r="A36" s="7">
        <v>41521069</v>
      </c>
      <c r="B36" s="8" t="s">
        <v>410</v>
      </c>
    </row>
    <row r="37" spans="1:2" ht="14.25" customHeight="1">
      <c r="A37" s="7">
        <v>41521070</v>
      </c>
      <c r="B37" s="8" t="s">
        <v>410</v>
      </c>
    </row>
    <row r="38" spans="1:2" ht="14.25" customHeight="1">
      <c r="A38" s="7">
        <v>41521066</v>
      </c>
      <c r="B38" s="8" t="s">
        <v>410</v>
      </c>
    </row>
    <row r="39" spans="1:2" ht="14.25" customHeight="1">
      <c r="A39" s="7">
        <v>41521071</v>
      </c>
      <c r="B39" s="8" t="s">
        <v>410</v>
      </c>
    </row>
    <row r="40" spans="1:2" ht="14.25" customHeight="1">
      <c r="A40" s="7">
        <v>81521238</v>
      </c>
      <c r="B40" s="8" t="s">
        <v>381</v>
      </c>
    </row>
    <row r="41" spans="1:2" ht="14.25" customHeight="1">
      <c r="A41" s="7">
        <v>150210349</v>
      </c>
      <c r="B41" s="8" t="s">
        <v>411</v>
      </c>
    </row>
    <row r="42" spans="1:2" ht="14.25" customHeight="1">
      <c r="A42" s="7">
        <v>81521567</v>
      </c>
      <c r="B42" s="8" t="s">
        <v>412</v>
      </c>
    </row>
    <row r="43" spans="1:2" ht="14.25" customHeight="1">
      <c r="A43" s="7">
        <v>81521549</v>
      </c>
      <c r="B43" s="8" t="s">
        <v>413</v>
      </c>
    </row>
    <row r="44" spans="1:2" ht="14.25" customHeight="1">
      <c r="A44" s="10">
        <v>41521072</v>
      </c>
      <c r="B44" s="11" t="s">
        <v>414</v>
      </c>
    </row>
    <row r="45" spans="1:2" ht="14.25" customHeight="1">
      <c r="A45" s="1">
        <v>500580015</v>
      </c>
      <c r="B45" s="12" t="s">
        <v>415</v>
      </c>
    </row>
    <row r="46" spans="1:2" ht="14.25" customHeight="1">
      <c r="A46" s="1">
        <v>500580016</v>
      </c>
      <c r="B46" s="12" t="s">
        <v>416</v>
      </c>
    </row>
    <row r="47" spans="1:2" ht="14.25" customHeight="1">
      <c r="A47" s="1">
        <v>500580020</v>
      </c>
      <c r="B47" s="12" t="s">
        <v>417</v>
      </c>
    </row>
    <row r="48" spans="1:2" ht="14.25" customHeight="1">
      <c r="A48" s="1">
        <v>500580021</v>
      </c>
      <c r="B48" s="12" t="s">
        <v>418</v>
      </c>
    </row>
    <row r="49" spans="1:2" ht="14.25" customHeight="1">
      <c r="A49" s="1">
        <v>500580024</v>
      </c>
      <c r="B49" s="12" t="s">
        <v>419</v>
      </c>
    </row>
    <row r="50" spans="1:2" ht="14.25" customHeight="1">
      <c r="A50" s="1">
        <v>500580027</v>
      </c>
      <c r="B50" s="12" t="s">
        <v>420</v>
      </c>
    </row>
    <row r="51" spans="1:2" ht="14.25" customHeight="1">
      <c r="A51" s="1">
        <v>500580028</v>
      </c>
      <c r="B51" s="12" t="s">
        <v>421</v>
      </c>
    </row>
    <row r="52" spans="1:2" ht="14.25" customHeight="1">
      <c r="A52" s="1">
        <v>500580033</v>
      </c>
      <c r="B52" s="12" t="s">
        <v>422</v>
      </c>
    </row>
    <row r="53" spans="1:2" ht="14.25" customHeight="1">
      <c r="A53" s="1">
        <v>500580041</v>
      </c>
      <c r="B53" s="12" t="s">
        <v>423</v>
      </c>
    </row>
    <row r="54" spans="1:2" ht="14.25" customHeight="1">
      <c r="A54" s="1">
        <v>500580042</v>
      </c>
      <c r="B54" s="12" t="s">
        <v>424</v>
      </c>
    </row>
    <row r="55" spans="1:2" ht="14.25" customHeight="1">
      <c r="A55" s="1">
        <v>500580043</v>
      </c>
      <c r="B55" s="12" t="s">
        <v>425</v>
      </c>
    </row>
    <row r="56" spans="1:2" ht="14.25" customHeight="1">
      <c r="A56" s="1">
        <v>500580044</v>
      </c>
      <c r="B56" s="12" t="s">
        <v>426</v>
      </c>
    </row>
    <row r="57" spans="1:2" ht="14.25" customHeight="1">
      <c r="A57" s="1">
        <v>500580045</v>
      </c>
      <c r="B57" s="12" t="s">
        <v>427</v>
      </c>
    </row>
    <row r="58" spans="1:2" ht="14.25" customHeight="1">
      <c r="A58" s="1">
        <v>500580046</v>
      </c>
      <c r="B58" s="12" t="s">
        <v>428</v>
      </c>
    </row>
    <row r="59" spans="1:2" ht="14.25" customHeight="1">
      <c r="A59" s="1">
        <v>500580047</v>
      </c>
      <c r="B59" s="12" t="s">
        <v>429</v>
      </c>
    </row>
    <row r="60" spans="1:2" ht="14.25" customHeight="1">
      <c r="A60" s="1">
        <v>500580048</v>
      </c>
      <c r="B60" s="12" t="s">
        <v>430</v>
      </c>
    </row>
    <row r="61" spans="1:2" ht="14.25" customHeight="1">
      <c r="A61" s="1">
        <v>500580049</v>
      </c>
      <c r="B61" s="12" t="s">
        <v>431</v>
      </c>
    </row>
    <row r="62" spans="1:2" ht="14.25" customHeight="1">
      <c r="A62" s="1">
        <v>500580050</v>
      </c>
      <c r="B62" s="12" t="s">
        <v>432</v>
      </c>
    </row>
    <row r="63" spans="1:2" ht="14.25" customHeight="1">
      <c r="A63" s="1">
        <v>500580051</v>
      </c>
      <c r="B63" s="12" t="s">
        <v>433</v>
      </c>
    </row>
    <row r="64" spans="1:2" ht="14.25" customHeight="1">
      <c r="A64" s="1">
        <v>500580052</v>
      </c>
      <c r="B64" s="12" t="s">
        <v>434</v>
      </c>
    </row>
    <row r="65" spans="1:2" ht="14.25" customHeight="1">
      <c r="A65" s="1">
        <v>500580053</v>
      </c>
      <c r="B65" s="12" t="s">
        <v>435</v>
      </c>
    </row>
    <row r="66" spans="1:2" ht="14.25" customHeight="1">
      <c r="A66" s="1">
        <v>500580054</v>
      </c>
      <c r="B66" s="12" t="s">
        <v>436</v>
      </c>
    </row>
    <row r="67" spans="1:2" ht="14.25" customHeight="1">
      <c r="A67" s="1">
        <v>500580055</v>
      </c>
      <c r="B67" s="12" t="s">
        <v>437</v>
      </c>
    </row>
    <row r="68" spans="1:2" ht="14.25" customHeight="1">
      <c r="A68" s="1">
        <v>500580056</v>
      </c>
      <c r="B68" s="12" t="s">
        <v>438</v>
      </c>
    </row>
    <row r="69" spans="1:2" ht="14.25" customHeight="1">
      <c r="A69" s="1">
        <v>500580057</v>
      </c>
      <c r="B69" s="12" t="s">
        <v>439</v>
      </c>
    </row>
    <row r="70" spans="1:2" ht="14.25" customHeight="1">
      <c r="A70" s="1">
        <v>500580058</v>
      </c>
      <c r="B70" s="12" t="s">
        <v>440</v>
      </c>
    </row>
    <row r="71" spans="1:2" ht="14.25" customHeight="1">
      <c r="A71" s="1">
        <v>500580059</v>
      </c>
      <c r="B71" s="12" t="s">
        <v>441</v>
      </c>
    </row>
    <row r="72" spans="1:2" ht="14.25" customHeight="1">
      <c r="A72" s="1">
        <v>500580060</v>
      </c>
      <c r="B72" s="12" t="s">
        <v>442</v>
      </c>
    </row>
    <row r="73" spans="1:2" ht="14.25" customHeight="1">
      <c r="A73" s="1">
        <v>500580061</v>
      </c>
      <c r="B73" s="12" t="s">
        <v>443</v>
      </c>
    </row>
    <row r="74" spans="1:2" ht="14.25" customHeight="1">
      <c r="A74" s="1">
        <v>500580062</v>
      </c>
      <c r="B74" s="12" t="s">
        <v>444</v>
      </c>
    </row>
    <row r="75" spans="1:2" ht="14.25" customHeight="1">
      <c r="A75" s="1">
        <v>500580063</v>
      </c>
      <c r="B75" s="12" t="s">
        <v>445</v>
      </c>
    </row>
    <row r="76" spans="1:2" ht="14.25" customHeight="1">
      <c r="A76" s="1">
        <v>500580064</v>
      </c>
      <c r="B76" s="12" t="s">
        <v>446</v>
      </c>
    </row>
    <row r="77" spans="1:2" ht="14.25" customHeight="1">
      <c r="A77" s="1">
        <v>500580065</v>
      </c>
      <c r="B77" s="12" t="s">
        <v>447</v>
      </c>
    </row>
    <row r="78" spans="1:2" ht="14.25" customHeight="1">
      <c r="A78" s="1">
        <v>500580066</v>
      </c>
      <c r="B78" s="12" t="s">
        <v>448</v>
      </c>
    </row>
    <row r="79" spans="1:2" ht="14.25" customHeight="1">
      <c r="A79" s="1">
        <v>500580067</v>
      </c>
      <c r="B79" s="12" t="s">
        <v>449</v>
      </c>
    </row>
    <row r="80" spans="1:2" ht="14.25" customHeight="1">
      <c r="A80" s="1">
        <v>500580068</v>
      </c>
      <c r="B80" s="12" t="s">
        <v>450</v>
      </c>
    </row>
    <row r="81" spans="1:2" ht="14.25" customHeight="1">
      <c r="A81" s="1">
        <v>500580069</v>
      </c>
      <c r="B81" s="12" t="s">
        <v>451</v>
      </c>
    </row>
    <row r="82" spans="1:2" ht="14.25" customHeight="1">
      <c r="A82" s="1">
        <v>500580070</v>
      </c>
      <c r="B82" s="12" t="s">
        <v>452</v>
      </c>
    </row>
    <row r="83" spans="1:2" ht="14.25" customHeight="1">
      <c r="A83" s="1">
        <v>500580071</v>
      </c>
      <c r="B83" s="12" t="s">
        <v>453</v>
      </c>
    </row>
    <row r="84" spans="1:2" ht="14.25" customHeight="1">
      <c r="A84" s="1">
        <v>500580072</v>
      </c>
      <c r="B84" s="12" t="s">
        <v>454</v>
      </c>
    </row>
    <row r="85" spans="1:2" ht="14.25" customHeight="1">
      <c r="A85" s="1">
        <v>500580073</v>
      </c>
      <c r="B85" s="12" t="s">
        <v>455</v>
      </c>
    </row>
    <row r="86" spans="1:2" ht="14.25" customHeight="1">
      <c r="A86" s="1">
        <v>500580074</v>
      </c>
      <c r="B86" s="12" t="s">
        <v>456</v>
      </c>
    </row>
    <row r="87" spans="1:2" ht="14.25" customHeight="1">
      <c r="A87" s="1">
        <v>500580075</v>
      </c>
      <c r="B87" s="12" t="s">
        <v>457</v>
      </c>
    </row>
    <row r="88" spans="1:2" ht="14.25" customHeight="1">
      <c r="A88" s="1">
        <v>500580076</v>
      </c>
      <c r="B88" s="12" t="s">
        <v>458</v>
      </c>
    </row>
    <row r="89" spans="1:2" ht="14.25" customHeight="1">
      <c r="A89" s="1">
        <v>500580077</v>
      </c>
      <c r="B89" s="12" t="s">
        <v>459</v>
      </c>
    </row>
    <row r="90" spans="1:2" ht="14.25" customHeight="1">
      <c r="A90" s="1">
        <v>500580078</v>
      </c>
      <c r="B90" s="12" t="s">
        <v>460</v>
      </c>
    </row>
    <row r="91" spans="1:2" ht="14.25" customHeight="1">
      <c r="A91" s="1">
        <v>500580079</v>
      </c>
      <c r="B91" s="12" t="s">
        <v>461</v>
      </c>
    </row>
    <row r="92" spans="1:2" ht="14.25" customHeight="1">
      <c r="A92" s="1">
        <v>500580080</v>
      </c>
      <c r="B92" s="12" t="s">
        <v>462</v>
      </c>
    </row>
    <row r="93" spans="1:2" ht="14.25" customHeight="1">
      <c r="A93" s="1">
        <v>500580081</v>
      </c>
      <c r="B93" s="12" t="s">
        <v>463</v>
      </c>
    </row>
    <row r="94" spans="1:2" ht="14.25" customHeight="1">
      <c r="A94" s="1">
        <v>500580082</v>
      </c>
      <c r="B94" s="12" t="s">
        <v>464</v>
      </c>
    </row>
    <row r="95" spans="1:2" ht="14.25" customHeight="1">
      <c r="A95" s="1">
        <v>500580083</v>
      </c>
      <c r="B95" s="12" t="s">
        <v>465</v>
      </c>
    </row>
    <row r="96" spans="1:2" ht="14.25" customHeight="1">
      <c r="A96" s="1">
        <v>500580084</v>
      </c>
      <c r="B96" s="12" t="s">
        <v>466</v>
      </c>
    </row>
    <row r="97" spans="1:2" ht="14.25" customHeight="1">
      <c r="A97" s="1">
        <v>500580085</v>
      </c>
      <c r="B97" s="12" t="s">
        <v>467</v>
      </c>
    </row>
    <row r="98" spans="1:2" ht="14.25" customHeight="1">
      <c r="A98" s="1">
        <v>500580086</v>
      </c>
      <c r="B98" s="12" t="s">
        <v>468</v>
      </c>
    </row>
    <row r="99" spans="1:2" ht="14.25" customHeight="1">
      <c r="A99" s="1">
        <v>500580087</v>
      </c>
      <c r="B99" s="12" t="s">
        <v>469</v>
      </c>
    </row>
    <row r="100" spans="1:2" ht="14.25" customHeight="1">
      <c r="A100" s="1">
        <v>500580088</v>
      </c>
      <c r="B100" s="12" t="s">
        <v>470</v>
      </c>
    </row>
    <row r="101" spans="1:2" ht="14.25" customHeight="1">
      <c r="A101" s="1">
        <v>500580089</v>
      </c>
      <c r="B101" s="12" t="s">
        <v>471</v>
      </c>
    </row>
    <row r="102" spans="1:2" ht="14.25" customHeight="1">
      <c r="A102" s="1">
        <v>500580090</v>
      </c>
      <c r="B102" s="12" t="s">
        <v>472</v>
      </c>
    </row>
    <row r="103" spans="1:2" ht="14.25" customHeight="1">
      <c r="A103" s="1">
        <v>500580091</v>
      </c>
      <c r="B103" s="12" t="s">
        <v>473</v>
      </c>
    </row>
    <row r="104" spans="1:2" ht="14.25" customHeight="1">
      <c r="A104" s="1">
        <v>500580092</v>
      </c>
      <c r="B104" s="12" t="s">
        <v>474</v>
      </c>
    </row>
    <row r="105" spans="1:2" ht="14.25" customHeight="1">
      <c r="A105" s="1">
        <v>500580093</v>
      </c>
      <c r="B105" s="12" t="s">
        <v>475</v>
      </c>
    </row>
    <row r="106" spans="1:2" ht="14.25" customHeight="1">
      <c r="A106" s="1">
        <v>500580094</v>
      </c>
      <c r="B106" s="12" t="s">
        <v>476</v>
      </c>
    </row>
    <row r="107" spans="1:2" ht="14.25" customHeight="1">
      <c r="A107" s="1">
        <v>500580095</v>
      </c>
      <c r="B107" s="12" t="s">
        <v>477</v>
      </c>
    </row>
    <row r="108" spans="1:2" ht="14.25" customHeight="1">
      <c r="A108" s="1">
        <v>500580096</v>
      </c>
      <c r="B108" s="12" t="s">
        <v>478</v>
      </c>
    </row>
    <row r="109" spans="1:2" ht="14.25" customHeight="1">
      <c r="A109" s="1">
        <v>500580097</v>
      </c>
      <c r="B109" s="12" t="s">
        <v>479</v>
      </c>
    </row>
    <row r="110" spans="1:2" ht="14.25" customHeight="1">
      <c r="A110" s="1">
        <v>500580098</v>
      </c>
      <c r="B110" s="12" t="s">
        <v>480</v>
      </c>
    </row>
    <row r="111" spans="1:2" ht="14.25" customHeight="1">
      <c r="A111" s="1">
        <v>500580099</v>
      </c>
      <c r="B111" s="12" t="s">
        <v>481</v>
      </c>
    </row>
    <row r="112" spans="1:2" ht="14.25" customHeight="1">
      <c r="A112" s="1">
        <v>500580100</v>
      </c>
      <c r="B112" s="12" t="s">
        <v>482</v>
      </c>
    </row>
    <row r="113" spans="1:2" ht="14.25" customHeight="1">
      <c r="A113" s="1">
        <v>500580101</v>
      </c>
      <c r="B113" s="12" t="s">
        <v>483</v>
      </c>
    </row>
    <row r="114" spans="1:2" ht="14.25" customHeight="1">
      <c r="A114" s="1">
        <v>500580102</v>
      </c>
      <c r="B114" s="12" t="s">
        <v>484</v>
      </c>
    </row>
    <row r="115" spans="1:2" ht="14.25" customHeight="1">
      <c r="A115" s="1">
        <v>500580103</v>
      </c>
      <c r="B115" s="12" t="s">
        <v>485</v>
      </c>
    </row>
    <row r="116" spans="1:2" ht="14.25" customHeight="1">
      <c r="A116" s="1">
        <v>500580104</v>
      </c>
      <c r="B116" s="12" t="s">
        <v>486</v>
      </c>
    </row>
    <row r="117" spans="1:2" ht="14.25" customHeight="1">
      <c r="A117" s="1">
        <v>500580105</v>
      </c>
      <c r="B117" s="12" t="s">
        <v>487</v>
      </c>
    </row>
    <row r="118" spans="1:2" ht="14.25" customHeight="1">
      <c r="A118" s="1">
        <v>500580106</v>
      </c>
      <c r="B118" s="12" t="s">
        <v>488</v>
      </c>
    </row>
    <row r="119" spans="1:2" ht="14.25" customHeight="1">
      <c r="A119" s="1">
        <v>500580107</v>
      </c>
      <c r="B119" s="12" t="s">
        <v>489</v>
      </c>
    </row>
    <row r="120" spans="1:2" ht="14.25" customHeight="1">
      <c r="A120" s="1">
        <v>61524001</v>
      </c>
      <c r="B120" s="12" t="s">
        <v>490</v>
      </c>
    </row>
    <row r="121" spans="1:2" ht="14.25" customHeight="1">
      <c r="A121" s="1">
        <v>500580108</v>
      </c>
      <c r="B121" s="12" t="s">
        <v>491</v>
      </c>
    </row>
    <row r="122" spans="1:2" ht="14.25" customHeight="1">
      <c r="A122" s="1">
        <v>500580109</v>
      </c>
      <c r="B122" s="12" t="s">
        <v>492</v>
      </c>
    </row>
    <row r="123" spans="1:2" ht="14.25" customHeight="1">
      <c r="A123" s="1">
        <v>500580110</v>
      </c>
      <c r="B123" s="12" t="s">
        <v>493</v>
      </c>
    </row>
    <row r="124" spans="1:2" ht="14.25" customHeight="1">
      <c r="A124" s="1">
        <v>500580111</v>
      </c>
      <c r="B124" s="12" t="s">
        <v>494</v>
      </c>
    </row>
    <row r="125" spans="1:2" ht="14.25" customHeight="1">
      <c r="A125" s="1">
        <v>500580112</v>
      </c>
      <c r="B125" s="12" t="s">
        <v>495</v>
      </c>
    </row>
    <row r="126" spans="1:2" ht="14.25" customHeight="1">
      <c r="A126" s="1">
        <v>500580113</v>
      </c>
      <c r="B126" s="12" t="s">
        <v>496</v>
      </c>
    </row>
    <row r="127" spans="1:2" ht="14.25" customHeight="1">
      <c r="A127" s="1">
        <v>500580114</v>
      </c>
      <c r="B127" s="12" t="s">
        <v>497</v>
      </c>
    </row>
    <row r="128" spans="1:2" ht="14.25" customHeight="1">
      <c r="A128" s="1">
        <v>500580115</v>
      </c>
      <c r="B128" s="12" t="s">
        <v>498</v>
      </c>
    </row>
    <row r="129" spans="1:2" ht="14.25" customHeight="1">
      <c r="A129" s="1">
        <v>500580116</v>
      </c>
      <c r="B129" s="12" t="s">
        <v>499</v>
      </c>
    </row>
    <row r="130" spans="1:2" ht="14.25" customHeight="1">
      <c r="A130" s="1">
        <v>500580117</v>
      </c>
      <c r="B130" s="12" t="s">
        <v>500</v>
      </c>
    </row>
    <row r="131" spans="1:2" ht="14.25" customHeight="1">
      <c r="A131" s="1">
        <v>500580118</v>
      </c>
      <c r="B131" s="12" t="s">
        <v>501</v>
      </c>
    </row>
    <row r="132" spans="1:2" ht="14.25" customHeight="1">
      <c r="A132" s="1">
        <v>500580119</v>
      </c>
      <c r="B132" s="12" t="s">
        <v>502</v>
      </c>
    </row>
    <row r="133" spans="1:2" ht="14.25" customHeight="1">
      <c r="A133" s="1">
        <v>500580120</v>
      </c>
      <c r="B133" s="12" t="s">
        <v>503</v>
      </c>
    </row>
    <row r="134" spans="1:2" ht="14.25" customHeight="1">
      <c r="A134" s="1">
        <v>500580121</v>
      </c>
      <c r="B134" s="12" t="s">
        <v>504</v>
      </c>
    </row>
    <row r="135" spans="1:2" ht="14.25" customHeight="1">
      <c r="A135" s="1">
        <v>500580122</v>
      </c>
      <c r="B135" s="12" t="s">
        <v>505</v>
      </c>
    </row>
    <row r="136" spans="1:2" ht="14.25" customHeight="1">
      <c r="A136" s="1">
        <v>500580123</v>
      </c>
      <c r="B136" s="12" t="s">
        <v>506</v>
      </c>
    </row>
    <row r="137" spans="1:2" ht="14.25" customHeight="1">
      <c r="A137" s="1">
        <v>500580124</v>
      </c>
      <c r="B137" s="12" t="s">
        <v>507</v>
      </c>
    </row>
    <row r="138" spans="1:2" ht="14.25" customHeight="1">
      <c r="A138" s="1">
        <v>500580125</v>
      </c>
      <c r="B138" s="12" t="s">
        <v>508</v>
      </c>
    </row>
    <row r="139" spans="1:2" ht="14.25" customHeight="1">
      <c r="A139" s="1">
        <v>500580127</v>
      </c>
      <c r="B139" s="12" t="s">
        <v>509</v>
      </c>
    </row>
    <row r="140" spans="1:2" ht="14.25" customHeight="1">
      <c r="A140" s="1">
        <v>500580128</v>
      </c>
      <c r="B140" s="12" t="s">
        <v>510</v>
      </c>
    </row>
    <row r="141" spans="1:2" ht="14.25" customHeight="1">
      <c r="A141" s="1">
        <v>500580129</v>
      </c>
      <c r="B141" s="12" t="s">
        <v>511</v>
      </c>
    </row>
    <row r="142" spans="1:2" ht="14.25" customHeight="1">
      <c r="A142" s="1">
        <v>500580130</v>
      </c>
      <c r="B142" s="12" t="s">
        <v>512</v>
      </c>
    </row>
    <row r="143" spans="1:2" ht="14.25" customHeight="1">
      <c r="A143" s="1">
        <v>500580146</v>
      </c>
      <c r="B143" s="12" t="s">
        <v>513</v>
      </c>
    </row>
    <row r="144" spans="1:2" ht="14.25" customHeight="1">
      <c r="A144" s="1">
        <v>500580152</v>
      </c>
      <c r="B144" s="12" t="s">
        <v>514</v>
      </c>
    </row>
    <row r="145" spans="1:2" ht="14.25" customHeight="1">
      <c r="A145" s="1">
        <v>500580168</v>
      </c>
      <c r="B145" s="12" t="s">
        <v>515</v>
      </c>
    </row>
    <row r="146" spans="1:2" ht="14.25" customHeight="1">
      <c r="A146" s="1">
        <v>500580176</v>
      </c>
      <c r="B146" s="12" t="s">
        <v>516</v>
      </c>
    </row>
    <row r="147" spans="1:2" ht="14.25" customHeight="1">
      <c r="A147" s="1">
        <v>500580177</v>
      </c>
      <c r="B147" s="12" t="s">
        <v>517</v>
      </c>
    </row>
    <row r="148" spans="1:2" ht="14.25" customHeight="1">
      <c r="A148" s="1">
        <v>500580178</v>
      </c>
      <c r="B148" s="12" t="s">
        <v>518</v>
      </c>
    </row>
    <row r="149" spans="1:2" ht="14.25" customHeight="1">
      <c r="A149" s="1">
        <v>500580179</v>
      </c>
      <c r="B149" s="12" t="s">
        <v>519</v>
      </c>
    </row>
    <row r="150" spans="1:2" ht="14.25" customHeight="1">
      <c r="A150" s="1">
        <v>500580181</v>
      </c>
      <c r="B150" s="12" t="s">
        <v>520</v>
      </c>
    </row>
    <row r="151" spans="1:2" ht="14.25" customHeight="1">
      <c r="A151" s="1">
        <v>500580190</v>
      </c>
      <c r="B151" s="12" t="s">
        <v>521</v>
      </c>
    </row>
    <row r="152" spans="1:2" ht="14.25" customHeight="1">
      <c r="A152" s="1">
        <v>500580191</v>
      </c>
      <c r="B152" s="12" t="s">
        <v>522</v>
      </c>
    </row>
    <row r="153" spans="1:2" ht="14.25" customHeight="1">
      <c r="A153" s="1">
        <v>500580192</v>
      </c>
      <c r="B153" s="12" t="s">
        <v>523</v>
      </c>
    </row>
    <row r="154" spans="1:2" ht="14.25" customHeight="1">
      <c r="A154" s="1">
        <v>500580193</v>
      </c>
      <c r="B154" s="12" t="s">
        <v>524</v>
      </c>
    </row>
    <row r="155" spans="1:2" ht="14.25" customHeight="1">
      <c r="A155" s="1">
        <v>500580197</v>
      </c>
      <c r="B155" s="12" t="s">
        <v>525</v>
      </c>
    </row>
    <row r="156" spans="1:2" ht="14.25" customHeight="1">
      <c r="A156" s="1">
        <v>500580212</v>
      </c>
      <c r="B156" s="12" t="s">
        <v>526</v>
      </c>
    </row>
    <row r="157" spans="1:2" ht="14.25" customHeight="1">
      <c r="A157" s="1">
        <v>500580213</v>
      </c>
      <c r="B157" s="12" t="s">
        <v>527</v>
      </c>
    </row>
    <row r="158" spans="1:2" ht="14.25" customHeight="1">
      <c r="A158" s="1">
        <v>500580216</v>
      </c>
      <c r="B158" s="12" t="s">
        <v>528</v>
      </c>
    </row>
    <row r="159" spans="1:2" ht="14.25" customHeight="1">
      <c r="A159" s="1">
        <v>500580217</v>
      </c>
      <c r="B159" s="12" t="s">
        <v>529</v>
      </c>
    </row>
    <row r="160" spans="1:2" ht="14.25" customHeight="1">
      <c r="A160" s="1">
        <v>500580218</v>
      </c>
      <c r="B160" s="12" t="s">
        <v>530</v>
      </c>
    </row>
    <row r="161" spans="1:2" ht="14.25" customHeight="1">
      <c r="A161" s="1">
        <v>500580219</v>
      </c>
      <c r="B161" s="12" t="s">
        <v>531</v>
      </c>
    </row>
    <row r="162" spans="1:2" ht="14.25" customHeight="1">
      <c r="A162" s="1">
        <v>500580220</v>
      </c>
      <c r="B162" s="12" t="s">
        <v>532</v>
      </c>
    </row>
    <row r="163" spans="1:2" ht="14.25" customHeight="1">
      <c r="A163" s="1">
        <v>500580221</v>
      </c>
      <c r="B163" s="12" t="s">
        <v>533</v>
      </c>
    </row>
    <row r="164" spans="1:2" ht="14.25" customHeight="1">
      <c r="A164" s="1">
        <v>500580222</v>
      </c>
      <c r="B164" s="12" t="s">
        <v>534</v>
      </c>
    </row>
    <row r="165" spans="1:2" ht="14.25" customHeight="1">
      <c r="A165" s="1">
        <v>500580223</v>
      </c>
      <c r="B165" s="12" t="s">
        <v>535</v>
      </c>
    </row>
    <row r="166" spans="1:2" ht="14.25" customHeight="1">
      <c r="A166" s="1">
        <v>500580224</v>
      </c>
      <c r="B166" s="12" t="s">
        <v>536</v>
      </c>
    </row>
    <row r="167" spans="1:2" ht="14.25" customHeight="1">
      <c r="A167" s="1">
        <v>500580225</v>
      </c>
      <c r="B167" s="12" t="s">
        <v>537</v>
      </c>
    </row>
    <row r="168" spans="1:2" ht="14.25" customHeight="1">
      <c r="A168" s="1">
        <v>500580230</v>
      </c>
      <c r="B168" s="12" t="s">
        <v>538</v>
      </c>
    </row>
    <row r="169" spans="1:2" ht="14.25" customHeight="1">
      <c r="A169" s="1">
        <v>500580239</v>
      </c>
      <c r="B169" s="12" t="s">
        <v>539</v>
      </c>
    </row>
    <row r="170" spans="1:2" ht="14.25" customHeight="1">
      <c r="A170" s="1">
        <v>500580242</v>
      </c>
      <c r="B170" s="12" t="s">
        <v>540</v>
      </c>
    </row>
    <row r="171" spans="1:2" ht="14.25" customHeight="1">
      <c r="A171" s="1">
        <v>500580244</v>
      </c>
      <c r="B171" s="12" t="s">
        <v>541</v>
      </c>
    </row>
    <row r="172" spans="1:2" ht="14.25" customHeight="1">
      <c r="A172" s="1">
        <v>500580249</v>
      </c>
      <c r="B172" s="12" t="s">
        <v>542</v>
      </c>
    </row>
    <row r="173" spans="1:2" ht="14.25" customHeight="1">
      <c r="A173" s="1">
        <v>500580250</v>
      </c>
      <c r="B173" s="12" t="s">
        <v>543</v>
      </c>
    </row>
    <row r="174" spans="1:2" ht="14.25" customHeight="1">
      <c r="A174" s="1">
        <v>500580251</v>
      </c>
      <c r="B174" s="12" t="s">
        <v>544</v>
      </c>
    </row>
    <row r="175" spans="1:2" ht="14.25" customHeight="1">
      <c r="A175" s="1">
        <v>500580253</v>
      </c>
      <c r="B175" s="12" t="s">
        <v>545</v>
      </c>
    </row>
    <row r="176" spans="1:2" ht="14.25" customHeight="1">
      <c r="A176" s="1">
        <v>500580257</v>
      </c>
      <c r="B176" s="12" t="s">
        <v>546</v>
      </c>
    </row>
    <row r="177" spans="1:2" ht="14.25" customHeight="1">
      <c r="A177" s="1">
        <v>500580261</v>
      </c>
      <c r="B177" s="12" t="s">
        <v>547</v>
      </c>
    </row>
    <row r="178" spans="1:2" ht="14.25" customHeight="1">
      <c r="A178" s="1">
        <v>500580262</v>
      </c>
      <c r="B178" s="12" t="s">
        <v>548</v>
      </c>
    </row>
    <row r="179" spans="1:2" ht="14.25" customHeight="1">
      <c r="A179" s="1">
        <v>500580263</v>
      </c>
      <c r="B179" s="12" t="s">
        <v>549</v>
      </c>
    </row>
    <row r="180" spans="1:2" ht="14.25" customHeight="1">
      <c r="A180" s="1">
        <v>500580264</v>
      </c>
      <c r="B180" s="12" t="s">
        <v>550</v>
      </c>
    </row>
    <row r="181" spans="1:2" ht="14.25" customHeight="1">
      <c r="A181" s="1">
        <v>500580265</v>
      </c>
      <c r="B181" s="12" t="s">
        <v>551</v>
      </c>
    </row>
    <row r="182" spans="1:2" ht="14.25" customHeight="1">
      <c r="A182" s="1">
        <v>500580273</v>
      </c>
      <c r="B182" s="12" t="s">
        <v>552</v>
      </c>
    </row>
    <row r="183" spans="1:2" ht="14.25" customHeight="1">
      <c r="A183" s="1">
        <v>500580280</v>
      </c>
      <c r="B183" s="12" t="s">
        <v>553</v>
      </c>
    </row>
    <row r="184" spans="1:2" ht="14.25" customHeight="1">
      <c r="A184" s="1">
        <v>500580281</v>
      </c>
      <c r="B184" s="12" t="s">
        <v>554</v>
      </c>
    </row>
    <row r="185" spans="1:2" ht="14.25" customHeight="1">
      <c r="A185" s="1">
        <v>500580288</v>
      </c>
      <c r="B185" s="12" t="s">
        <v>555</v>
      </c>
    </row>
    <row r="186" spans="1:2" ht="14.25" customHeight="1">
      <c r="A186" s="1">
        <v>500580302</v>
      </c>
      <c r="B186" s="12" t="s">
        <v>556</v>
      </c>
    </row>
    <row r="187" spans="1:2" ht="14.25" customHeight="1">
      <c r="A187" s="1">
        <v>500580325</v>
      </c>
      <c r="B187" s="12" t="s">
        <v>557</v>
      </c>
    </row>
    <row r="188" spans="1:2" ht="14.25" customHeight="1">
      <c r="A188" s="1">
        <v>500580328</v>
      </c>
      <c r="B188" s="12" t="s">
        <v>558</v>
      </c>
    </row>
    <row r="189" spans="1:2" ht="14.25" customHeight="1">
      <c r="A189" s="1">
        <v>500580346</v>
      </c>
      <c r="B189" s="12" t="s">
        <v>559</v>
      </c>
    </row>
    <row r="190" spans="1:2" ht="14.25" customHeight="1">
      <c r="A190" s="1">
        <v>500580347</v>
      </c>
      <c r="B190" s="12" t="s">
        <v>560</v>
      </c>
    </row>
    <row r="191" spans="1:2" ht="14.25" customHeight="1">
      <c r="A191" s="1">
        <v>500580348</v>
      </c>
      <c r="B191" s="12" t="s">
        <v>561</v>
      </c>
    </row>
    <row r="192" spans="1:2" ht="14.25" customHeight="1">
      <c r="A192" s="1">
        <v>500580349</v>
      </c>
      <c r="B192" s="12" t="s">
        <v>411</v>
      </c>
    </row>
    <row r="193" spans="1:2" ht="14.25" customHeight="1">
      <c r="A193" s="1">
        <v>500580368</v>
      </c>
      <c r="B193" s="12" t="s">
        <v>562</v>
      </c>
    </row>
    <row r="194" spans="1:2" ht="14.25" customHeight="1">
      <c r="A194" s="1">
        <v>500580372</v>
      </c>
      <c r="B194" s="12" t="s">
        <v>563</v>
      </c>
    </row>
    <row r="195" spans="1:2" ht="14.25" customHeight="1">
      <c r="A195" s="1">
        <v>500580376</v>
      </c>
      <c r="B195" s="12" t="s">
        <v>564</v>
      </c>
    </row>
    <row r="196" spans="1:2" ht="14.25" customHeight="1">
      <c r="A196" s="1">
        <v>500580379</v>
      </c>
      <c r="B196" s="12" t="s">
        <v>565</v>
      </c>
    </row>
    <row r="197" spans="1:2" ht="14.25" customHeight="1">
      <c r="A197" s="1">
        <v>500580382</v>
      </c>
      <c r="B197" s="12" t="s">
        <v>566</v>
      </c>
    </row>
    <row r="198" spans="1:2" ht="14.25" customHeight="1">
      <c r="A198" s="1">
        <v>500580422</v>
      </c>
      <c r="B198" s="12" t="s">
        <v>567</v>
      </c>
    </row>
    <row r="199" spans="1:2" ht="14.25" customHeight="1">
      <c r="A199" s="1">
        <v>500580433</v>
      </c>
      <c r="B199" s="12" t="s">
        <v>568</v>
      </c>
    </row>
    <row r="200" spans="1:2" ht="14.25" customHeight="1">
      <c r="A200" s="1">
        <v>500580437</v>
      </c>
      <c r="B200" s="12" t="s">
        <v>569</v>
      </c>
    </row>
    <row r="201" spans="1:2" ht="14.25" customHeight="1">
      <c r="A201" s="1">
        <v>500580438</v>
      </c>
      <c r="B201" s="12" t="s">
        <v>570</v>
      </c>
    </row>
    <row r="202" spans="1:2" ht="14.25" customHeight="1">
      <c r="A202" s="1">
        <v>500580439</v>
      </c>
      <c r="B202" s="12" t="s">
        <v>571</v>
      </c>
    </row>
    <row r="203" spans="1:2" ht="14.25" customHeight="1">
      <c r="A203" s="1">
        <v>500580442</v>
      </c>
      <c r="B203" s="12" t="s">
        <v>572</v>
      </c>
    </row>
    <row r="204" spans="1:2" ht="14.25" customHeight="1">
      <c r="A204" s="1">
        <v>500580443</v>
      </c>
      <c r="B204" s="12" t="s">
        <v>573</v>
      </c>
    </row>
    <row r="205" spans="1:2" ht="14.25" customHeight="1">
      <c r="A205" s="1">
        <v>500580444</v>
      </c>
      <c r="B205" s="12" t="s">
        <v>574</v>
      </c>
    </row>
    <row r="206" spans="1:2" ht="14.25" customHeight="1">
      <c r="A206" s="1">
        <v>500580447</v>
      </c>
      <c r="B206" s="12" t="s">
        <v>575</v>
      </c>
    </row>
    <row r="207" spans="1:2" ht="14.25" customHeight="1">
      <c r="A207" s="1">
        <v>500580448</v>
      </c>
      <c r="B207" s="12" t="s">
        <v>576</v>
      </c>
    </row>
    <row r="208" spans="1:2" ht="14.25" customHeight="1">
      <c r="A208" s="1">
        <v>500580451</v>
      </c>
      <c r="B208" s="12" t="s">
        <v>577</v>
      </c>
    </row>
    <row r="209" spans="1:2" ht="14.25" customHeight="1">
      <c r="A209" s="1">
        <v>500580454</v>
      </c>
      <c r="B209" s="12" t="s">
        <v>578</v>
      </c>
    </row>
    <row r="210" spans="1:2" ht="14.25" customHeight="1">
      <c r="A210" s="1">
        <v>500580455</v>
      </c>
      <c r="B210" s="12" t="s">
        <v>579</v>
      </c>
    </row>
    <row r="211" spans="1:2" ht="14.25" customHeight="1">
      <c r="A211" s="1">
        <v>500580465</v>
      </c>
      <c r="B211" s="12" t="s">
        <v>580</v>
      </c>
    </row>
    <row r="212" spans="1:2" ht="14.25" customHeight="1">
      <c r="A212" s="1">
        <v>500580474</v>
      </c>
      <c r="B212" s="12" t="s">
        <v>581</v>
      </c>
    </row>
    <row r="213" spans="1:2" ht="14.25" customHeight="1">
      <c r="A213" s="1">
        <v>500580480</v>
      </c>
      <c r="B213" s="12" t="s">
        <v>582</v>
      </c>
    </row>
    <row r="214" spans="1:2" ht="14.25" customHeight="1">
      <c r="A214" s="1">
        <v>500580481</v>
      </c>
      <c r="B214" s="12" t="s">
        <v>583</v>
      </c>
    </row>
    <row r="215" spans="1:2" ht="14.25" customHeight="1">
      <c r="A215" s="1">
        <v>500580482</v>
      </c>
      <c r="B215" s="12" t="s">
        <v>584</v>
      </c>
    </row>
    <row r="216" spans="1:2" ht="14.25" customHeight="1">
      <c r="A216" s="1">
        <v>500580486</v>
      </c>
      <c r="B216" s="12" t="s">
        <v>585</v>
      </c>
    </row>
    <row r="217" spans="1:2" ht="14.25" customHeight="1">
      <c r="A217" s="1">
        <v>500580487</v>
      </c>
      <c r="B217" s="12" t="s">
        <v>586</v>
      </c>
    </row>
    <row r="218" spans="1:2" ht="14.25" customHeight="1">
      <c r="A218" s="1">
        <v>500580503</v>
      </c>
      <c r="B218" s="12" t="s">
        <v>587</v>
      </c>
    </row>
    <row r="219" spans="1:2" ht="14.25" customHeight="1">
      <c r="A219" s="1">
        <v>500580504</v>
      </c>
      <c r="B219" s="12" t="s">
        <v>588</v>
      </c>
    </row>
    <row r="220" spans="1:2" ht="14.25" customHeight="1">
      <c r="A220" s="1">
        <v>500580508</v>
      </c>
      <c r="B220" s="12" t="s">
        <v>589</v>
      </c>
    </row>
    <row r="221" spans="1:2" ht="14.25" customHeight="1">
      <c r="A221" s="1">
        <v>500580510</v>
      </c>
      <c r="B221" s="12" t="s">
        <v>590</v>
      </c>
    </row>
    <row r="222" spans="1:2" ht="14.25" customHeight="1">
      <c r="A222" s="1">
        <v>500580512</v>
      </c>
      <c r="B222" s="12" t="s">
        <v>591</v>
      </c>
    </row>
    <row r="223" spans="1:2" ht="14.25" customHeight="1">
      <c r="A223" s="1">
        <v>500580521</v>
      </c>
      <c r="B223" s="12" t="s">
        <v>592</v>
      </c>
    </row>
    <row r="224" spans="1:2" ht="14.25" customHeight="1">
      <c r="A224" s="1">
        <v>500580522</v>
      </c>
      <c r="B224" s="12" t="s">
        <v>593</v>
      </c>
    </row>
    <row r="225" spans="1:2" ht="14.25" customHeight="1">
      <c r="A225" s="1">
        <v>500584100</v>
      </c>
      <c r="B225" s="12" t="s">
        <v>594</v>
      </c>
    </row>
    <row r="226" spans="1:2" ht="14.25" customHeight="1">
      <c r="A226" s="13">
        <v>500589999</v>
      </c>
      <c r="B226" s="14" t="s">
        <v>595</v>
      </c>
    </row>
    <row r="227" spans="1:2" ht="14.25" customHeight="1">
      <c r="A227" s="7">
        <v>3173004</v>
      </c>
      <c r="B227" s="8" t="s">
        <v>596</v>
      </c>
    </row>
    <row r="228" spans="1:2" ht="14.25" customHeight="1">
      <c r="A228" s="7">
        <v>3173016</v>
      </c>
      <c r="B228" s="8" t="s">
        <v>596</v>
      </c>
    </row>
    <row r="229" spans="1:2" ht="14.25" customHeight="1">
      <c r="A229" s="7">
        <v>31521043</v>
      </c>
      <c r="B229" s="8" t="s">
        <v>597</v>
      </c>
    </row>
    <row r="230" spans="1:2" ht="14.25" customHeight="1">
      <c r="A230" s="7">
        <v>31521032</v>
      </c>
      <c r="B230" s="8" t="s">
        <v>598</v>
      </c>
    </row>
    <row r="231" spans="1:2" ht="14.25" customHeight="1">
      <c r="A231" s="7">
        <v>31521033</v>
      </c>
      <c r="B231" s="8" t="s">
        <v>598</v>
      </c>
    </row>
    <row r="232" spans="1:2" ht="14.25" customHeight="1">
      <c r="A232" s="7">
        <v>31521034</v>
      </c>
      <c r="B232" s="8" t="s">
        <v>598</v>
      </c>
    </row>
    <row r="233" spans="1:2" ht="14.25" customHeight="1">
      <c r="A233" s="7">
        <v>31521035</v>
      </c>
      <c r="B233" s="8" t="s">
        <v>598</v>
      </c>
    </row>
    <row r="234" spans="1:2" ht="14.25" customHeight="1">
      <c r="A234" s="7">
        <v>31521036</v>
      </c>
      <c r="B234" s="8" t="s">
        <v>598</v>
      </c>
    </row>
    <row r="235" spans="1:2" ht="14.25" customHeight="1">
      <c r="A235" s="7">
        <v>31521037</v>
      </c>
      <c r="B235" s="8" t="s">
        <v>598</v>
      </c>
    </row>
    <row r="236" spans="1:2" ht="14.25" customHeight="1">
      <c r="A236" s="7">
        <v>31521038</v>
      </c>
      <c r="B236" s="8" t="s">
        <v>598</v>
      </c>
    </row>
    <row r="237" spans="1:2" ht="14.25" customHeight="1">
      <c r="A237" s="7">
        <v>31521039</v>
      </c>
      <c r="B237" s="8" t="s">
        <v>598</v>
      </c>
    </row>
    <row r="238" spans="1:2" ht="14.25" customHeight="1">
      <c r="A238" s="7">
        <v>31521040</v>
      </c>
      <c r="B238" s="8" t="s">
        <v>598</v>
      </c>
    </row>
    <row r="239" spans="1:2" ht="14.25" customHeight="1">
      <c r="A239" s="7">
        <v>31521041</v>
      </c>
      <c r="B239" s="8" t="s">
        <v>598</v>
      </c>
    </row>
    <row r="240" spans="1:2" ht="14.25" customHeight="1">
      <c r="A240" s="7">
        <v>31521042</v>
      </c>
      <c r="B240" s="8" t="s">
        <v>598</v>
      </c>
    </row>
    <row r="241" spans="1:2" ht="14.25" customHeight="1">
      <c r="A241" s="7">
        <v>3173002</v>
      </c>
      <c r="B241" s="8" t="s">
        <v>599</v>
      </c>
    </row>
    <row r="242" spans="1:2" ht="14.25" customHeight="1">
      <c r="A242" s="7">
        <v>3173011</v>
      </c>
      <c r="B242" s="8" t="s">
        <v>599</v>
      </c>
    </row>
    <row r="243" spans="1:2" ht="14.25" customHeight="1">
      <c r="A243" s="7">
        <v>7173003</v>
      </c>
      <c r="B243" s="8" t="s">
        <v>600</v>
      </c>
    </row>
    <row r="244" spans="1:2" ht="14.25" customHeight="1">
      <c r="A244" s="7">
        <v>7157500</v>
      </c>
      <c r="B244" s="8" t="s">
        <v>601</v>
      </c>
    </row>
    <row r="245" spans="1:2" ht="14.25" customHeight="1">
      <c r="A245" s="7">
        <v>17320752</v>
      </c>
      <c r="B245" s="8" t="s">
        <v>602</v>
      </c>
    </row>
    <row r="246" spans="1:2" ht="14.25" customHeight="1">
      <c r="A246" s="7">
        <v>81521413</v>
      </c>
      <c r="B246" s="8" t="s">
        <v>603</v>
      </c>
    </row>
    <row r="247" spans="1:2" ht="14.25" customHeight="1">
      <c r="A247" s="7">
        <v>81521414</v>
      </c>
      <c r="B247" s="8" t="s">
        <v>603</v>
      </c>
    </row>
    <row r="248" spans="1:2" ht="14.25" customHeight="1">
      <c r="A248" s="7">
        <v>81521415</v>
      </c>
      <c r="B248" s="8" t="s">
        <v>603</v>
      </c>
    </row>
    <row r="249" spans="1:2" ht="14.25" customHeight="1">
      <c r="A249" s="7">
        <v>15750001</v>
      </c>
      <c r="B249" s="8" t="s">
        <v>604</v>
      </c>
    </row>
    <row r="250" spans="1:2" ht="14.25" customHeight="1">
      <c r="A250" s="7">
        <v>15750002</v>
      </c>
      <c r="B250" s="8" t="s">
        <v>604</v>
      </c>
    </row>
    <row r="251" spans="1:2" ht="14.25" customHeight="1">
      <c r="A251" s="7">
        <v>32030027</v>
      </c>
      <c r="B251" s="8" t="s">
        <v>605</v>
      </c>
    </row>
    <row r="252" spans="1:2" ht="14.25" customHeight="1">
      <c r="A252" s="7">
        <v>32030060</v>
      </c>
      <c r="B252" s="8" t="s">
        <v>605</v>
      </c>
    </row>
    <row r="253" spans="1:2" ht="14.25" customHeight="1">
      <c r="A253" s="7">
        <v>22030215</v>
      </c>
      <c r="B253" s="8" t="s">
        <v>606</v>
      </c>
    </row>
    <row r="254" spans="1:2" ht="14.25" customHeight="1">
      <c r="A254" s="7">
        <v>22030226</v>
      </c>
      <c r="B254" s="8" t="s">
        <v>606</v>
      </c>
    </row>
    <row r="255" spans="1:2" ht="14.25" customHeight="1">
      <c r="A255" s="7">
        <v>32030063</v>
      </c>
      <c r="B255" s="8" t="s">
        <v>606</v>
      </c>
    </row>
    <row r="256" spans="1:2" ht="14.25" customHeight="1">
      <c r="A256" s="7">
        <v>32030077</v>
      </c>
      <c r="B256" s="8" t="s">
        <v>606</v>
      </c>
    </row>
    <row r="257" spans="1:2" ht="14.25" customHeight="1">
      <c r="A257" s="7">
        <v>32030083</v>
      </c>
      <c r="B257" s="8" t="s">
        <v>606</v>
      </c>
    </row>
    <row r="258" spans="1:2" ht="14.25" customHeight="1">
      <c r="A258" s="7">
        <v>22030100</v>
      </c>
      <c r="B258" s="8" t="s">
        <v>607</v>
      </c>
    </row>
    <row r="259" spans="1:2" ht="14.25" customHeight="1">
      <c r="A259" s="7">
        <v>32030033</v>
      </c>
      <c r="B259" s="8" t="s">
        <v>608</v>
      </c>
    </row>
    <row r="260" spans="1:2" ht="14.25" customHeight="1">
      <c r="A260" s="7">
        <v>32030061</v>
      </c>
      <c r="B260" s="8" t="s">
        <v>608</v>
      </c>
    </row>
    <row r="261" spans="1:2" ht="14.25" customHeight="1">
      <c r="A261" s="7">
        <v>22030188</v>
      </c>
      <c r="B261" s="8" t="s">
        <v>609</v>
      </c>
    </row>
    <row r="262" spans="1:2" ht="14.25" customHeight="1">
      <c r="A262" s="7">
        <v>1732440</v>
      </c>
      <c r="B262" s="8" t="s">
        <v>610</v>
      </c>
    </row>
    <row r="263" spans="1:2" ht="14.25" customHeight="1">
      <c r="A263" s="7">
        <v>22030066</v>
      </c>
      <c r="B263" s="8" t="s">
        <v>610</v>
      </c>
    </row>
    <row r="264" spans="1:2" ht="14.25" customHeight="1">
      <c r="A264" s="7">
        <v>22030067</v>
      </c>
      <c r="B264" s="8" t="s">
        <v>610</v>
      </c>
    </row>
    <row r="265" spans="1:2" ht="14.25" customHeight="1">
      <c r="A265" s="7">
        <v>22030068</v>
      </c>
      <c r="B265" s="8" t="s">
        <v>610</v>
      </c>
    </row>
    <row r="266" spans="1:2" ht="14.25" customHeight="1">
      <c r="A266" s="7">
        <v>22030069</v>
      </c>
      <c r="B266" s="8" t="s">
        <v>610</v>
      </c>
    </row>
    <row r="267" spans="1:2" ht="14.25" customHeight="1">
      <c r="A267" s="7">
        <v>15750003</v>
      </c>
      <c r="B267" s="8" t="s">
        <v>611</v>
      </c>
    </row>
    <row r="268" spans="1:2" ht="14.25" customHeight="1">
      <c r="A268" s="7">
        <v>22030185</v>
      </c>
      <c r="B268" s="8" t="s">
        <v>610</v>
      </c>
    </row>
    <row r="269" spans="1:2" ht="14.25" customHeight="1">
      <c r="A269" s="7">
        <v>22030210</v>
      </c>
      <c r="B269" s="8" t="s">
        <v>610</v>
      </c>
    </row>
    <row r="270" spans="1:2" ht="14.25" customHeight="1">
      <c r="A270" s="7">
        <v>81521418</v>
      </c>
      <c r="B270" s="8" t="s">
        <v>612</v>
      </c>
    </row>
    <row r="271" spans="1:2" ht="14.25" customHeight="1">
      <c r="A271" s="7">
        <v>22030211</v>
      </c>
      <c r="B271" s="8" t="s">
        <v>610</v>
      </c>
    </row>
    <row r="272" spans="1:2" ht="14.25" customHeight="1">
      <c r="A272" s="7">
        <v>81521533</v>
      </c>
      <c r="B272" s="8" t="s">
        <v>613</v>
      </c>
    </row>
    <row r="273" spans="1:2" ht="14.25" customHeight="1">
      <c r="A273" s="7">
        <v>14010158</v>
      </c>
      <c r="B273" s="8" t="s">
        <v>614</v>
      </c>
    </row>
    <row r="274" spans="1:2" ht="14.25" customHeight="1">
      <c r="A274" s="7">
        <v>81521534</v>
      </c>
      <c r="B274" s="8" t="s">
        <v>613</v>
      </c>
    </row>
    <row r="275" spans="1:2" ht="14.25" customHeight="1">
      <c r="A275" s="7">
        <v>12010006</v>
      </c>
      <c r="B275" s="8" t="s">
        <v>615</v>
      </c>
    </row>
    <row r="276" spans="1:2" ht="14.25" customHeight="1">
      <c r="A276" s="7">
        <v>81521433</v>
      </c>
      <c r="B276" s="8" t="s">
        <v>616</v>
      </c>
    </row>
    <row r="277" spans="1:2" ht="14.25" customHeight="1">
      <c r="A277" s="7">
        <v>15420004</v>
      </c>
      <c r="B277" s="8" t="s">
        <v>617</v>
      </c>
    </row>
    <row r="278" spans="1:2" ht="14.25" customHeight="1">
      <c r="A278" s="7">
        <v>22030071</v>
      </c>
      <c r="B278" s="8" t="s">
        <v>618</v>
      </c>
    </row>
    <row r="279" spans="1:2" ht="14.25" customHeight="1">
      <c r="A279" s="7">
        <v>1732227</v>
      </c>
      <c r="B279" s="8" t="s">
        <v>619</v>
      </c>
    </row>
    <row r="280" spans="1:2" ht="14.25" customHeight="1">
      <c r="A280" s="7">
        <v>12010007</v>
      </c>
      <c r="B280" s="8" t="s">
        <v>615</v>
      </c>
    </row>
    <row r="281" spans="1:2" ht="14.25" customHeight="1">
      <c r="A281" s="7">
        <v>12070008</v>
      </c>
      <c r="B281" s="8" t="s">
        <v>620</v>
      </c>
    </row>
    <row r="282" spans="1:2" ht="14.25" customHeight="1">
      <c r="A282" s="7">
        <v>22030122</v>
      </c>
      <c r="B282" s="8" t="s">
        <v>621</v>
      </c>
    </row>
    <row r="283" spans="1:2" ht="14.25" customHeight="1">
      <c r="A283" s="7">
        <v>22030123</v>
      </c>
      <c r="B283" s="8" t="s">
        <v>621</v>
      </c>
    </row>
    <row r="284" spans="1:2" ht="14.25" customHeight="1">
      <c r="A284" s="7">
        <v>41521012</v>
      </c>
      <c r="B284" s="8" t="s">
        <v>622</v>
      </c>
    </row>
    <row r="285" spans="1:2" ht="14.25" customHeight="1">
      <c r="A285" s="7">
        <v>22030078</v>
      </c>
      <c r="B285" s="8" t="s">
        <v>623</v>
      </c>
    </row>
    <row r="286" spans="1:2" ht="14.25" customHeight="1">
      <c r="A286" s="7">
        <v>1732619</v>
      </c>
      <c r="B286" s="8" t="s">
        <v>624</v>
      </c>
    </row>
    <row r="287" spans="1:2" ht="14.25" customHeight="1">
      <c r="A287" s="7">
        <v>32030019</v>
      </c>
      <c r="B287" s="8" t="s">
        <v>625</v>
      </c>
    </row>
    <row r="288" spans="1:2" ht="14.25" customHeight="1">
      <c r="A288" s="7">
        <v>22030029</v>
      </c>
      <c r="B288" s="8" t="s">
        <v>626</v>
      </c>
    </row>
    <row r="289" spans="1:2" ht="14.25" customHeight="1">
      <c r="A289" s="7">
        <v>22030030</v>
      </c>
      <c r="B289" s="8" t="s">
        <v>626</v>
      </c>
    </row>
    <row r="290" spans="1:2" ht="14.25" customHeight="1">
      <c r="A290" s="7">
        <v>22030031</v>
      </c>
      <c r="B290" s="8" t="s">
        <v>626</v>
      </c>
    </row>
    <row r="291" spans="1:2" ht="14.25" customHeight="1">
      <c r="A291" s="7">
        <v>22030032</v>
      </c>
      <c r="B291" s="8" t="s">
        <v>626</v>
      </c>
    </row>
    <row r="292" spans="1:2" ht="14.25" customHeight="1">
      <c r="A292" s="7">
        <v>22030033</v>
      </c>
      <c r="B292" s="8" t="s">
        <v>626</v>
      </c>
    </row>
    <row r="293" spans="1:2" ht="14.25" customHeight="1">
      <c r="A293" s="7">
        <v>22030034</v>
      </c>
      <c r="B293" s="8" t="s">
        <v>626</v>
      </c>
    </row>
    <row r="294" spans="1:2" ht="14.25" customHeight="1">
      <c r="A294" s="7">
        <v>22030035</v>
      </c>
      <c r="B294" s="8" t="s">
        <v>626</v>
      </c>
    </row>
    <row r="295" spans="1:2" ht="14.25" customHeight="1">
      <c r="A295" s="7">
        <v>22030037</v>
      </c>
      <c r="B295" s="8" t="s">
        <v>626</v>
      </c>
    </row>
    <row r="296" spans="1:2" ht="14.25" customHeight="1">
      <c r="A296" s="7">
        <v>22030038</v>
      </c>
      <c r="B296" s="8" t="s">
        <v>626</v>
      </c>
    </row>
    <row r="297" spans="1:2" ht="14.25" customHeight="1">
      <c r="A297" s="7">
        <v>22030039</v>
      </c>
      <c r="B297" s="8" t="s">
        <v>626</v>
      </c>
    </row>
    <row r="298" spans="1:2" ht="14.25" customHeight="1">
      <c r="A298" s="7">
        <v>22030040</v>
      </c>
      <c r="B298" s="8" t="s">
        <v>626</v>
      </c>
    </row>
    <row r="299" spans="1:2" ht="14.25" customHeight="1">
      <c r="A299" s="7">
        <v>22030041</v>
      </c>
      <c r="B299" s="8" t="s">
        <v>626</v>
      </c>
    </row>
    <row r="300" spans="1:2" ht="14.25" customHeight="1">
      <c r="A300" s="7">
        <v>22030042</v>
      </c>
      <c r="B300" s="8" t="s">
        <v>626</v>
      </c>
    </row>
    <row r="301" spans="1:2" ht="14.25" customHeight="1">
      <c r="A301" s="7">
        <v>22030049</v>
      </c>
      <c r="B301" s="8" t="s">
        <v>626</v>
      </c>
    </row>
    <row r="302" spans="1:2" ht="14.25" customHeight="1">
      <c r="A302" s="7">
        <v>22030050</v>
      </c>
      <c r="B302" s="8" t="s">
        <v>626</v>
      </c>
    </row>
    <row r="303" spans="1:2" ht="14.25" customHeight="1">
      <c r="A303" s="7">
        <v>22030051</v>
      </c>
      <c r="B303" s="8" t="s">
        <v>626</v>
      </c>
    </row>
    <row r="304" spans="1:2" ht="14.25" customHeight="1">
      <c r="A304" s="7">
        <v>22030052</v>
      </c>
      <c r="B304" s="8" t="s">
        <v>626</v>
      </c>
    </row>
    <row r="305" spans="1:2" ht="14.25" customHeight="1">
      <c r="A305" s="7">
        <v>22030053</v>
      </c>
      <c r="B305" s="8" t="s">
        <v>626</v>
      </c>
    </row>
    <row r="306" spans="1:2" ht="14.25" customHeight="1">
      <c r="A306" s="7">
        <v>32030050</v>
      </c>
      <c r="B306" s="8" t="s">
        <v>626</v>
      </c>
    </row>
    <row r="307" spans="1:2" ht="14.25" customHeight="1">
      <c r="A307" s="7">
        <v>32030070</v>
      </c>
      <c r="B307" s="8" t="s">
        <v>626</v>
      </c>
    </row>
    <row r="308" spans="1:2" ht="14.25" customHeight="1">
      <c r="A308" s="7">
        <v>22030010</v>
      </c>
      <c r="B308" s="8" t="s">
        <v>627</v>
      </c>
    </row>
    <row r="309" spans="1:2" ht="14.25" customHeight="1">
      <c r="A309" s="7">
        <v>32030054</v>
      </c>
      <c r="B309" s="8" t="s">
        <v>628</v>
      </c>
    </row>
    <row r="310" spans="1:2" ht="14.25" customHeight="1">
      <c r="A310" s="7">
        <v>22030120</v>
      </c>
      <c r="B310" s="8" t="s">
        <v>629</v>
      </c>
    </row>
    <row r="311" spans="1:2" ht="14.25" customHeight="1">
      <c r="A311" s="7">
        <v>22030132</v>
      </c>
      <c r="B311" s="8" t="s">
        <v>629</v>
      </c>
    </row>
    <row r="312" spans="1:2" ht="14.25" customHeight="1">
      <c r="A312" s="7">
        <v>15090045</v>
      </c>
      <c r="B312" s="8" t="s">
        <v>630</v>
      </c>
    </row>
    <row r="313" spans="1:2" ht="14.25" customHeight="1">
      <c r="A313" s="7">
        <v>45048082</v>
      </c>
      <c r="B313" s="8" t="s">
        <v>630</v>
      </c>
    </row>
    <row r="314" spans="1:2" ht="14.25" customHeight="1">
      <c r="A314" s="7">
        <v>1732376</v>
      </c>
      <c r="B314" s="8" t="s">
        <v>631</v>
      </c>
    </row>
    <row r="315" spans="1:2" ht="14.25" customHeight="1">
      <c r="A315" s="7">
        <v>1577293</v>
      </c>
      <c r="B315" s="8" t="s">
        <v>632</v>
      </c>
    </row>
    <row r="316" spans="1:2" ht="14.25" customHeight="1">
      <c r="A316" s="7">
        <v>1732270</v>
      </c>
      <c r="B316" s="8" t="s">
        <v>633</v>
      </c>
    </row>
    <row r="317" spans="1:2" ht="14.25" customHeight="1">
      <c r="A317" s="7">
        <v>32030048</v>
      </c>
      <c r="B317" s="8" t="s">
        <v>634</v>
      </c>
    </row>
    <row r="318" spans="1:2" ht="14.25" customHeight="1">
      <c r="A318" s="7">
        <v>1732628</v>
      </c>
      <c r="B318" s="8" t="s">
        <v>635</v>
      </c>
    </row>
    <row r="319" spans="1:2" ht="14.25" customHeight="1">
      <c r="A319" s="7">
        <v>22030136</v>
      </c>
      <c r="B319" s="8" t="s">
        <v>635</v>
      </c>
    </row>
    <row r="320" spans="1:2" ht="14.25" customHeight="1">
      <c r="A320" s="7">
        <v>22030187</v>
      </c>
      <c r="B320" s="8" t="s">
        <v>635</v>
      </c>
    </row>
    <row r="321" spans="1:2" ht="14.25" customHeight="1">
      <c r="A321" s="7">
        <v>38010006</v>
      </c>
      <c r="B321" s="8" t="s">
        <v>636</v>
      </c>
    </row>
    <row r="322" spans="1:2" ht="14.25" customHeight="1">
      <c r="A322" s="7">
        <v>38010010</v>
      </c>
      <c r="B322" s="8" t="s">
        <v>636</v>
      </c>
    </row>
    <row r="323" spans="1:2" ht="14.25" customHeight="1">
      <c r="A323" s="7">
        <v>1570015</v>
      </c>
      <c r="B323" s="8" t="s">
        <v>637</v>
      </c>
    </row>
    <row r="324" spans="1:2" ht="14.25" customHeight="1">
      <c r="A324" s="7">
        <v>900324</v>
      </c>
      <c r="B324" s="8" t="s">
        <v>638</v>
      </c>
    </row>
    <row r="325" spans="1:2" ht="14.25" customHeight="1">
      <c r="A325" s="7">
        <v>81521235</v>
      </c>
      <c r="B325" s="8" t="s">
        <v>639</v>
      </c>
    </row>
    <row r="326" spans="1:2" ht="14.25" customHeight="1">
      <c r="A326" s="7">
        <v>8173374</v>
      </c>
      <c r="B326" s="8" t="s">
        <v>640</v>
      </c>
    </row>
    <row r="327" spans="1:2" ht="14.25" customHeight="1">
      <c r="A327" s="7">
        <v>8173403</v>
      </c>
      <c r="B327" s="8" t="s">
        <v>640</v>
      </c>
    </row>
    <row r="328" spans="1:2" ht="14.25" customHeight="1">
      <c r="A328" s="7">
        <v>8173432</v>
      </c>
      <c r="B328" s="8" t="s">
        <v>640</v>
      </c>
    </row>
    <row r="329" spans="1:2" ht="14.25" customHeight="1">
      <c r="A329" s="7">
        <v>81521062</v>
      </c>
      <c r="B329" s="8" t="s">
        <v>640</v>
      </c>
    </row>
    <row r="330" spans="1:2" ht="14.25" customHeight="1">
      <c r="A330" s="7">
        <v>81521551</v>
      </c>
      <c r="B330" s="8" t="s">
        <v>641</v>
      </c>
    </row>
    <row r="331" spans="1:2" ht="14.25" customHeight="1">
      <c r="A331" s="7">
        <v>81521552</v>
      </c>
      <c r="B331" s="8" t="s">
        <v>641</v>
      </c>
    </row>
    <row r="332" spans="1:2" ht="14.25" customHeight="1">
      <c r="A332" s="7">
        <v>81521559</v>
      </c>
      <c r="B332" s="8" t="s">
        <v>641</v>
      </c>
    </row>
    <row r="333" spans="1:2" ht="14.25" customHeight="1">
      <c r="A333" s="7">
        <v>81521550</v>
      </c>
      <c r="B333" s="8" t="s">
        <v>413</v>
      </c>
    </row>
    <row r="334" spans="1:2" ht="14.25" customHeight="1">
      <c r="A334" s="7">
        <v>81521553</v>
      </c>
      <c r="B334" s="8" t="s">
        <v>413</v>
      </c>
    </row>
    <row r="335" spans="1:2" ht="14.25" customHeight="1">
      <c r="A335" s="7">
        <v>81521557</v>
      </c>
      <c r="B335" s="8" t="s">
        <v>413</v>
      </c>
    </row>
    <row r="336" spans="1:2" ht="14.25" customHeight="1">
      <c r="A336" s="7">
        <v>81521558</v>
      </c>
      <c r="B336" s="8" t="s">
        <v>413</v>
      </c>
    </row>
    <row r="337" spans="1:2" ht="14.25" customHeight="1">
      <c r="A337" s="7">
        <v>81521241</v>
      </c>
      <c r="B337" s="8" t="s">
        <v>642</v>
      </c>
    </row>
    <row r="338" spans="1:2" ht="14.25" customHeight="1">
      <c r="A338" s="7">
        <v>31020068</v>
      </c>
      <c r="B338" s="8" t="s">
        <v>643</v>
      </c>
    </row>
    <row r="339" spans="1:2" ht="14.25" customHeight="1">
      <c r="A339" s="7">
        <v>31020079</v>
      </c>
      <c r="B339" s="8" t="s">
        <v>644</v>
      </c>
    </row>
    <row r="340" spans="1:2" ht="14.25" customHeight="1">
      <c r="A340" s="7">
        <v>31020083</v>
      </c>
      <c r="B340" s="8" t="s">
        <v>645</v>
      </c>
    </row>
    <row r="341" spans="1:2" ht="14.25" customHeight="1">
      <c r="A341" s="7">
        <v>31020078</v>
      </c>
      <c r="B341" s="8" t="s">
        <v>646</v>
      </c>
    </row>
    <row r="342" spans="1:2" ht="14.25" customHeight="1">
      <c r="A342" s="7">
        <v>31020081</v>
      </c>
      <c r="B342" s="8" t="s">
        <v>646</v>
      </c>
    </row>
    <row r="343" spans="1:2" ht="14.25" customHeight="1">
      <c r="A343" s="7">
        <v>6173031</v>
      </c>
      <c r="B343" s="8" t="s">
        <v>647</v>
      </c>
    </row>
    <row r="344" spans="1:2" ht="14.25" customHeight="1">
      <c r="A344" s="7">
        <v>6173032</v>
      </c>
      <c r="B344" s="8" t="s">
        <v>647</v>
      </c>
    </row>
    <row r="345" spans="1:2" ht="14.25" customHeight="1">
      <c r="A345" s="7">
        <v>6173035</v>
      </c>
      <c r="B345" s="8" t="s">
        <v>647</v>
      </c>
    </row>
    <row r="346" spans="1:2" ht="14.25" customHeight="1">
      <c r="A346" s="7">
        <v>31160003</v>
      </c>
      <c r="B346" s="8" t="s">
        <v>648</v>
      </c>
    </row>
    <row r="347" spans="1:2" ht="14.25" customHeight="1">
      <c r="A347" s="7">
        <v>6173059</v>
      </c>
      <c r="B347" s="8" t="s">
        <v>649</v>
      </c>
    </row>
    <row r="348" spans="1:2" ht="14.25" customHeight="1">
      <c r="A348" s="7">
        <v>6173061</v>
      </c>
      <c r="B348" s="8" t="s">
        <v>649</v>
      </c>
    </row>
    <row r="349" spans="1:2" ht="14.25" customHeight="1">
      <c r="A349" s="7">
        <v>6173063</v>
      </c>
      <c r="B349" s="8" t="s">
        <v>649</v>
      </c>
    </row>
    <row r="350" spans="1:2" ht="14.25" customHeight="1">
      <c r="A350" s="7">
        <v>61521076</v>
      </c>
      <c r="B350" s="8" t="s">
        <v>650</v>
      </c>
    </row>
    <row r="351" spans="1:2" ht="14.25" customHeight="1">
      <c r="A351" s="7">
        <v>61521052</v>
      </c>
      <c r="B351" s="8" t="s">
        <v>651</v>
      </c>
    </row>
    <row r="352" spans="1:2" ht="14.25" customHeight="1">
      <c r="A352" s="7">
        <v>61521053</v>
      </c>
      <c r="B352" s="8" t="s">
        <v>651</v>
      </c>
    </row>
    <row r="353" spans="1:2" ht="14.25" customHeight="1">
      <c r="A353" s="7">
        <v>61521054</v>
      </c>
      <c r="B353" s="8" t="s">
        <v>651</v>
      </c>
    </row>
    <row r="354" spans="1:2" ht="14.25" customHeight="1">
      <c r="A354" s="7">
        <v>61521059</v>
      </c>
      <c r="B354" s="8" t="s">
        <v>652</v>
      </c>
    </row>
    <row r="355" spans="1:2" ht="14.25" customHeight="1">
      <c r="A355" s="7">
        <v>4152005</v>
      </c>
      <c r="B355" s="8" t="s">
        <v>653</v>
      </c>
    </row>
    <row r="356" spans="1:2" ht="14.25" customHeight="1">
      <c r="A356" s="7">
        <v>6173047</v>
      </c>
      <c r="B356" s="8" t="s">
        <v>654</v>
      </c>
    </row>
    <row r="357" spans="1:2" ht="14.25" customHeight="1">
      <c r="A357" s="7">
        <v>61521040</v>
      </c>
      <c r="B357" s="8" t="s">
        <v>654</v>
      </c>
    </row>
    <row r="358" spans="1:2" ht="14.25" customHeight="1">
      <c r="A358" s="7">
        <v>61521011</v>
      </c>
      <c r="B358" s="8" t="s">
        <v>655</v>
      </c>
    </row>
    <row r="359" spans="1:2" ht="14.25" customHeight="1">
      <c r="A359" s="7">
        <v>61521012</v>
      </c>
      <c r="B359" s="8" t="s">
        <v>655</v>
      </c>
    </row>
    <row r="360" spans="1:2" ht="14.25" customHeight="1">
      <c r="A360" s="7">
        <v>61521083</v>
      </c>
      <c r="B360" s="8" t="s">
        <v>656</v>
      </c>
    </row>
    <row r="361" spans="1:2" ht="14.25" customHeight="1">
      <c r="A361" s="7">
        <v>61521039</v>
      </c>
      <c r="B361" s="8" t="s">
        <v>657</v>
      </c>
    </row>
    <row r="362" spans="1:2" ht="14.25" customHeight="1">
      <c r="A362" s="7">
        <v>6173008</v>
      </c>
      <c r="B362" s="8" t="s">
        <v>658</v>
      </c>
    </row>
    <row r="363" spans="1:2" ht="14.25" customHeight="1">
      <c r="A363" s="7">
        <v>31100003</v>
      </c>
      <c r="B363" s="8" t="s">
        <v>659</v>
      </c>
    </row>
    <row r="364" spans="1:2" ht="14.25" customHeight="1">
      <c r="A364" s="7">
        <v>61521068</v>
      </c>
      <c r="B364" s="8" t="s">
        <v>660</v>
      </c>
    </row>
    <row r="365" spans="1:2" ht="14.25" customHeight="1">
      <c r="A365" s="7">
        <v>61521077</v>
      </c>
      <c r="B365" s="8" t="s">
        <v>660</v>
      </c>
    </row>
    <row r="366" spans="1:2" ht="14.25" customHeight="1">
      <c r="A366" s="7">
        <v>61521079</v>
      </c>
      <c r="B366" s="8" t="s">
        <v>660</v>
      </c>
    </row>
    <row r="367" spans="1:2" ht="14.25" customHeight="1">
      <c r="A367" s="7">
        <v>61521038</v>
      </c>
      <c r="B367" s="8" t="s">
        <v>661</v>
      </c>
    </row>
    <row r="368" spans="1:2" ht="14.25" customHeight="1">
      <c r="A368" s="7">
        <v>6173013</v>
      </c>
      <c r="B368" s="8" t="s">
        <v>662</v>
      </c>
    </row>
    <row r="369" spans="1:2" ht="14.25" customHeight="1">
      <c r="A369" s="7">
        <v>61521063</v>
      </c>
      <c r="B369" s="8" t="s">
        <v>663</v>
      </c>
    </row>
    <row r="370" spans="1:2" ht="14.25" customHeight="1">
      <c r="A370" s="7">
        <v>61521064</v>
      </c>
      <c r="B370" s="8" t="s">
        <v>663</v>
      </c>
    </row>
    <row r="371" spans="1:2" ht="14.25" customHeight="1">
      <c r="A371" s="7">
        <v>61521065</v>
      </c>
      <c r="B371" s="8" t="s">
        <v>663</v>
      </c>
    </row>
    <row r="372" spans="1:2" ht="14.25" customHeight="1">
      <c r="A372" s="7">
        <v>61521066</v>
      </c>
      <c r="B372" s="8" t="s">
        <v>663</v>
      </c>
    </row>
    <row r="373" spans="1:2" ht="14.25" customHeight="1">
      <c r="A373" s="7">
        <v>61521067</v>
      </c>
      <c r="B373" s="8" t="s">
        <v>663</v>
      </c>
    </row>
    <row r="374" spans="1:2" ht="14.25" customHeight="1">
      <c r="A374" s="7">
        <v>61521101</v>
      </c>
      <c r="B374" s="8" t="s">
        <v>663</v>
      </c>
    </row>
    <row r="375" spans="1:2" ht="14.25" customHeight="1">
      <c r="A375" s="7">
        <v>31020077</v>
      </c>
      <c r="B375" s="8" t="s">
        <v>664</v>
      </c>
    </row>
    <row r="376" spans="1:2" ht="14.25" customHeight="1">
      <c r="A376" s="7">
        <v>31220005</v>
      </c>
      <c r="B376" s="8" t="s">
        <v>664</v>
      </c>
    </row>
    <row r="377" spans="1:2" ht="14.25" customHeight="1">
      <c r="A377" s="7">
        <v>6173012</v>
      </c>
      <c r="B377" s="8" t="s">
        <v>665</v>
      </c>
    </row>
    <row r="378" spans="1:2" ht="14.25" customHeight="1">
      <c r="A378" s="7">
        <v>1732236</v>
      </c>
      <c r="B378" s="8" t="s">
        <v>666</v>
      </c>
    </row>
    <row r="379" spans="1:2" ht="14.25" customHeight="1">
      <c r="A379" s="7">
        <v>6173005</v>
      </c>
      <c r="B379" s="8" t="s">
        <v>667</v>
      </c>
    </row>
    <row r="380" spans="1:2" ht="14.25" customHeight="1">
      <c r="A380" s="7">
        <v>17320831</v>
      </c>
      <c r="B380" s="8" t="s">
        <v>668</v>
      </c>
    </row>
    <row r="381" spans="1:2" ht="14.25" customHeight="1">
      <c r="A381" s="7">
        <v>17320814</v>
      </c>
      <c r="B381" s="8" t="s">
        <v>669</v>
      </c>
    </row>
    <row r="382" spans="1:2" ht="14.25" customHeight="1">
      <c r="A382" s="7">
        <v>17320819</v>
      </c>
      <c r="B382" s="8" t="s">
        <v>670</v>
      </c>
    </row>
    <row r="383" spans="1:2" ht="14.25" customHeight="1">
      <c r="A383" s="7">
        <v>91522232</v>
      </c>
      <c r="B383" s="8" t="s">
        <v>671</v>
      </c>
    </row>
    <row r="384" spans="1:2" ht="14.25" customHeight="1">
      <c r="A384" s="7">
        <v>1732280</v>
      </c>
      <c r="B384" s="8" t="s">
        <v>672</v>
      </c>
    </row>
    <row r="385" spans="1:2" ht="14.25" customHeight="1">
      <c r="A385" s="7">
        <v>1732296</v>
      </c>
      <c r="B385" s="8" t="s">
        <v>672</v>
      </c>
    </row>
    <row r="386" spans="1:2" ht="14.25" customHeight="1">
      <c r="A386" s="7">
        <v>1732303</v>
      </c>
      <c r="B386" s="8" t="s">
        <v>673</v>
      </c>
    </row>
    <row r="387" spans="1:2" ht="14.25" customHeight="1">
      <c r="A387" s="7">
        <v>1732288</v>
      </c>
      <c r="B387" s="8" t="s">
        <v>674</v>
      </c>
    </row>
    <row r="388" spans="1:2" ht="14.25" customHeight="1">
      <c r="A388" s="7">
        <v>1732283</v>
      </c>
      <c r="B388" s="8" t="s">
        <v>675</v>
      </c>
    </row>
    <row r="389" spans="1:2" ht="14.25" customHeight="1">
      <c r="A389" s="7">
        <v>1732292</v>
      </c>
      <c r="B389" s="8" t="s">
        <v>675</v>
      </c>
    </row>
    <row r="390" spans="1:2" ht="14.25" customHeight="1">
      <c r="A390" s="7">
        <v>1732304</v>
      </c>
      <c r="B390" s="8" t="s">
        <v>675</v>
      </c>
    </row>
    <row r="391" spans="1:2" ht="14.25" customHeight="1">
      <c r="A391" s="7">
        <v>1731667</v>
      </c>
      <c r="B391" s="8" t="s">
        <v>676</v>
      </c>
    </row>
    <row r="392" spans="1:2" ht="14.25" customHeight="1">
      <c r="A392" s="7">
        <v>1732167</v>
      </c>
      <c r="B392" s="8" t="s">
        <v>677</v>
      </c>
    </row>
    <row r="393" spans="1:2" ht="14.25" customHeight="1">
      <c r="A393" s="7">
        <v>1731516</v>
      </c>
      <c r="B393" s="8" t="s">
        <v>678</v>
      </c>
    </row>
    <row r="394" spans="1:2" ht="14.25" customHeight="1">
      <c r="A394" s="7">
        <v>1732255</v>
      </c>
      <c r="B394" s="8" t="s">
        <v>679</v>
      </c>
    </row>
    <row r="395" spans="1:2" ht="14.25" customHeight="1">
      <c r="A395" s="7">
        <v>6173009</v>
      </c>
      <c r="B395" s="8" t="s">
        <v>680</v>
      </c>
    </row>
    <row r="396" spans="1:2" ht="14.25" customHeight="1">
      <c r="A396" s="7">
        <v>1732300</v>
      </c>
      <c r="B396" s="8" t="s">
        <v>681</v>
      </c>
    </row>
    <row r="397" spans="1:2" ht="14.25" customHeight="1">
      <c r="A397" s="7">
        <v>1732207</v>
      </c>
      <c r="B397" s="8" t="s">
        <v>682</v>
      </c>
    </row>
    <row r="398" spans="1:2" ht="14.25" customHeight="1">
      <c r="A398" s="7">
        <v>1732443</v>
      </c>
      <c r="B398" s="8" t="s">
        <v>683</v>
      </c>
    </row>
    <row r="399" spans="1:2" ht="14.25" customHeight="1">
      <c r="A399" s="7">
        <v>17320840</v>
      </c>
      <c r="B399" s="8" t="s">
        <v>684</v>
      </c>
    </row>
    <row r="400" spans="1:2" ht="14.25" customHeight="1">
      <c r="A400" s="7">
        <v>1732461</v>
      </c>
      <c r="B400" s="8" t="s">
        <v>685</v>
      </c>
    </row>
    <row r="401" spans="1:2" ht="14.25" customHeight="1">
      <c r="A401" s="7">
        <v>90189011</v>
      </c>
      <c r="B401" s="8" t="s">
        <v>686</v>
      </c>
    </row>
    <row r="402" spans="1:2" ht="14.25" customHeight="1">
      <c r="A402" s="7">
        <v>90189015</v>
      </c>
      <c r="B402" s="8" t="s">
        <v>686</v>
      </c>
    </row>
    <row r="403" spans="1:2" ht="14.25" customHeight="1">
      <c r="A403" s="7">
        <v>90189028</v>
      </c>
      <c r="B403" s="8" t="s">
        <v>686</v>
      </c>
    </row>
    <row r="404" spans="1:2" ht="14.25" customHeight="1">
      <c r="A404" s="7">
        <v>90189043</v>
      </c>
      <c r="B404" s="8" t="s">
        <v>686</v>
      </c>
    </row>
    <row r="405" spans="1:2" ht="14.25" customHeight="1">
      <c r="A405" s="7">
        <v>90189053</v>
      </c>
      <c r="B405" s="8" t="s">
        <v>686</v>
      </c>
    </row>
    <row r="406" spans="1:2" ht="14.25" customHeight="1">
      <c r="A406" s="7">
        <v>90189056</v>
      </c>
      <c r="B406" s="8" t="s">
        <v>686</v>
      </c>
    </row>
    <row r="407" spans="1:2" ht="14.25" customHeight="1">
      <c r="A407" s="7">
        <v>90189108</v>
      </c>
      <c r="B407" s="8" t="s">
        <v>686</v>
      </c>
    </row>
    <row r="408" spans="1:2" ht="14.25" customHeight="1">
      <c r="A408" s="7">
        <v>90189113</v>
      </c>
      <c r="B408" s="8" t="s">
        <v>686</v>
      </c>
    </row>
    <row r="409" spans="1:2" ht="14.25" customHeight="1">
      <c r="A409" s="7">
        <v>90189116</v>
      </c>
      <c r="B409" s="8" t="s">
        <v>686</v>
      </c>
    </row>
    <row r="410" spans="1:2" ht="14.25" customHeight="1">
      <c r="A410" s="7">
        <v>90189123</v>
      </c>
      <c r="B410" s="8" t="s">
        <v>686</v>
      </c>
    </row>
    <row r="411" spans="1:2" ht="14.25" customHeight="1">
      <c r="A411" s="7">
        <v>90189127</v>
      </c>
      <c r="B411" s="8" t="s">
        <v>686</v>
      </c>
    </row>
    <row r="412" spans="1:2" ht="14.25" customHeight="1">
      <c r="A412" s="7">
        <v>90189128</v>
      </c>
      <c r="B412" s="8" t="s">
        <v>686</v>
      </c>
    </row>
    <row r="413" spans="1:2" ht="14.25" customHeight="1">
      <c r="A413" s="7">
        <v>90189133</v>
      </c>
      <c r="B413" s="8" t="s">
        <v>686</v>
      </c>
    </row>
    <row r="414" spans="1:2" ht="14.25" customHeight="1">
      <c r="A414" s="7">
        <v>90189137</v>
      </c>
      <c r="B414" s="8" t="s">
        <v>686</v>
      </c>
    </row>
    <row r="415" spans="1:2" ht="14.25" customHeight="1">
      <c r="A415" s="7">
        <v>90189139</v>
      </c>
      <c r="B415" s="8" t="s">
        <v>686</v>
      </c>
    </row>
    <row r="416" spans="1:2" ht="14.25" customHeight="1">
      <c r="A416" s="7">
        <v>90189142</v>
      </c>
      <c r="B416" s="8" t="s">
        <v>686</v>
      </c>
    </row>
    <row r="417" spans="1:2" ht="14.25" customHeight="1">
      <c r="A417" s="7">
        <v>90189145</v>
      </c>
      <c r="B417" s="8" t="s">
        <v>686</v>
      </c>
    </row>
    <row r="418" spans="1:2" ht="14.25" customHeight="1">
      <c r="A418" s="7">
        <v>90189154</v>
      </c>
      <c r="B418" s="8" t="s">
        <v>686</v>
      </c>
    </row>
    <row r="419" spans="1:2" ht="14.25" customHeight="1">
      <c r="A419" s="7">
        <v>90189164</v>
      </c>
      <c r="B419" s="8" t="s">
        <v>686</v>
      </c>
    </row>
    <row r="420" spans="1:2" ht="14.25" customHeight="1">
      <c r="A420" s="7">
        <v>90189166</v>
      </c>
      <c r="B420" s="8" t="s">
        <v>686</v>
      </c>
    </row>
    <row r="421" spans="1:2" ht="14.25" customHeight="1">
      <c r="A421" s="7">
        <v>90189175</v>
      </c>
      <c r="B421" s="8" t="s">
        <v>686</v>
      </c>
    </row>
    <row r="422" spans="1:2" ht="14.25" customHeight="1">
      <c r="A422" s="7">
        <v>90189176</v>
      </c>
      <c r="B422" s="8" t="s">
        <v>686</v>
      </c>
    </row>
    <row r="423" spans="1:2" ht="14.25" customHeight="1">
      <c r="A423" s="7">
        <v>90189177</v>
      </c>
      <c r="B423" s="8" t="s">
        <v>686</v>
      </c>
    </row>
    <row r="424" spans="1:2" ht="14.25" customHeight="1">
      <c r="A424" s="7">
        <v>90189188</v>
      </c>
      <c r="B424" s="8" t="s">
        <v>686</v>
      </c>
    </row>
    <row r="425" spans="1:2" ht="14.25" customHeight="1">
      <c r="A425" s="7">
        <v>90189191</v>
      </c>
      <c r="B425" s="8" t="s">
        <v>686</v>
      </c>
    </row>
    <row r="426" spans="1:2" ht="14.25" customHeight="1">
      <c r="A426" s="7">
        <v>90189192</v>
      </c>
      <c r="B426" s="8" t="s">
        <v>686</v>
      </c>
    </row>
    <row r="427" spans="1:2" ht="14.25" customHeight="1">
      <c r="A427" s="7">
        <v>90189193</v>
      </c>
      <c r="B427" s="8" t="s">
        <v>686</v>
      </c>
    </row>
    <row r="428" spans="1:2" ht="14.25" customHeight="1">
      <c r="A428" s="7">
        <v>90189203</v>
      </c>
      <c r="B428" s="8" t="s">
        <v>686</v>
      </c>
    </row>
    <row r="429" spans="1:2" ht="14.25" customHeight="1">
      <c r="A429" s="7">
        <v>90189205</v>
      </c>
      <c r="B429" s="8" t="s">
        <v>686</v>
      </c>
    </row>
    <row r="430" spans="1:2" ht="14.25" customHeight="1">
      <c r="A430" s="7">
        <v>90189207</v>
      </c>
      <c r="B430" s="8" t="s">
        <v>686</v>
      </c>
    </row>
    <row r="431" spans="1:2" ht="14.25" customHeight="1">
      <c r="A431" s="7">
        <v>90189211</v>
      </c>
      <c r="B431" s="8" t="s">
        <v>686</v>
      </c>
    </row>
    <row r="432" spans="1:2" ht="14.25" customHeight="1">
      <c r="A432" s="7">
        <v>90189212</v>
      </c>
      <c r="B432" s="8" t="s">
        <v>686</v>
      </c>
    </row>
    <row r="433" spans="1:2" ht="14.25" customHeight="1">
      <c r="A433" s="7">
        <v>90189213</v>
      </c>
      <c r="B433" s="8" t="s">
        <v>686</v>
      </c>
    </row>
    <row r="434" spans="1:2" ht="14.25" customHeight="1">
      <c r="A434" s="7">
        <v>90189237</v>
      </c>
      <c r="B434" s="8" t="s">
        <v>686</v>
      </c>
    </row>
    <row r="435" spans="1:2" ht="14.25" customHeight="1">
      <c r="A435" s="7">
        <v>90189265</v>
      </c>
      <c r="B435" s="8" t="s">
        <v>686</v>
      </c>
    </row>
    <row r="436" spans="1:2" ht="14.25" customHeight="1">
      <c r="A436" s="7">
        <v>90189616</v>
      </c>
      <c r="B436" s="8" t="s">
        <v>687</v>
      </c>
    </row>
    <row r="437" spans="1:2" ht="14.25" customHeight="1">
      <c r="A437" s="7">
        <v>1732347</v>
      </c>
      <c r="B437" s="8" t="s">
        <v>688</v>
      </c>
    </row>
    <row r="438" spans="1:2" ht="14.25" customHeight="1">
      <c r="A438" s="7">
        <v>1732301</v>
      </c>
      <c r="B438" s="8" t="s">
        <v>689</v>
      </c>
    </row>
    <row r="439" spans="1:2" ht="14.25" customHeight="1">
      <c r="A439" s="7">
        <v>1732302</v>
      </c>
      <c r="B439" s="8" t="s">
        <v>689</v>
      </c>
    </row>
    <row r="440" spans="1:2" ht="14.25" customHeight="1">
      <c r="A440" s="7">
        <v>1732277</v>
      </c>
      <c r="B440" s="8" t="s">
        <v>690</v>
      </c>
    </row>
    <row r="441" spans="1:2" ht="14.25" customHeight="1">
      <c r="A441" s="7">
        <v>1731980</v>
      </c>
      <c r="B441" s="8" t="s">
        <v>691</v>
      </c>
    </row>
    <row r="442" spans="1:2" ht="14.25" customHeight="1">
      <c r="A442" s="7">
        <v>1731789</v>
      </c>
      <c r="B442" s="8" t="s">
        <v>692</v>
      </c>
    </row>
    <row r="443" spans="1:2" ht="14.25" customHeight="1">
      <c r="A443" s="7">
        <v>1732464</v>
      </c>
      <c r="B443" s="8" t="s">
        <v>693</v>
      </c>
    </row>
    <row r="444" spans="1:2" ht="14.25" customHeight="1">
      <c r="A444" s="7">
        <v>61524051</v>
      </c>
      <c r="B444" s="8" t="s">
        <v>694</v>
      </c>
    </row>
    <row r="445" spans="1:2" ht="14.25" customHeight="1">
      <c r="A445" s="7">
        <v>1732235</v>
      </c>
      <c r="B445" s="8" t="s">
        <v>695</v>
      </c>
    </row>
    <row r="446" spans="1:2" ht="14.25" customHeight="1">
      <c r="A446" s="7">
        <v>1732240</v>
      </c>
      <c r="B446" s="8" t="s">
        <v>696</v>
      </c>
    </row>
    <row r="447" spans="1:2" ht="14.25" customHeight="1">
      <c r="A447" s="7">
        <v>1732216</v>
      </c>
      <c r="B447" s="8" t="s">
        <v>697</v>
      </c>
    </row>
    <row r="448" spans="1:2" ht="14.25" customHeight="1">
      <c r="A448" s="7">
        <v>1731860</v>
      </c>
      <c r="B448" s="8" t="s">
        <v>698</v>
      </c>
    </row>
    <row r="449" spans="1:2" ht="14.25" customHeight="1">
      <c r="A449" s="7">
        <v>32010007</v>
      </c>
      <c r="B449" s="8" t="s">
        <v>699</v>
      </c>
    </row>
    <row r="450" spans="1:2" ht="14.25" customHeight="1">
      <c r="A450" s="7">
        <v>32010002</v>
      </c>
      <c r="B450" s="8" t="s">
        <v>700</v>
      </c>
    </row>
    <row r="451" spans="1:2" ht="14.25" customHeight="1">
      <c r="A451" s="7">
        <v>1732260</v>
      </c>
      <c r="B451" s="8" t="s">
        <v>701</v>
      </c>
    </row>
    <row r="452" spans="1:2" ht="14.25" customHeight="1">
      <c r="A452" s="7">
        <v>32010006</v>
      </c>
      <c r="B452" s="8" t="s">
        <v>702</v>
      </c>
    </row>
    <row r="453" spans="1:2" ht="14.25" customHeight="1">
      <c r="A453" s="7">
        <v>41521046</v>
      </c>
      <c r="B453" s="8" t="s">
        <v>703</v>
      </c>
    </row>
    <row r="454" spans="1:2" ht="14.25" customHeight="1">
      <c r="A454" s="7">
        <v>41521057</v>
      </c>
      <c r="B454" s="8" t="s">
        <v>703</v>
      </c>
    </row>
    <row r="455" spans="1:2" ht="14.25" customHeight="1">
      <c r="A455" s="7">
        <v>12010003</v>
      </c>
      <c r="B455" s="8" t="s">
        <v>704</v>
      </c>
    </row>
    <row r="456" spans="1:2" ht="14.25" customHeight="1">
      <c r="A456" s="7">
        <v>12010004</v>
      </c>
      <c r="B456" s="8" t="s">
        <v>704</v>
      </c>
    </row>
    <row r="457" spans="1:2" ht="14.25" customHeight="1">
      <c r="A457" s="7">
        <v>41521073</v>
      </c>
      <c r="B457" s="8" t="s">
        <v>705</v>
      </c>
    </row>
    <row r="458" spans="1:2" ht="14.25" customHeight="1">
      <c r="A458" s="7">
        <v>32010003</v>
      </c>
      <c r="B458" s="8" t="s">
        <v>706</v>
      </c>
    </row>
    <row r="459" spans="1:2" ht="14.25" customHeight="1">
      <c r="A459" s="7">
        <v>41521060</v>
      </c>
      <c r="B459" s="8" t="s">
        <v>706</v>
      </c>
    </row>
    <row r="460" spans="1:2" ht="14.25" customHeight="1">
      <c r="A460" s="7">
        <v>41521063</v>
      </c>
      <c r="B460" s="8" t="s">
        <v>706</v>
      </c>
    </row>
    <row r="461" spans="1:2" ht="14.25" customHeight="1">
      <c r="A461" s="7">
        <v>32010011</v>
      </c>
      <c r="B461" s="8" t="s">
        <v>707</v>
      </c>
    </row>
    <row r="462" spans="1:2" ht="14.25" customHeight="1">
      <c r="A462" s="7">
        <v>1731948</v>
      </c>
      <c r="B462" s="8" t="s">
        <v>708</v>
      </c>
    </row>
    <row r="463" spans="1:2" ht="14.25" customHeight="1">
      <c r="A463" s="7">
        <v>16130001</v>
      </c>
      <c r="B463" s="8" t="s">
        <v>709</v>
      </c>
    </row>
    <row r="464" spans="1:2" ht="14.25" customHeight="1">
      <c r="A464" s="7">
        <v>7157334</v>
      </c>
      <c r="B464" s="8" t="s">
        <v>710</v>
      </c>
    </row>
    <row r="465" spans="1:2" ht="14.25" customHeight="1">
      <c r="A465" s="7">
        <v>8173632</v>
      </c>
      <c r="B465" s="8" t="s">
        <v>711</v>
      </c>
    </row>
    <row r="466" spans="1:2" ht="14.25" customHeight="1">
      <c r="A466" s="7">
        <v>81521120</v>
      </c>
      <c r="B466" s="8" t="s">
        <v>711</v>
      </c>
    </row>
    <row r="467" spans="1:2" ht="14.25" customHeight="1">
      <c r="A467" s="7">
        <v>81521289</v>
      </c>
      <c r="B467" s="8" t="s">
        <v>711</v>
      </c>
    </row>
    <row r="468" spans="1:2" ht="14.25" customHeight="1">
      <c r="A468" s="7">
        <v>81521071</v>
      </c>
      <c r="B468" s="8" t="s">
        <v>712</v>
      </c>
    </row>
    <row r="469" spans="1:2" ht="14.25" customHeight="1">
      <c r="A469" s="7">
        <v>81521086</v>
      </c>
      <c r="B469" s="8" t="s">
        <v>712</v>
      </c>
    </row>
    <row r="470" spans="1:2" ht="14.25" customHeight="1">
      <c r="A470" s="7">
        <v>81522001</v>
      </c>
      <c r="B470" s="8" t="s">
        <v>713</v>
      </c>
    </row>
    <row r="471" spans="1:2" ht="14.25" customHeight="1">
      <c r="A471" s="7">
        <v>7157157</v>
      </c>
      <c r="B471" s="8" t="s">
        <v>405</v>
      </c>
    </row>
    <row r="472" spans="1:2" ht="14.25" customHeight="1">
      <c r="A472" s="7">
        <v>7157332</v>
      </c>
      <c r="B472" s="8" t="s">
        <v>405</v>
      </c>
    </row>
    <row r="473" spans="1:2" ht="14.25" customHeight="1">
      <c r="A473" s="7">
        <v>7157335</v>
      </c>
      <c r="B473" s="8" t="s">
        <v>405</v>
      </c>
    </row>
    <row r="474" spans="1:2" ht="14.25" customHeight="1">
      <c r="A474" s="7">
        <v>7157346</v>
      </c>
      <c r="B474" s="8" t="s">
        <v>405</v>
      </c>
    </row>
    <row r="475" spans="1:2" ht="14.25" customHeight="1">
      <c r="A475" s="7">
        <v>7157348</v>
      </c>
      <c r="B475" s="8" t="s">
        <v>405</v>
      </c>
    </row>
    <row r="476" spans="1:2" ht="14.25" customHeight="1">
      <c r="A476" s="7">
        <v>7157351</v>
      </c>
      <c r="B476" s="8" t="s">
        <v>405</v>
      </c>
    </row>
    <row r="477" spans="1:2" ht="14.25" customHeight="1">
      <c r="A477" s="7">
        <v>7157353</v>
      </c>
      <c r="B477" s="8" t="s">
        <v>405</v>
      </c>
    </row>
    <row r="478" spans="1:2" ht="14.25" customHeight="1">
      <c r="A478" s="7">
        <v>7157358</v>
      </c>
      <c r="B478" s="8" t="s">
        <v>405</v>
      </c>
    </row>
    <row r="479" spans="1:2" ht="14.25" customHeight="1">
      <c r="A479" s="7">
        <v>8173087</v>
      </c>
      <c r="B479" s="8" t="s">
        <v>405</v>
      </c>
    </row>
    <row r="480" spans="1:2" ht="14.25" customHeight="1">
      <c r="A480" s="7">
        <v>8152008</v>
      </c>
      <c r="B480" s="8" t="s">
        <v>714</v>
      </c>
    </row>
    <row r="481" spans="1:2" ht="14.25" customHeight="1">
      <c r="A481" s="7">
        <v>8173494</v>
      </c>
      <c r="B481" s="8" t="s">
        <v>714</v>
      </c>
    </row>
    <row r="482" spans="1:2" ht="14.25" customHeight="1">
      <c r="A482" s="7">
        <v>8173535</v>
      </c>
      <c r="B482" s="8" t="s">
        <v>714</v>
      </c>
    </row>
    <row r="483" spans="1:2" ht="14.25" customHeight="1">
      <c r="A483" s="7">
        <v>8173567</v>
      </c>
      <c r="B483" s="8" t="s">
        <v>714</v>
      </c>
    </row>
    <row r="484" spans="1:2" ht="14.25" customHeight="1">
      <c r="A484" s="7">
        <v>81521117</v>
      </c>
      <c r="B484" s="8" t="s">
        <v>714</v>
      </c>
    </row>
    <row r="485" spans="1:2" ht="14.25" customHeight="1">
      <c r="A485" s="7">
        <v>81521119</v>
      </c>
      <c r="B485" s="8" t="s">
        <v>714</v>
      </c>
    </row>
    <row r="486" spans="1:2" ht="14.25" customHeight="1">
      <c r="A486" s="7">
        <v>81521200</v>
      </c>
      <c r="B486" s="8" t="s">
        <v>714</v>
      </c>
    </row>
    <row r="487" spans="1:2" ht="14.25" customHeight="1">
      <c r="A487" s="7">
        <v>81521201</v>
      </c>
      <c r="B487" s="8" t="s">
        <v>714</v>
      </c>
    </row>
    <row r="488" spans="1:2" ht="14.25" customHeight="1">
      <c r="A488" s="7">
        <v>81521202</v>
      </c>
      <c r="B488" s="8" t="s">
        <v>714</v>
      </c>
    </row>
    <row r="489" spans="1:2" ht="14.25" customHeight="1">
      <c r="A489" s="7">
        <v>81521203</v>
      </c>
      <c r="B489" s="8" t="s">
        <v>714</v>
      </c>
    </row>
    <row r="490" spans="1:2" ht="14.25" customHeight="1">
      <c r="A490" s="7">
        <v>81521319</v>
      </c>
      <c r="B490" s="8" t="s">
        <v>714</v>
      </c>
    </row>
    <row r="491" spans="1:2" ht="14.25" customHeight="1">
      <c r="A491" s="7">
        <v>81521482</v>
      </c>
      <c r="B491" s="8" t="s">
        <v>714</v>
      </c>
    </row>
    <row r="492" spans="1:2" ht="14.25" customHeight="1">
      <c r="A492" s="7">
        <v>81521483</v>
      </c>
      <c r="B492" s="8" t="s">
        <v>714</v>
      </c>
    </row>
    <row r="493" spans="1:2" ht="14.25" customHeight="1">
      <c r="A493" s="7">
        <v>81521484</v>
      </c>
      <c r="B493" s="8" t="s">
        <v>714</v>
      </c>
    </row>
    <row r="494" spans="1:2" ht="14.25" customHeight="1">
      <c r="A494" s="7">
        <v>81521540</v>
      </c>
      <c r="B494" s="8" t="s">
        <v>714</v>
      </c>
    </row>
    <row r="495" spans="1:2" ht="14.25" customHeight="1">
      <c r="A495" s="7">
        <v>81521541</v>
      </c>
      <c r="B495" s="8" t="s">
        <v>714</v>
      </c>
    </row>
    <row r="496" spans="1:2" ht="14.25" customHeight="1">
      <c r="A496" s="7">
        <v>81521496</v>
      </c>
      <c r="B496" s="8" t="s">
        <v>715</v>
      </c>
    </row>
    <row r="497" spans="1:2" ht="14.25" customHeight="1">
      <c r="A497" s="7">
        <v>81521495</v>
      </c>
      <c r="B497" s="8" t="s">
        <v>716</v>
      </c>
    </row>
    <row r="498" spans="1:2" ht="14.25" customHeight="1">
      <c r="A498" s="7">
        <v>8173294</v>
      </c>
      <c r="B498" s="8" t="s">
        <v>717</v>
      </c>
    </row>
    <row r="499" spans="1:2" ht="14.25" customHeight="1">
      <c r="A499" s="7">
        <v>8173306</v>
      </c>
      <c r="B499" s="8" t="s">
        <v>717</v>
      </c>
    </row>
    <row r="500" spans="1:2" ht="14.25" customHeight="1">
      <c r="A500" s="7">
        <v>8173312</v>
      </c>
      <c r="B500" s="8" t="s">
        <v>717</v>
      </c>
    </row>
    <row r="501" spans="1:2" ht="14.25" customHeight="1">
      <c r="A501" s="7">
        <v>8173313</v>
      </c>
      <c r="B501" s="8" t="s">
        <v>717</v>
      </c>
    </row>
    <row r="502" spans="1:2" ht="14.25" customHeight="1">
      <c r="A502" s="7">
        <v>8173314</v>
      </c>
      <c r="B502" s="8" t="s">
        <v>717</v>
      </c>
    </row>
    <row r="503" spans="1:2" ht="14.25" customHeight="1">
      <c r="A503" s="7">
        <v>8173315</v>
      </c>
      <c r="B503" s="8" t="s">
        <v>717</v>
      </c>
    </row>
    <row r="504" spans="1:2" ht="14.25" customHeight="1">
      <c r="A504" s="7">
        <v>8173317</v>
      </c>
      <c r="B504" s="8" t="s">
        <v>717</v>
      </c>
    </row>
    <row r="505" spans="1:2" ht="14.25" customHeight="1">
      <c r="A505" s="7">
        <v>8173318</v>
      </c>
      <c r="B505" s="8" t="s">
        <v>717</v>
      </c>
    </row>
    <row r="506" spans="1:2" ht="14.25" customHeight="1">
      <c r="A506" s="7">
        <v>8173319</v>
      </c>
      <c r="B506" s="8" t="s">
        <v>717</v>
      </c>
    </row>
    <row r="507" spans="1:2" ht="14.25" customHeight="1">
      <c r="A507" s="7">
        <v>8173320</v>
      </c>
      <c r="B507" s="8" t="s">
        <v>717</v>
      </c>
    </row>
    <row r="508" spans="1:2" ht="14.25" customHeight="1">
      <c r="A508" s="7">
        <v>8173321</v>
      </c>
      <c r="B508" s="8" t="s">
        <v>717</v>
      </c>
    </row>
    <row r="509" spans="1:2" ht="14.25" customHeight="1">
      <c r="A509" s="7">
        <v>8173322</v>
      </c>
      <c r="B509" s="8" t="s">
        <v>717</v>
      </c>
    </row>
    <row r="510" spans="1:2" ht="14.25" customHeight="1">
      <c r="A510" s="7">
        <v>8173324</v>
      </c>
      <c r="B510" s="8" t="s">
        <v>717</v>
      </c>
    </row>
    <row r="511" spans="1:2" ht="14.25" customHeight="1">
      <c r="A511" s="7">
        <v>8173367</v>
      </c>
      <c r="B511" s="8" t="s">
        <v>718</v>
      </c>
    </row>
    <row r="512" spans="1:2" ht="14.25" customHeight="1">
      <c r="A512" s="7">
        <v>7157347</v>
      </c>
      <c r="B512" s="8" t="s">
        <v>719</v>
      </c>
    </row>
    <row r="513" spans="1:2" ht="14.25" customHeight="1">
      <c r="A513" s="7">
        <v>31040088</v>
      </c>
      <c r="B513" s="8" t="s">
        <v>720</v>
      </c>
    </row>
    <row r="514" spans="1:2" ht="14.25" customHeight="1">
      <c r="A514" s="7">
        <v>31040104</v>
      </c>
      <c r="B514" s="8" t="s">
        <v>720</v>
      </c>
    </row>
    <row r="515" spans="1:2" ht="14.25" customHeight="1">
      <c r="A515" s="7">
        <v>31040105</v>
      </c>
      <c r="B515" s="8" t="s">
        <v>720</v>
      </c>
    </row>
    <row r="516" spans="1:2" ht="14.25" customHeight="1">
      <c r="A516" s="7">
        <v>31040106</v>
      </c>
      <c r="B516" s="8" t="s">
        <v>720</v>
      </c>
    </row>
    <row r="517" spans="1:2" ht="14.25" customHeight="1">
      <c r="A517" s="7">
        <v>31040107</v>
      </c>
      <c r="B517" s="8" t="s">
        <v>720</v>
      </c>
    </row>
    <row r="518" spans="1:2" ht="14.25" customHeight="1">
      <c r="A518" s="7">
        <v>31040109</v>
      </c>
      <c r="B518" s="8" t="s">
        <v>720</v>
      </c>
    </row>
    <row r="519" spans="1:2" ht="14.25" customHeight="1">
      <c r="A519" s="7">
        <v>31040110</v>
      </c>
      <c r="B519" s="8" t="s">
        <v>720</v>
      </c>
    </row>
    <row r="520" spans="1:2" ht="14.25" customHeight="1">
      <c r="A520" s="7">
        <v>31040111</v>
      </c>
      <c r="B520" s="8" t="s">
        <v>720</v>
      </c>
    </row>
    <row r="521" spans="1:2" ht="14.25" customHeight="1">
      <c r="A521" s="7">
        <v>31040112</v>
      </c>
      <c r="B521" s="8" t="s">
        <v>720</v>
      </c>
    </row>
    <row r="522" spans="1:2" ht="14.25" customHeight="1">
      <c r="A522" s="7">
        <v>31040073</v>
      </c>
      <c r="B522" s="8" t="s">
        <v>721</v>
      </c>
    </row>
    <row r="523" spans="1:2" ht="14.25" customHeight="1">
      <c r="A523" s="7">
        <v>31040004</v>
      </c>
      <c r="B523" s="8" t="s">
        <v>722</v>
      </c>
    </row>
    <row r="524" spans="1:2" ht="14.25" customHeight="1">
      <c r="A524" s="7">
        <v>31040021</v>
      </c>
      <c r="B524" s="8" t="s">
        <v>722</v>
      </c>
    </row>
    <row r="525" spans="1:2" ht="14.25" customHeight="1">
      <c r="A525" s="7">
        <v>31040025</v>
      </c>
      <c r="B525" s="8" t="s">
        <v>722</v>
      </c>
    </row>
    <row r="526" spans="1:2" ht="14.25" customHeight="1">
      <c r="A526" s="7">
        <v>31040026</v>
      </c>
      <c r="B526" s="8" t="s">
        <v>722</v>
      </c>
    </row>
    <row r="527" spans="1:2" ht="14.25" customHeight="1">
      <c r="A527" s="7">
        <v>31040027</v>
      </c>
      <c r="B527" s="8" t="s">
        <v>722</v>
      </c>
    </row>
    <row r="528" spans="1:2" ht="14.25" customHeight="1">
      <c r="A528" s="7">
        <v>31040031</v>
      </c>
      <c r="B528" s="8" t="s">
        <v>722</v>
      </c>
    </row>
    <row r="529" spans="1:2" ht="14.25" customHeight="1">
      <c r="A529" s="7">
        <v>31040039</v>
      </c>
      <c r="B529" s="8" t="s">
        <v>722</v>
      </c>
    </row>
    <row r="530" spans="1:2" ht="14.25" customHeight="1">
      <c r="A530" s="7">
        <v>31040097</v>
      </c>
      <c r="B530" s="8" t="s">
        <v>722</v>
      </c>
    </row>
    <row r="531" spans="1:2" ht="14.25" customHeight="1">
      <c r="A531" s="7">
        <v>31040099</v>
      </c>
      <c r="B531" s="8" t="s">
        <v>722</v>
      </c>
    </row>
    <row r="532" spans="1:2" ht="14.25" customHeight="1">
      <c r="A532" s="7">
        <v>31040117</v>
      </c>
      <c r="B532" s="8" t="s">
        <v>722</v>
      </c>
    </row>
    <row r="533" spans="1:2" ht="14.25" customHeight="1">
      <c r="A533" s="7">
        <v>31040118</v>
      </c>
      <c r="B533" s="8" t="s">
        <v>722</v>
      </c>
    </row>
    <row r="534" spans="1:2" ht="14.25" customHeight="1">
      <c r="A534" s="7">
        <v>31040023</v>
      </c>
      <c r="B534" s="8" t="s">
        <v>723</v>
      </c>
    </row>
    <row r="535" spans="1:2" ht="14.25" customHeight="1">
      <c r="A535" s="7">
        <v>31040033</v>
      </c>
      <c r="B535" s="8" t="s">
        <v>723</v>
      </c>
    </row>
    <row r="536" spans="1:2" ht="14.25" customHeight="1">
      <c r="A536" s="7">
        <v>31040046</v>
      </c>
      <c r="B536" s="8" t="s">
        <v>723</v>
      </c>
    </row>
    <row r="537" spans="1:2" ht="14.25" customHeight="1">
      <c r="A537" s="7">
        <v>31040047</v>
      </c>
      <c r="B537" s="8" t="s">
        <v>723</v>
      </c>
    </row>
    <row r="538" spans="1:2" ht="14.25" customHeight="1">
      <c r="A538" s="7">
        <v>31040052</v>
      </c>
      <c r="B538" s="8" t="s">
        <v>723</v>
      </c>
    </row>
    <row r="539" spans="1:2" ht="14.25" customHeight="1">
      <c r="A539" s="7">
        <v>31040167</v>
      </c>
      <c r="B539" s="8" t="s">
        <v>723</v>
      </c>
    </row>
    <row r="540" spans="1:2" ht="14.25" customHeight="1">
      <c r="A540" s="7">
        <v>31040171</v>
      </c>
      <c r="B540" s="8" t="s">
        <v>723</v>
      </c>
    </row>
    <row r="541" spans="1:2" ht="14.25" customHeight="1">
      <c r="A541" s="7">
        <v>31040173</v>
      </c>
      <c r="B541" s="8" t="s">
        <v>723</v>
      </c>
    </row>
    <row r="542" spans="1:2" ht="14.25" customHeight="1">
      <c r="A542" s="7">
        <v>31040007</v>
      </c>
      <c r="B542" s="8" t="s">
        <v>724</v>
      </c>
    </row>
    <row r="543" spans="1:2" ht="14.25" customHeight="1">
      <c r="A543" s="7">
        <v>31040009</v>
      </c>
      <c r="B543" s="8" t="s">
        <v>724</v>
      </c>
    </row>
    <row r="544" spans="1:2" ht="14.25" customHeight="1">
      <c r="A544" s="7">
        <v>31040010</v>
      </c>
      <c r="B544" s="8" t="s">
        <v>724</v>
      </c>
    </row>
    <row r="545" spans="1:2" ht="14.25" customHeight="1">
      <c r="A545" s="7">
        <v>31040012</v>
      </c>
      <c r="B545" s="8" t="s">
        <v>724</v>
      </c>
    </row>
    <row r="546" spans="1:2" ht="14.25" customHeight="1">
      <c r="A546" s="7">
        <v>31040022</v>
      </c>
      <c r="B546" s="8" t="s">
        <v>724</v>
      </c>
    </row>
    <row r="547" spans="1:2" ht="14.25" customHeight="1">
      <c r="A547" s="7">
        <v>31040024</v>
      </c>
      <c r="B547" s="8" t="s">
        <v>724</v>
      </c>
    </row>
    <row r="548" spans="1:2" ht="14.25" customHeight="1">
      <c r="A548" s="7">
        <v>31040029</v>
      </c>
      <c r="B548" s="8" t="s">
        <v>724</v>
      </c>
    </row>
    <row r="549" spans="1:2" ht="14.25" customHeight="1">
      <c r="A549" s="7">
        <v>31040030</v>
      </c>
      <c r="B549" s="8" t="s">
        <v>724</v>
      </c>
    </row>
    <row r="550" spans="1:2" ht="14.25" customHeight="1">
      <c r="A550" s="7">
        <v>31040032</v>
      </c>
      <c r="B550" s="8" t="s">
        <v>724</v>
      </c>
    </row>
    <row r="551" spans="1:2" ht="14.25" customHeight="1">
      <c r="A551" s="7">
        <v>31040034</v>
      </c>
      <c r="B551" s="8" t="s">
        <v>724</v>
      </c>
    </row>
    <row r="552" spans="1:2" ht="14.25" customHeight="1">
      <c r="A552" s="7">
        <v>31040036</v>
      </c>
      <c r="B552" s="8" t="s">
        <v>724</v>
      </c>
    </row>
    <row r="553" spans="1:2" ht="14.25" customHeight="1">
      <c r="A553" s="7">
        <v>31040037</v>
      </c>
      <c r="B553" s="8" t="s">
        <v>724</v>
      </c>
    </row>
    <row r="554" spans="1:2" ht="14.25" customHeight="1">
      <c r="A554" s="7">
        <v>31040038</v>
      </c>
      <c r="B554" s="8" t="s">
        <v>724</v>
      </c>
    </row>
    <row r="555" spans="1:2" ht="14.25" customHeight="1">
      <c r="A555" s="7">
        <v>31040069</v>
      </c>
      <c r="B555" s="8" t="s">
        <v>724</v>
      </c>
    </row>
    <row r="556" spans="1:2" ht="14.25" customHeight="1">
      <c r="A556" s="7">
        <v>31040074</v>
      </c>
      <c r="B556" s="8" t="s">
        <v>724</v>
      </c>
    </row>
    <row r="557" spans="1:2" ht="14.25" customHeight="1">
      <c r="A557" s="7">
        <v>31040077</v>
      </c>
      <c r="B557" s="8" t="s">
        <v>724</v>
      </c>
    </row>
    <row r="558" spans="1:2" ht="14.25" customHeight="1">
      <c r="A558" s="7">
        <v>31040013</v>
      </c>
      <c r="B558" s="8" t="s">
        <v>725</v>
      </c>
    </row>
    <row r="559" spans="1:2" ht="14.25" customHeight="1">
      <c r="A559" s="7">
        <v>31040014</v>
      </c>
      <c r="B559" s="8" t="s">
        <v>725</v>
      </c>
    </row>
    <row r="560" spans="1:2" ht="14.25" customHeight="1">
      <c r="A560" s="7">
        <v>31040015</v>
      </c>
      <c r="B560" s="8" t="s">
        <v>725</v>
      </c>
    </row>
    <row r="561" spans="1:2" ht="14.25" customHeight="1">
      <c r="A561" s="7">
        <v>31040016</v>
      </c>
      <c r="B561" s="8" t="s">
        <v>725</v>
      </c>
    </row>
    <row r="562" spans="1:2" ht="14.25" customHeight="1">
      <c r="A562" s="7">
        <v>31040017</v>
      </c>
      <c r="B562" s="8" t="s">
        <v>725</v>
      </c>
    </row>
    <row r="563" spans="1:2" ht="14.25" customHeight="1">
      <c r="A563" s="7">
        <v>31040018</v>
      </c>
      <c r="B563" s="8" t="s">
        <v>725</v>
      </c>
    </row>
    <row r="564" spans="1:2" ht="14.25" customHeight="1">
      <c r="A564" s="7">
        <v>31040019</v>
      </c>
      <c r="B564" s="8" t="s">
        <v>725</v>
      </c>
    </row>
    <row r="565" spans="1:2" ht="14.25" customHeight="1">
      <c r="A565" s="7">
        <v>31040020</v>
      </c>
      <c r="B565" s="8" t="s">
        <v>725</v>
      </c>
    </row>
    <row r="566" spans="1:2" ht="14.25" customHeight="1">
      <c r="A566" s="7">
        <v>31040116</v>
      </c>
      <c r="B566" s="8" t="s">
        <v>725</v>
      </c>
    </row>
    <row r="567" spans="1:2" ht="14.25" customHeight="1">
      <c r="A567" s="7">
        <v>31040333</v>
      </c>
      <c r="B567" s="8" t="s">
        <v>726</v>
      </c>
    </row>
    <row r="568" spans="1:2" ht="14.25" customHeight="1">
      <c r="A568" s="7">
        <v>31040334</v>
      </c>
      <c r="B568" s="8" t="s">
        <v>726</v>
      </c>
    </row>
    <row r="569" spans="1:2" ht="14.25" customHeight="1">
      <c r="A569" s="7">
        <v>31040335</v>
      </c>
      <c r="B569" s="8" t="s">
        <v>726</v>
      </c>
    </row>
    <row r="570" spans="1:2" ht="14.25" customHeight="1">
      <c r="A570" s="7">
        <v>31040341</v>
      </c>
      <c r="B570" s="8" t="s">
        <v>726</v>
      </c>
    </row>
    <row r="571" spans="1:2" ht="14.25" customHeight="1">
      <c r="A571" s="7">
        <v>31040342</v>
      </c>
      <c r="B571" s="8" t="s">
        <v>726</v>
      </c>
    </row>
    <row r="572" spans="1:2" ht="14.25" customHeight="1">
      <c r="A572" s="7">
        <v>31040358</v>
      </c>
      <c r="B572" s="8" t="s">
        <v>726</v>
      </c>
    </row>
    <row r="573" spans="1:2" ht="14.25" customHeight="1">
      <c r="A573" s="7">
        <v>31040381</v>
      </c>
      <c r="B573" s="8" t="s">
        <v>726</v>
      </c>
    </row>
    <row r="574" spans="1:2" ht="14.25" customHeight="1">
      <c r="A574" s="7">
        <v>11040004</v>
      </c>
      <c r="B574" s="8" t="s">
        <v>727</v>
      </c>
    </row>
    <row r="575" spans="1:2" ht="14.25" customHeight="1">
      <c r="A575" s="7">
        <v>11040005</v>
      </c>
      <c r="B575" s="8" t="s">
        <v>727</v>
      </c>
    </row>
    <row r="576" spans="1:2" ht="14.25" customHeight="1">
      <c r="A576" s="7">
        <v>11040006</v>
      </c>
      <c r="B576" s="8" t="s">
        <v>727</v>
      </c>
    </row>
    <row r="577" spans="1:2" ht="14.25" customHeight="1">
      <c r="A577" s="7">
        <v>11040013</v>
      </c>
      <c r="B577" s="8" t="s">
        <v>727</v>
      </c>
    </row>
    <row r="578" spans="1:2" ht="14.25" customHeight="1">
      <c r="A578" s="7">
        <v>11040014</v>
      </c>
      <c r="B578" s="8" t="s">
        <v>727</v>
      </c>
    </row>
    <row r="579" spans="1:2" ht="14.25" customHeight="1">
      <c r="A579" s="7">
        <v>11040015</v>
      </c>
      <c r="B579" s="8" t="s">
        <v>727</v>
      </c>
    </row>
    <row r="580" spans="1:2" ht="14.25" customHeight="1">
      <c r="A580" s="7">
        <v>11040016</v>
      </c>
      <c r="B580" s="8" t="s">
        <v>727</v>
      </c>
    </row>
    <row r="581" spans="1:2" ht="14.25" customHeight="1">
      <c r="A581" s="7">
        <v>11040017</v>
      </c>
      <c r="B581" s="8" t="s">
        <v>727</v>
      </c>
    </row>
    <row r="582" spans="1:2" ht="14.25" customHeight="1">
      <c r="A582" s="7">
        <v>11040018</v>
      </c>
      <c r="B582" s="8" t="s">
        <v>727</v>
      </c>
    </row>
    <row r="583" spans="1:2" ht="14.25" customHeight="1">
      <c r="A583" s="7">
        <v>11040019</v>
      </c>
      <c r="B583" s="8" t="s">
        <v>727</v>
      </c>
    </row>
    <row r="584" spans="1:2" ht="14.25" customHeight="1">
      <c r="A584" s="7">
        <v>11040020</v>
      </c>
      <c r="B584" s="8" t="s">
        <v>727</v>
      </c>
    </row>
    <row r="585" spans="1:2" ht="14.25" customHeight="1">
      <c r="A585" s="7">
        <v>11040021</v>
      </c>
      <c r="B585" s="8" t="s">
        <v>727</v>
      </c>
    </row>
    <row r="586" spans="1:2" ht="14.25" customHeight="1">
      <c r="A586" s="7">
        <v>11040022</v>
      </c>
      <c r="B586" s="8" t="s">
        <v>727</v>
      </c>
    </row>
    <row r="587" spans="1:2" ht="14.25" customHeight="1">
      <c r="A587" s="7">
        <v>11040023</v>
      </c>
      <c r="B587" s="8" t="s">
        <v>727</v>
      </c>
    </row>
    <row r="588" spans="1:2" ht="14.25" customHeight="1">
      <c r="A588" s="7">
        <v>11040024</v>
      </c>
      <c r="B588" s="8" t="s">
        <v>727</v>
      </c>
    </row>
    <row r="589" spans="1:2" ht="14.25" customHeight="1">
      <c r="A589" s="7">
        <v>11040025</v>
      </c>
      <c r="B589" s="8" t="s">
        <v>727</v>
      </c>
    </row>
    <row r="590" spans="1:2" ht="14.25" customHeight="1">
      <c r="A590" s="7">
        <v>31040042</v>
      </c>
      <c r="B590" s="8" t="s">
        <v>728</v>
      </c>
    </row>
    <row r="591" spans="1:2" ht="14.25" customHeight="1">
      <c r="A591" s="7">
        <v>31040043</v>
      </c>
      <c r="B591" s="8" t="s">
        <v>728</v>
      </c>
    </row>
    <row r="592" spans="1:2" ht="14.25" customHeight="1">
      <c r="A592" s="7">
        <v>31040044</v>
      </c>
      <c r="B592" s="8" t="s">
        <v>728</v>
      </c>
    </row>
    <row r="593" spans="1:2" ht="14.25" customHeight="1">
      <c r="A593" s="7">
        <v>31040045</v>
      </c>
      <c r="B593" s="8" t="s">
        <v>728</v>
      </c>
    </row>
    <row r="594" spans="1:2" ht="14.25" customHeight="1">
      <c r="A594" s="7">
        <v>31040049</v>
      </c>
      <c r="B594" s="8" t="s">
        <v>728</v>
      </c>
    </row>
    <row r="595" spans="1:2" ht="14.25" customHeight="1">
      <c r="A595" s="7">
        <v>31040055</v>
      </c>
      <c r="B595" s="8" t="s">
        <v>728</v>
      </c>
    </row>
    <row r="596" spans="1:2" ht="14.25" customHeight="1">
      <c r="A596" s="7">
        <v>31040056</v>
      </c>
      <c r="B596" s="8" t="s">
        <v>728</v>
      </c>
    </row>
    <row r="597" spans="1:2" ht="14.25" customHeight="1">
      <c r="A597" s="7">
        <v>31040057</v>
      </c>
      <c r="B597" s="8" t="s">
        <v>728</v>
      </c>
    </row>
    <row r="598" spans="1:2" ht="14.25" customHeight="1">
      <c r="A598" s="7">
        <v>31040058</v>
      </c>
      <c r="B598" s="8" t="s">
        <v>728</v>
      </c>
    </row>
    <row r="599" spans="1:2" ht="14.25" customHeight="1">
      <c r="A599" s="7">
        <v>31040067</v>
      </c>
      <c r="B599" s="8" t="s">
        <v>728</v>
      </c>
    </row>
    <row r="600" spans="1:2" ht="14.25" customHeight="1">
      <c r="A600" s="7">
        <v>31040071</v>
      </c>
      <c r="B600" s="8" t="s">
        <v>728</v>
      </c>
    </row>
    <row r="601" spans="1:2" ht="14.25" customHeight="1">
      <c r="A601" s="7">
        <v>31040072</v>
      </c>
      <c r="B601" s="8" t="s">
        <v>728</v>
      </c>
    </row>
    <row r="602" spans="1:2" ht="14.25" customHeight="1">
      <c r="A602" s="7">
        <v>31040075</v>
      </c>
      <c r="B602" s="8" t="s">
        <v>728</v>
      </c>
    </row>
    <row r="603" spans="1:2" ht="14.25" customHeight="1">
      <c r="A603" s="7">
        <v>31040080</v>
      </c>
      <c r="B603" s="8" t="s">
        <v>728</v>
      </c>
    </row>
    <row r="604" spans="1:2" ht="14.25" customHeight="1">
      <c r="A604" s="7">
        <v>31040102</v>
      </c>
      <c r="B604" s="8" t="s">
        <v>728</v>
      </c>
    </row>
    <row r="605" spans="1:2" ht="14.25" customHeight="1">
      <c r="A605" s="7">
        <v>31040168</v>
      </c>
      <c r="B605" s="8" t="s">
        <v>728</v>
      </c>
    </row>
    <row r="606" spans="1:2" ht="14.25" customHeight="1">
      <c r="A606" s="7">
        <v>31040321</v>
      </c>
      <c r="B606" s="8" t="s">
        <v>728</v>
      </c>
    </row>
    <row r="607" spans="1:2" ht="14.25" customHeight="1">
      <c r="A607" s="7">
        <v>31040322</v>
      </c>
      <c r="B607" s="8" t="s">
        <v>728</v>
      </c>
    </row>
    <row r="608" spans="1:2" ht="14.25" customHeight="1">
      <c r="A608" s="7">
        <v>31040323</v>
      </c>
      <c r="B608" s="8" t="s">
        <v>728</v>
      </c>
    </row>
    <row r="609" spans="1:2" ht="14.25" customHeight="1">
      <c r="A609" s="7">
        <v>31040346</v>
      </c>
      <c r="B609" s="8" t="s">
        <v>728</v>
      </c>
    </row>
    <row r="610" spans="1:2" ht="14.25" customHeight="1">
      <c r="A610" s="7">
        <v>31040382</v>
      </c>
      <c r="B610" s="8" t="s">
        <v>728</v>
      </c>
    </row>
    <row r="611" spans="1:2" ht="14.25" customHeight="1">
      <c r="A611" s="7">
        <v>17320755</v>
      </c>
      <c r="B611" s="8" t="s">
        <v>729</v>
      </c>
    </row>
    <row r="612" spans="1:2" ht="14.25" customHeight="1">
      <c r="A612" s="7">
        <v>31040005</v>
      </c>
      <c r="B612" s="8" t="s">
        <v>729</v>
      </c>
    </row>
    <row r="613" spans="1:2" ht="14.25" customHeight="1">
      <c r="A613" s="7">
        <v>31040006</v>
      </c>
      <c r="B613" s="8" t="s">
        <v>729</v>
      </c>
    </row>
    <row r="614" spans="1:2" ht="14.25" customHeight="1">
      <c r="A614" s="7">
        <v>31040011</v>
      </c>
      <c r="B614" s="8" t="s">
        <v>729</v>
      </c>
    </row>
    <row r="615" spans="1:2" ht="14.25" customHeight="1">
      <c r="A615" s="7">
        <v>31040041</v>
      </c>
      <c r="B615" s="8" t="s">
        <v>729</v>
      </c>
    </row>
    <row r="616" spans="1:2" ht="14.25" customHeight="1">
      <c r="A616" s="7">
        <v>31040048</v>
      </c>
      <c r="B616" s="8" t="s">
        <v>729</v>
      </c>
    </row>
    <row r="617" spans="1:2" ht="14.25" customHeight="1">
      <c r="A617" s="7">
        <v>31040050</v>
      </c>
      <c r="B617" s="8" t="s">
        <v>729</v>
      </c>
    </row>
    <row r="618" spans="1:2" ht="14.25" customHeight="1">
      <c r="A618" s="7">
        <v>31040051</v>
      </c>
      <c r="B618" s="8" t="s">
        <v>729</v>
      </c>
    </row>
    <row r="619" spans="1:2" ht="14.25" customHeight="1">
      <c r="A619" s="7">
        <v>31040059</v>
      </c>
      <c r="B619" s="8" t="s">
        <v>729</v>
      </c>
    </row>
    <row r="620" spans="1:2" ht="14.25" customHeight="1">
      <c r="A620" s="7">
        <v>31040060</v>
      </c>
      <c r="B620" s="8" t="s">
        <v>729</v>
      </c>
    </row>
    <row r="621" spans="1:2" ht="14.25" customHeight="1">
      <c r="A621" s="7">
        <v>31040061</v>
      </c>
      <c r="B621" s="8" t="s">
        <v>729</v>
      </c>
    </row>
    <row r="622" spans="1:2" ht="14.25" customHeight="1">
      <c r="A622" s="7">
        <v>31040062</v>
      </c>
      <c r="B622" s="8" t="s">
        <v>729</v>
      </c>
    </row>
    <row r="623" spans="1:2" ht="14.25" customHeight="1">
      <c r="A623" s="7">
        <v>31040063</v>
      </c>
      <c r="B623" s="8" t="s">
        <v>729</v>
      </c>
    </row>
    <row r="624" spans="1:2" ht="14.25" customHeight="1">
      <c r="A624" s="7">
        <v>31040065</v>
      </c>
      <c r="B624" s="8" t="s">
        <v>729</v>
      </c>
    </row>
    <row r="625" spans="1:2" ht="14.25" customHeight="1">
      <c r="A625" s="7">
        <v>31040068</v>
      </c>
      <c r="B625" s="8" t="s">
        <v>729</v>
      </c>
    </row>
    <row r="626" spans="1:2" ht="14.25" customHeight="1">
      <c r="A626" s="7">
        <v>31040070</v>
      </c>
      <c r="B626" s="8" t="s">
        <v>729</v>
      </c>
    </row>
    <row r="627" spans="1:2" ht="14.25" customHeight="1">
      <c r="A627" s="7">
        <v>31040078</v>
      </c>
      <c r="B627" s="8" t="s">
        <v>729</v>
      </c>
    </row>
    <row r="628" spans="1:2" ht="14.25" customHeight="1">
      <c r="A628" s="7">
        <v>31040081</v>
      </c>
      <c r="B628" s="8" t="s">
        <v>729</v>
      </c>
    </row>
    <row r="629" spans="1:2" ht="14.25" customHeight="1">
      <c r="A629" s="7">
        <v>31040084</v>
      </c>
      <c r="B629" s="8" t="s">
        <v>729</v>
      </c>
    </row>
    <row r="630" spans="1:2" ht="14.25" customHeight="1">
      <c r="A630" s="7">
        <v>31040086</v>
      </c>
      <c r="B630" s="8" t="s">
        <v>729</v>
      </c>
    </row>
    <row r="631" spans="1:2" ht="14.25" customHeight="1">
      <c r="A631" s="7">
        <v>31040090</v>
      </c>
      <c r="B631" s="8" t="s">
        <v>729</v>
      </c>
    </row>
    <row r="632" spans="1:2" ht="14.25" customHeight="1">
      <c r="A632" s="7">
        <v>31040091</v>
      </c>
      <c r="B632" s="8" t="s">
        <v>729</v>
      </c>
    </row>
    <row r="633" spans="1:2" ht="14.25" customHeight="1">
      <c r="A633" s="7">
        <v>31040093</v>
      </c>
      <c r="B633" s="8" t="s">
        <v>729</v>
      </c>
    </row>
    <row r="634" spans="1:2" ht="14.25" customHeight="1">
      <c r="A634" s="7">
        <v>31040094</v>
      </c>
      <c r="B634" s="8" t="s">
        <v>729</v>
      </c>
    </row>
    <row r="635" spans="1:2" ht="14.25" customHeight="1">
      <c r="A635" s="7">
        <v>31040096</v>
      </c>
      <c r="B635" s="8" t="s">
        <v>729</v>
      </c>
    </row>
    <row r="636" spans="1:2" ht="14.25" customHeight="1">
      <c r="A636" s="7">
        <v>31040098</v>
      </c>
      <c r="B636" s="8" t="s">
        <v>729</v>
      </c>
    </row>
    <row r="637" spans="1:2" ht="14.25" customHeight="1">
      <c r="A637" s="7">
        <v>31040170</v>
      </c>
      <c r="B637" s="8" t="s">
        <v>729</v>
      </c>
    </row>
    <row r="638" spans="1:2" ht="14.25" customHeight="1">
      <c r="A638" s="7">
        <v>31040172</v>
      </c>
      <c r="B638" s="8" t="s">
        <v>729</v>
      </c>
    </row>
    <row r="639" spans="1:2" ht="14.25" customHeight="1">
      <c r="A639" s="7">
        <v>31040191</v>
      </c>
      <c r="B639" s="8" t="s">
        <v>729</v>
      </c>
    </row>
    <row r="640" spans="1:2" ht="14.25" customHeight="1">
      <c r="A640" s="7">
        <v>31040193</v>
      </c>
      <c r="B640" s="8" t="s">
        <v>729</v>
      </c>
    </row>
    <row r="641" spans="1:2" ht="14.25" customHeight="1">
      <c r="A641" s="7">
        <v>61521080</v>
      </c>
      <c r="B641" s="8" t="s">
        <v>729</v>
      </c>
    </row>
    <row r="642" spans="1:2" ht="14.25" customHeight="1">
      <c r="A642" s="7">
        <v>61521081</v>
      </c>
      <c r="B642" s="8" t="s">
        <v>729</v>
      </c>
    </row>
    <row r="643" spans="1:2" ht="14.25" customHeight="1">
      <c r="A643" s="7">
        <v>31040040</v>
      </c>
      <c r="B643" s="8" t="s">
        <v>730</v>
      </c>
    </row>
    <row r="644" spans="1:2" ht="14.25" customHeight="1">
      <c r="A644" s="7">
        <v>31040079</v>
      </c>
      <c r="B644" s="8" t="s">
        <v>730</v>
      </c>
    </row>
    <row r="645" spans="1:2" ht="14.25" customHeight="1">
      <c r="A645" s="7">
        <v>31040083</v>
      </c>
      <c r="B645" s="8" t="s">
        <v>730</v>
      </c>
    </row>
    <row r="646" spans="1:2" ht="14.25" customHeight="1">
      <c r="A646" s="7">
        <v>31040101</v>
      </c>
      <c r="B646" s="8" t="s">
        <v>730</v>
      </c>
    </row>
    <row r="647" spans="1:2" ht="14.25" customHeight="1">
      <c r="A647" s="7">
        <v>31040235</v>
      </c>
      <c r="B647" s="8" t="s">
        <v>730</v>
      </c>
    </row>
    <row r="648" spans="1:2" ht="14.25" customHeight="1">
      <c r="A648" s="7">
        <v>31040320</v>
      </c>
      <c r="B648" s="8" t="s">
        <v>730</v>
      </c>
    </row>
    <row r="649" spans="1:2" ht="14.25" customHeight="1">
      <c r="A649" s="7">
        <v>31040332</v>
      </c>
      <c r="B649" s="8" t="s">
        <v>730</v>
      </c>
    </row>
    <row r="650" spans="1:2" ht="14.25" customHeight="1">
      <c r="A650" s="7">
        <v>31040355</v>
      </c>
      <c r="B650" s="8" t="s">
        <v>730</v>
      </c>
    </row>
    <row r="651" spans="1:2" ht="14.25" customHeight="1">
      <c r="A651" s="7">
        <v>31040356</v>
      </c>
      <c r="B651" s="8" t="s">
        <v>730</v>
      </c>
    </row>
    <row r="652" spans="1:2" ht="14.25" customHeight="1">
      <c r="A652" s="7">
        <v>31040357</v>
      </c>
      <c r="B652" s="8" t="s">
        <v>730</v>
      </c>
    </row>
    <row r="653" spans="1:2" ht="14.25" customHeight="1">
      <c r="A653" s="7">
        <v>31040378</v>
      </c>
      <c r="B653" s="8" t="s">
        <v>730</v>
      </c>
    </row>
    <row r="654" spans="1:2" ht="14.25" customHeight="1">
      <c r="A654" s="7">
        <v>31040380</v>
      </c>
      <c r="B654" s="8" t="s">
        <v>730</v>
      </c>
    </row>
    <row r="655" spans="1:2" ht="14.25" customHeight="1">
      <c r="A655" s="7">
        <v>31040003</v>
      </c>
      <c r="B655" s="8" t="s">
        <v>731</v>
      </c>
    </row>
    <row r="656" spans="1:2" ht="14.25" customHeight="1">
      <c r="A656" s="7">
        <v>31040028</v>
      </c>
      <c r="B656" s="8" t="s">
        <v>731</v>
      </c>
    </row>
    <row r="657" spans="1:2" ht="14.25" customHeight="1">
      <c r="A657" s="7">
        <v>31040053</v>
      </c>
      <c r="B657" s="8" t="s">
        <v>731</v>
      </c>
    </row>
    <row r="658" spans="1:2" ht="14.25" customHeight="1">
      <c r="A658" s="7">
        <v>31040054</v>
      </c>
      <c r="B658" s="8" t="s">
        <v>731</v>
      </c>
    </row>
    <row r="659" spans="1:2" ht="14.25" customHeight="1">
      <c r="A659" s="7">
        <v>31040066</v>
      </c>
      <c r="B659" s="8" t="s">
        <v>731</v>
      </c>
    </row>
    <row r="660" spans="1:2" ht="14.25" customHeight="1">
      <c r="A660" s="7">
        <v>31040095</v>
      </c>
      <c r="B660" s="8" t="s">
        <v>731</v>
      </c>
    </row>
    <row r="661" spans="1:2" ht="14.25" customHeight="1">
      <c r="A661" s="7">
        <v>31040100</v>
      </c>
      <c r="B661" s="8" t="s">
        <v>731</v>
      </c>
    </row>
    <row r="662" spans="1:2" ht="14.25" customHeight="1">
      <c r="A662" s="7">
        <v>31040192</v>
      </c>
      <c r="B662" s="8" t="s">
        <v>731</v>
      </c>
    </row>
    <row r="663" spans="1:2" ht="14.25" customHeight="1">
      <c r="A663" s="7">
        <v>31040064</v>
      </c>
      <c r="B663" s="8" t="s">
        <v>732</v>
      </c>
    </row>
    <row r="664" spans="1:2" ht="14.25" customHeight="1">
      <c r="A664" s="7">
        <v>31040169</v>
      </c>
      <c r="B664" s="8" t="s">
        <v>732</v>
      </c>
    </row>
    <row r="665" spans="1:2" ht="14.25" customHeight="1">
      <c r="A665" s="7">
        <v>31040354</v>
      </c>
      <c r="B665" s="8" t="s">
        <v>732</v>
      </c>
    </row>
    <row r="666" spans="1:2" ht="14.25" customHeight="1">
      <c r="A666" s="7">
        <v>61521030</v>
      </c>
      <c r="B666" s="8" t="s">
        <v>733</v>
      </c>
    </row>
    <row r="667" spans="1:2" ht="14.25" customHeight="1">
      <c r="A667" s="7">
        <v>61521031</v>
      </c>
      <c r="B667" s="8" t="s">
        <v>733</v>
      </c>
    </row>
    <row r="668" spans="1:2" ht="14.25" customHeight="1">
      <c r="A668" s="7">
        <v>61521008</v>
      </c>
      <c r="B668" s="8" t="s">
        <v>734</v>
      </c>
    </row>
    <row r="669" spans="1:2" ht="14.25" customHeight="1">
      <c r="A669" s="7">
        <v>61521009</v>
      </c>
      <c r="B669" s="8" t="s">
        <v>734</v>
      </c>
    </row>
    <row r="670" spans="1:2" ht="14.25" customHeight="1">
      <c r="A670" s="7">
        <v>61521010</v>
      </c>
      <c r="B670" s="8" t="s">
        <v>734</v>
      </c>
    </row>
    <row r="671" spans="1:2" ht="14.25" customHeight="1">
      <c r="A671" s="7">
        <v>6173016</v>
      </c>
      <c r="B671" s="8" t="s">
        <v>735</v>
      </c>
    </row>
    <row r="672" spans="1:2" ht="14.25" customHeight="1">
      <c r="A672" s="7">
        <v>6172005</v>
      </c>
      <c r="B672" s="8" t="s">
        <v>736</v>
      </c>
    </row>
    <row r="673" spans="1:2" ht="14.25" customHeight="1">
      <c r="A673" s="7">
        <v>6173020</v>
      </c>
      <c r="B673" s="8" t="s">
        <v>736</v>
      </c>
    </row>
    <row r="674" spans="1:2" ht="14.25" customHeight="1">
      <c r="A674" s="7">
        <v>31050022</v>
      </c>
      <c r="B674" s="8" t="s">
        <v>737</v>
      </c>
    </row>
    <row r="675" spans="1:2" ht="14.25" customHeight="1">
      <c r="A675" s="7">
        <v>31050001</v>
      </c>
      <c r="B675" s="8" t="s">
        <v>738</v>
      </c>
    </row>
    <row r="676" spans="1:2" ht="14.25" customHeight="1">
      <c r="A676" s="7">
        <v>61521074</v>
      </c>
      <c r="B676" s="8" t="s">
        <v>739</v>
      </c>
    </row>
    <row r="677" spans="1:2" ht="14.25" customHeight="1">
      <c r="A677" s="7">
        <v>61521075</v>
      </c>
      <c r="B677" s="8" t="s">
        <v>739</v>
      </c>
    </row>
    <row r="678" spans="1:2" ht="14.25" customHeight="1">
      <c r="A678" s="7">
        <v>1731800</v>
      </c>
      <c r="B678" s="8" t="s">
        <v>740</v>
      </c>
    </row>
    <row r="679" spans="1:2" ht="14.25" customHeight="1">
      <c r="A679" s="7">
        <v>1732152</v>
      </c>
      <c r="B679" s="8" t="s">
        <v>741</v>
      </c>
    </row>
    <row r="680" spans="1:2" ht="14.25" customHeight="1">
      <c r="A680" s="7">
        <v>17320822</v>
      </c>
      <c r="B680" s="8" t="s">
        <v>742</v>
      </c>
    </row>
    <row r="681" spans="1:2" ht="14.25" customHeight="1">
      <c r="A681" s="7">
        <v>1731646</v>
      </c>
      <c r="B681" s="8" t="s">
        <v>743</v>
      </c>
    </row>
    <row r="682" spans="1:2" ht="14.25" customHeight="1">
      <c r="A682" s="7">
        <v>1731201</v>
      </c>
      <c r="B682" s="8" t="s">
        <v>744</v>
      </c>
    </row>
    <row r="683" spans="1:2" ht="14.25" customHeight="1">
      <c r="A683" s="7">
        <v>1731981</v>
      </c>
      <c r="B683" s="8" t="s">
        <v>744</v>
      </c>
    </row>
    <row r="684" spans="1:2" ht="14.25" customHeight="1">
      <c r="A684" s="7">
        <v>1731342</v>
      </c>
      <c r="B684" s="8" t="s">
        <v>745</v>
      </c>
    </row>
    <row r="685" spans="1:2" ht="14.25" customHeight="1">
      <c r="A685" s="7">
        <v>1732051</v>
      </c>
      <c r="B685" s="8" t="s">
        <v>746</v>
      </c>
    </row>
    <row r="686" spans="1:2" ht="14.25" customHeight="1">
      <c r="A686" s="7">
        <v>1732082</v>
      </c>
      <c r="B686" s="8" t="s">
        <v>747</v>
      </c>
    </row>
    <row r="687" spans="1:2" ht="14.25" customHeight="1">
      <c r="A687" s="7">
        <v>1731429</v>
      </c>
      <c r="B687" s="8" t="s">
        <v>748</v>
      </c>
    </row>
    <row r="688" spans="1:2" ht="14.25" customHeight="1">
      <c r="A688" s="7">
        <v>17320825</v>
      </c>
      <c r="B688" s="8" t="s">
        <v>749</v>
      </c>
    </row>
    <row r="689" spans="1:2" ht="14.25" customHeight="1">
      <c r="A689" s="7">
        <v>1731422</v>
      </c>
      <c r="B689" s="8" t="s">
        <v>750</v>
      </c>
    </row>
    <row r="690" spans="1:2" ht="14.25" customHeight="1">
      <c r="A690" s="7">
        <v>1731353</v>
      </c>
      <c r="B690" s="8" t="s">
        <v>751</v>
      </c>
    </row>
    <row r="691" spans="1:2" ht="14.25" customHeight="1">
      <c r="A691" s="7">
        <v>1731805</v>
      </c>
      <c r="B691" s="8" t="s">
        <v>752</v>
      </c>
    </row>
    <row r="692" spans="1:2" ht="14.25" customHeight="1">
      <c r="A692" s="7">
        <v>1732241</v>
      </c>
      <c r="B692" s="8" t="s">
        <v>753</v>
      </c>
    </row>
    <row r="693" spans="1:2" ht="14.25" customHeight="1">
      <c r="A693" s="7">
        <v>61570304</v>
      </c>
      <c r="B693" s="8" t="s">
        <v>754</v>
      </c>
    </row>
    <row r="694" spans="1:2" ht="14.25" customHeight="1">
      <c r="A694" s="7">
        <v>61570373</v>
      </c>
      <c r="B694" s="8" t="s">
        <v>754</v>
      </c>
    </row>
    <row r="695" spans="1:2" ht="14.25" customHeight="1">
      <c r="A695" s="7">
        <v>61570415</v>
      </c>
      <c r="B695" s="8" t="s">
        <v>754</v>
      </c>
    </row>
    <row r="696" spans="1:2" ht="14.25" customHeight="1">
      <c r="A696" s="7">
        <v>61570417</v>
      </c>
      <c r="B696" s="8" t="s">
        <v>754</v>
      </c>
    </row>
    <row r="697" spans="1:2" ht="14.25" customHeight="1">
      <c r="A697" s="7">
        <v>61570431</v>
      </c>
      <c r="B697" s="8" t="s">
        <v>754</v>
      </c>
    </row>
    <row r="698" spans="1:2" ht="14.25" customHeight="1">
      <c r="A698" s="7">
        <v>61570617</v>
      </c>
      <c r="B698" s="8" t="s">
        <v>754</v>
      </c>
    </row>
    <row r="699" spans="1:2" ht="14.25" customHeight="1">
      <c r="A699" s="7">
        <v>61570618</v>
      </c>
      <c r="B699" s="8" t="s">
        <v>754</v>
      </c>
    </row>
    <row r="700" spans="1:2" ht="14.25" customHeight="1">
      <c r="A700" s="7">
        <v>61570632</v>
      </c>
      <c r="B700" s="8" t="s">
        <v>754</v>
      </c>
    </row>
    <row r="701" spans="1:2" ht="14.25" customHeight="1">
      <c r="A701" s="7">
        <v>17320827</v>
      </c>
      <c r="B701" s="8" t="s">
        <v>755</v>
      </c>
    </row>
    <row r="702" spans="1:2" ht="14.25" customHeight="1">
      <c r="A702" s="7">
        <v>1731403</v>
      </c>
      <c r="B702" s="8" t="s">
        <v>756</v>
      </c>
    </row>
    <row r="703" spans="1:2" ht="14.25" customHeight="1">
      <c r="A703" s="7">
        <v>17320815</v>
      </c>
      <c r="B703" s="8" t="s">
        <v>757</v>
      </c>
    </row>
    <row r="704" spans="1:2" ht="14.25" customHeight="1">
      <c r="A704" s="7">
        <v>1732616</v>
      </c>
      <c r="B704" s="8" t="s">
        <v>758</v>
      </c>
    </row>
    <row r="705" spans="1:2" ht="14.25" customHeight="1">
      <c r="A705" s="7">
        <v>81521197</v>
      </c>
      <c r="B705" s="8" t="s">
        <v>759</v>
      </c>
    </row>
    <row r="706" spans="1:2" ht="14.25" customHeight="1">
      <c r="A706" s="7">
        <v>5173115</v>
      </c>
      <c r="B706" s="8" t="s">
        <v>760</v>
      </c>
    </row>
    <row r="707" spans="1:2" ht="14.25" customHeight="1">
      <c r="A707" s="7">
        <v>5173116</v>
      </c>
      <c r="B707" s="8" t="s">
        <v>760</v>
      </c>
    </row>
    <row r="708" spans="1:2" ht="14.25" customHeight="1">
      <c r="A708" s="7">
        <v>5173117</v>
      </c>
      <c r="B708" s="8" t="s">
        <v>760</v>
      </c>
    </row>
    <row r="709" spans="1:2" ht="14.25" customHeight="1">
      <c r="A709" s="7">
        <v>5173118</v>
      </c>
      <c r="B709" s="8" t="s">
        <v>760</v>
      </c>
    </row>
    <row r="710" spans="1:2" ht="14.25" customHeight="1">
      <c r="A710" s="7">
        <v>5173119</v>
      </c>
      <c r="B710" s="8" t="s">
        <v>760</v>
      </c>
    </row>
    <row r="711" spans="1:2" ht="14.25" customHeight="1">
      <c r="A711" s="7">
        <v>5173120</v>
      </c>
      <c r="B711" s="8" t="s">
        <v>760</v>
      </c>
    </row>
    <row r="712" spans="1:2" ht="14.25" customHeight="1">
      <c r="A712" s="7">
        <v>5173121</v>
      </c>
      <c r="B712" s="8" t="s">
        <v>760</v>
      </c>
    </row>
    <row r="713" spans="1:2" ht="14.25" customHeight="1">
      <c r="A713" s="7">
        <v>51521002</v>
      </c>
      <c r="B713" s="8" t="s">
        <v>761</v>
      </c>
    </row>
    <row r="714" spans="1:2" ht="14.25" customHeight="1">
      <c r="A714" s="7">
        <v>51521043</v>
      </c>
      <c r="B714" s="8" t="s">
        <v>761</v>
      </c>
    </row>
    <row r="715" spans="1:2" ht="14.25" customHeight="1">
      <c r="A715" s="7">
        <v>51521044</v>
      </c>
      <c r="B715" s="8" t="s">
        <v>761</v>
      </c>
    </row>
    <row r="716" spans="1:2" ht="14.25" customHeight="1">
      <c r="A716" s="7">
        <v>51521045</v>
      </c>
      <c r="B716" s="8" t="s">
        <v>761</v>
      </c>
    </row>
    <row r="717" spans="1:2" ht="14.25" customHeight="1">
      <c r="A717" s="7">
        <v>51521047</v>
      </c>
      <c r="B717" s="8" t="s">
        <v>761</v>
      </c>
    </row>
    <row r="718" spans="1:2" ht="14.25" customHeight="1">
      <c r="A718" s="7">
        <v>51521048</v>
      </c>
      <c r="B718" s="8" t="s">
        <v>761</v>
      </c>
    </row>
    <row r="719" spans="1:2" ht="14.25" customHeight="1">
      <c r="A719" s="7">
        <v>51521049</v>
      </c>
      <c r="B719" s="8" t="s">
        <v>761</v>
      </c>
    </row>
    <row r="720" spans="1:2" ht="14.25" customHeight="1">
      <c r="A720" s="7">
        <v>51521050</v>
      </c>
      <c r="B720" s="8" t="s">
        <v>761</v>
      </c>
    </row>
    <row r="721" spans="1:2" ht="14.25" customHeight="1">
      <c r="A721" s="7">
        <v>51521051</v>
      </c>
      <c r="B721" s="8" t="s">
        <v>761</v>
      </c>
    </row>
    <row r="722" spans="1:2" ht="14.25" customHeight="1">
      <c r="A722" s="7">
        <v>51521052</v>
      </c>
      <c r="B722" s="8" t="s">
        <v>761</v>
      </c>
    </row>
    <row r="723" spans="1:2" ht="14.25" customHeight="1">
      <c r="A723" s="7">
        <v>51521053</v>
      </c>
      <c r="B723" s="8" t="s">
        <v>761</v>
      </c>
    </row>
    <row r="724" spans="1:2" ht="14.25" customHeight="1">
      <c r="A724" s="7">
        <v>51521054</v>
      </c>
      <c r="B724" s="8" t="s">
        <v>761</v>
      </c>
    </row>
    <row r="725" spans="1:2" ht="14.25" customHeight="1">
      <c r="A725" s="7">
        <v>51521055</v>
      </c>
      <c r="B725" s="8" t="s">
        <v>761</v>
      </c>
    </row>
    <row r="726" spans="1:2" ht="14.25" customHeight="1">
      <c r="A726" s="7">
        <v>51521056</v>
      </c>
      <c r="B726" s="8" t="s">
        <v>761</v>
      </c>
    </row>
    <row r="727" spans="1:2" ht="14.25" customHeight="1">
      <c r="A727" s="7">
        <v>51521057</v>
      </c>
      <c r="B727" s="8" t="s">
        <v>761</v>
      </c>
    </row>
    <row r="728" spans="1:2" ht="14.25" customHeight="1">
      <c r="A728" s="7">
        <v>51521058</v>
      </c>
      <c r="B728" s="8" t="s">
        <v>761</v>
      </c>
    </row>
    <row r="729" spans="1:2" ht="14.25" customHeight="1">
      <c r="A729" s="7">
        <v>51521059</v>
      </c>
      <c r="B729" s="8" t="s">
        <v>761</v>
      </c>
    </row>
    <row r="730" spans="1:2" ht="14.25" customHeight="1">
      <c r="A730" s="7">
        <v>51521060</v>
      </c>
      <c r="B730" s="8" t="s">
        <v>761</v>
      </c>
    </row>
    <row r="731" spans="1:2" ht="14.25" customHeight="1">
      <c r="A731" s="7">
        <v>51521061</v>
      </c>
      <c r="B731" s="8" t="s">
        <v>761</v>
      </c>
    </row>
    <row r="732" spans="1:2" ht="14.25" customHeight="1">
      <c r="A732" s="7">
        <v>51521062</v>
      </c>
      <c r="B732" s="8" t="s">
        <v>761</v>
      </c>
    </row>
    <row r="733" spans="1:2" ht="14.25" customHeight="1">
      <c r="A733" s="7">
        <v>51521063</v>
      </c>
      <c r="B733" s="8" t="s">
        <v>761</v>
      </c>
    </row>
    <row r="734" spans="1:2" ht="14.25" customHeight="1">
      <c r="A734" s="7">
        <v>51521064</v>
      </c>
      <c r="B734" s="8" t="s">
        <v>761</v>
      </c>
    </row>
    <row r="735" spans="1:2" ht="14.25" customHeight="1">
      <c r="A735" s="7">
        <v>51521065</v>
      </c>
      <c r="B735" s="8" t="s">
        <v>761</v>
      </c>
    </row>
    <row r="736" spans="1:2" ht="14.25" customHeight="1">
      <c r="A736" s="7">
        <v>51521066</v>
      </c>
      <c r="B736" s="8" t="s">
        <v>761</v>
      </c>
    </row>
    <row r="737" spans="1:2" ht="14.25" customHeight="1">
      <c r="A737" s="7">
        <v>51521067</v>
      </c>
      <c r="B737" s="8" t="s">
        <v>761</v>
      </c>
    </row>
    <row r="738" spans="1:2" ht="14.25" customHeight="1">
      <c r="A738" s="7">
        <v>51521068</v>
      </c>
      <c r="B738" s="8" t="s">
        <v>761</v>
      </c>
    </row>
    <row r="739" spans="1:2" ht="14.25" customHeight="1">
      <c r="A739" s="7">
        <v>51521069</v>
      </c>
      <c r="B739" s="8" t="s">
        <v>761</v>
      </c>
    </row>
    <row r="740" spans="1:2" ht="14.25" customHeight="1">
      <c r="A740" s="7">
        <v>51521070</v>
      </c>
      <c r="B740" s="8" t="s">
        <v>761</v>
      </c>
    </row>
    <row r="741" spans="1:2" ht="14.25" customHeight="1">
      <c r="A741" s="7">
        <v>51521071</v>
      </c>
      <c r="B741" s="8" t="s">
        <v>761</v>
      </c>
    </row>
    <row r="742" spans="1:2" ht="14.25" customHeight="1">
      <c r="A742" s="7">
        <v>51521072</v>
      </c>
      <c r="B742" s="8" t="s">
        <v>761</v>
      </c>
    </row>
    <row r="743" spans="1:2" ht="14.25" customHeight="1">
      <c r="A743" s="7">
        <v>23220004</v>
      </c>
      <c r="B743" s="8" t="s">
        <v>762</v>
      </c>
    </row>
    <row r="744" spans="1:2" ht="14.25" customHeight="1">
      <c r="A744" s="7">
        <v>43220001</v>
      </c>
      <c r="B744" s="8" t="s">
        <v>762</v>
      </c>
    </row>
    <row r="745" spans="1:2" ht="14.25" customHeight="1">
      <c r="A745" s="7">
        <v>51521073</v>
      </c>
      <c r="B745" s="8" t="s">
        <v>763</v>
      </c>
    </row>
    <row r="746" spans="1:2" ht="14.25" customHeight="1">
      <c r="A746" s="7">
        <v>51521074</v>
      </c>
      <c r="B746" s="8" t="s">
        <v>763</v>
      </c>
    </row>
    <row r="747" spans="1:2" ht="14.25" customHeight="1">
      <c r="A747" s="7">
        <v>51521075</v>
      </c>
      <c r="B747" s="8" t="s">
        <v>763</v>
      </c>
    </row>
    <row r="748" spans="1:2" ht="14.25" customHeight="1">
      <c r="A748" s="7">
        <v>51521076</v>
      </c>
      <c r="B748" s="8" t="s">
        <v>763</v>
      </c>
    </row>
    <row r="749" spans="1:2" ht="14.25" customHeight="1">
      <c r="A749" s="7">
        <v>51521077</v>
      </c>
      <c r="B749" s="8" t="s">
        <v>763</v>
      </c>
    </row>
    <row r="750" spans="1:2" ht="14.25" customHeight="1">
      <c r="A750" s="7">
        <v>51521078</v>
      </c>
      <c r="B750" s="8" t="s">
        <v>763</v>
      </c>
    </row>
    <row r="751" spans="1:2" ht="14.25" customHeight="1">
      <c r="A751" s="7">
        <v>51519046</v>
      </c>
      <c r="B751" s="8" t="s">
        <v>764</v>
      </c>
    </row>
    <row r="752" spans="1:2" ht="14.25" customHeight="1">
      <c r="A752" s="7">
        <v>51519047</v>
      </c>
      <c r="B752" s="8" t="s">
        <v>764</v>
      </c>
    </row>
    <row r="753" spans="1:2" ht="14.25" customHeight="1">
      <c r="A753" s="7">
        <v>51521003</v>
      </c>
      <c r="B753" s="8" t="s">
        <v>765</v>
      </c>
    </row>
    <row r="754" spans="1:2" ht="14.25" customHeight="1">
      <c r="A754" s="7">
        <v>51521012</v>
      </c>
      <c r="B754" s="8" t="s">
        <v>765</v>
      </c>
    </row>
    <row r="755" spans="1:2" ht="14.25" customHeight="1">
      <c r="A755" s="7">
        <v>51521014</v>
      </c>
      <c r="B755" s="8" t="s">
        <v>765</v>
      </c>
    </row>
    <row r="756" spans="1:2" ht="14.25" customHeight="1">
      <c r="A756" s="7">
        <v>51521015</v>
      </c>
      <c r="B756" s="8" t="s">
        <v>765</v>
      </c>
    </row>
    <row r="757" spans="1:2" ht="14.25" customHeight="1">
      <c r="A757" s="7">
        <v>51521018</v>
      </c>
      <c r="B757" s="8" t="s">
        <v>765</v>
      </c>
    </row>
    <row r="758" spans="1:2" ht="14.25" customHeight="1">
      <c r="A758" s="7">
        <v>51521019</v>
      </c>
      <c r="B758" s="8" t="s">
        <v>765</v>
      </c>
    </row>
    <row r="759" spans="1:2" ht="14.25" customHeight="1">
      <c r="A759" s="7">
        <v>51521020</v>
      </c>
      <c r="B759" s="8" t="s">
        <v>765</v>
      </c>
    </row>
    <row r="760" spans="1:2" ht="14.25" customHeight="1">
      <c r="A760" s="7">
        <v>51521021</v>
      </c>
      <c r="B760" s="8" t="s">
        <v>765</v>
      </c>
    </row>
    <row r="761" spans="1:2" ht="14.25" customHeight="1">
      <c r="A761" s="7">
        <v>51521022</v>
      </c>
      <c r="B761" s="8" t="s">
        <v>765</v>
      </c>
    </row>
    <row r="762" spans="1:2" ht="14.25" customHeight="1">
      <c r="A762" s="7">
        <v>51521023</v>
      </c>
      <c r="B762" s="8" t="s">
        <v>765</v>
      </c>
    </row>
    <row r="763" spans="1:2" ht="14.25" customHeight="1">
      <c r="A763" s="7">
        <v>51521024</v>
      </c>
      <c r="B763" s="8" t="s">
        <v>765</v>
      </c>
    </row>
    <row r="764" spans="1:2" ht="14.25" customHeight="1">
      <c r="A764" s="7">
        <v>51521025</v>
      </c>
      <c r="B764" s="8" t="s">
        <v>765</v>
      </c>
    </row>
    <row r="765" spans="1:2" ht="14.25" customHeight="1">
      <c r="A765" s="7">
        <v>51521026</v>
      </c>
      <c r="B765" s="8" t="s">
        <v>765</v>
      </c>
    </row>
    <row r="766" spans="1:2" ht="14.25" customHeight="1">
      <c r="A766" s="7">
        <v>51521027</v>
      </c>
      <c r="B766" s="8" t="s">
        <v>765</v>
      </c>
    </row>
    <row r="767" spans="1:2" ht="14.25" customHeight="1">
      <c r="A767" s="7">
        <v>51521028</v>
      </c>
      <c r="B767" s="8" t="s">
        <v>765</v>
      </c>
    </row>
    <row r="768" spans="1:2" ht="14.25" customHeight="1">
      <c r="A768" s="7">
        <v>51521029</v>
      </c>
      <c r="B768" s="8" t="s">
        <v>765</v>
      </c>
    </row>
    <row r="769" spans="1:2" ht="14.25" customHeight="1">
      <c r="A769" s="7">
        <v>51521030</v>
      </c>
      <c r="B769" s="8" t="s">
        <v>765</v>
      </c>
    </row>
    <row r="770" spans="1:2" ht="14.25" customHeight="1">
      <c r="A770" s="7">
        <v>51521031</v>
      </c>
      <c r="B770" s="8" t="s">
        <v>765</v>
      </c>
    </row>
    <row r="771" spans="1:2" ht="14.25" customHeight="1">
      <c r="A771" s="7">
        <v>51521032</v>
      </c>
      <c r="B771" s="8" t="s">
        <v>765</v>
      </c>
    </row>
    <row r="772" spans="1:2" ht="14.25" customHeight="1">
      <c r="A772" s="7">
        <v>51521033</v>
      </c>
      <c r="B772" s="8" t="s">
        <v>765</v>
      </c>
    </row>
    <row r="773" spans="1:2" ht="14.25" customHeight="1">
      <c r="A773" s="7">
        <v>51521039</v>
      </c>
      <c r="B773" s="8" t="s">
        <v>765</v>
      </c>
    </row>
    <row r="774" spans="1:2" ht="14.25" customHeight="1">
      <c r="A774" s="7">
        <v>23180034</v>
      </c>
      <c r="B774" s="8" t="s">
        <v>766</v>
      </c>
    </row>
    <row r="775" spans="1:2" ht="14.25" customHeight="1">
      <c r="A775" s="7">
        <v>23180035</v>
      </c>
      <c r="B775" s="8" t="s">
        <v>766</v>
      </c>
    </row>
    <row r="776" spans="1:2" ht="14.25" customHeight="1">
      <c r="A776" s="7">
        <v>23180036</v>
      </c>
      <c r="B776" s="8" t="s">
        <v>766</v>
      </c>
    </row>
    <row r="777" spans="1:2" ht="14.25" customHeight="1">
      <c r="A777" s="7">
        <v>23180037</v>
      </c>
      <c r="B777" s="8" t="s">
        <v>766</v>
      </c>
    </row>
    <row r="778" spans="1:2" ht="14.25" customHeight="1">
      <c r="A778" s="7">
        <v>23180038</v>
      </c>
      <c r="B778" s="8" t="s">
        <v>766</v>
      </c>
    </row>
    <row r="779" spans="1:2" ht="14.25" customHeight="1">
      <c r="A779" s="7">
        <v>23180039</v>
      </c>
      <c r="B779" s="8" t="s">
        <v>766</v>
      </c>
    </row>
    <row r="780" spans="1:2" ht="14.25" customHeight="1">
      <c r="A780" s="7">
        <v>23180040</v>
      </c>
      <c r="B780" s="8" t="s">
        <v>766</v>
      </c>
    </row>
    <row r="781" spans="1:2" ht="14.25" customHeight="1">
      <c r="A781" s="7">
        <v>23180041</v>
      </c>
      <c r="B781" s="8" t="s">
        <v>766</v>
      </c>
    </row>
    <row r="782" spans="1:2" ht="14.25" customHeight="1">
      <c r="A782" s="7">
        <v>23180042</v>
      </c>
      <c r="B782" s="8" t="s">
        <v>766</v>
      </c>
    </row>
    <row r="783" spans="1:2" ht="14.25" customHeight="1">
      <c r="A783" s="7">
        <v>23180043</v>
      </c>
      <c r="B783" s="8" t="s">
        <v>766</v>
      </c>
    </row>
    <row r="784" spans="1:2" ht="14.25" customHeight="1">
      <c r="A784" s="7">
        <v>23180044</v>
      </c>
      <c r="B784" s="8" t="s">
        <v>766</v>
      </c>
    </row>
    <row r="785" spans="1:2" ht="14.25" customHeight="1">
      <c r="A785" s="7">
        <v>23180045</v>
      </c>
      <c r="B785" s="8" t="s">
        <v>766</v>
      </c>
    </row>
    <row r="786" spans="1:2" ht="14.25" customHeight="1">
      <c r="A786" s="7">
        <v>23180046</v>
      </c>
      <c r="B786" s="8" t="s">
        <v>766</v>
      </c>
    </row>
    <row r="787" spans="1:2" ht="14.25" customHeight="1">
      <c r="A787" s="7">
        <v>23180047</v>
      </c>
      <c r="B787" s="8" t="s">
        <v>766</v>
      </c>
    </row>
    <row r="788" spans="1:2" ht="14.25" customHeight="1">
      <c r="A788" s="7">
        <v>23180048</v>
      </c>
      <c r="B788" s="8" t="s">
        <v>766</v>
      </c>
    </row>
    <row r="789" spans="1:2" ht="14.25" customHeight="1">
      <c r="A789" s="7">
        <v>23180049</v>
      </c>
      <c r="B789" s="8" t="s">
        <v>766</v>
      </c>
    </row>
    <row r="790" spans="1:2" ht="14.25" customHeight="1">
      <c r="A790" s="7">
        <v>23180050</v>
      </c>
      <c r="B790" s="8" t="s">
        <v>766</v>
      </c>
    </row>
    <row r="791" spans="1:2" ht="14.25" customHeight="1">
      <c r="A791" s="7">
        <v>23180051</v>
      </c>
      <c r="B791" s="8" t="s">
        <v>766</v>
      </c>
    </row>
    <row r="792" spans="1:2" ht="14.25" customHeight="1">
      <c r="A792" s="7">
        <v>23180052</v>
      </c>
      <c r="B792" s="8" t="s">
        <v>766</v>
      </c>
    </row>
    <row r="793" spans="1:2" ht="14.25" customHeight="1">
      <c r="A793" s="7">
        <v>23180053</v>
      </c>
      <c r="B793" s="8" t="s">
        <v>766</v>
      </c>
    </row>
    <row r="794" spans="1:2" ht="14.25" customHeight="1">
      <c r="A794" s="7">
        <v>23180054</v>
      </c>
      <c r="B794" s="8" t="s">
        <v>766</v>
      </c>
    </row>
    <row r="795" spans="1:2" ht="14.25" customHeight="1">
      <c r="A795" s="7">
        <v>23180055</v>
      </c>
      <c r="B795" s="8" t="s">
        <v>766</v>
      </c>
    </row>
    <row r="796" spans="1:2" ht="14.25" customHeight="1">
      <c r="A796" s="7">
        <v>23180056</v>
      </c>
      <c r="B796" s="8" t="s">
        <v>766</v>
      </c>
    </row>
    <row r="797" spans="1:2" ht="14.25" customHeight="1">
      <c r="A797" s="7">
        <v>23180057</v>
      </c>
      <c r="B797" s="8" t="s">
        <v>766</v>
      </c>
    </row>
    <row r="798" spans="1:2" ht="14.25" customHeight="1">
      <c r="A798" s="7">
        <v>23180058</v>
      </c>
      <c r="B798" s="8" t="s">
        <v>766</v>
      </c>
    </row>
    <row r="799" spans="1:2" ht="14.25" customHeight="1">
      <c r="A799" s="7">
        <v>23180059</v>
      </c>
      <c r="B799" s="8" t="s">
        <v>766</v>
      </c>
    </row>
    <row r="800" spans="1:2" ht="14.25" customHeight="1">
      <c r="A800" s="7">
        <v>23180060</v>
      </c>
      <c r="B800" s="8" t="s">
        <v>766</v>
      </c>
    </row>
    <row r="801" spans="1:2" ht="14.25" customHeight="1">
      <c r="A801" s="7">
        <v>51519028</v>
      </c>
      <c r="B801" s="8" t="s">
        <v>767</v>
      </c>
    </row>
    <row r="802" spans="1:2" ht="14.25" customHeight="1">
      <c r="A802" s="7">
        <v>51519030</v>
      </c>
      <c r="B802" s="8" t="s">
        <v>767</v>
      </c>
    </row>
    <row r="803" spans="1:2" ht="14.25" customHeight="1">
      <c r="A803" s="7">
        <v>51519031</v>
      </c>
      <c r="B803" s="8" t="s">
        <v>767</v>
      </c>
    </row>
    <row r="804" spans="1:2" ht="14.25" customHeight="1">
      <c r="A804" s="7">
        <v>51519033</v>
      </c>
      <c r="B804" s="8" t="s">
        <v>767</v>
      </c>
    </row>
    <row r="805" spans="1:2" ht="14.25" customHeight="1">
      <c r="A805" s="7">
        <v>51519034</v>
      </c>
      <c r="B805" s="8" t="s">
        <v>767</v>
      </c>
    </row>
    <row r="806" spans="1:2" ht="14.25" customHeight="1">
      <c r="A806" s="7">
        <v>51519037</v>
      </c>
      <c r="B806" s="8" t="s">
        <v>767</v>
      </c>
    </row>
    <row r="807" spans="1:2" ht="14.25" customHeight="1">
      <c r="A807" s="7">
        <v>51521082</v>
      </c>
      <c r="B807" s="8" t="s">
        <v>767</v>
      </c>
    </row>
    <row r="808" spans="1:2" ht="14.25" customHeight="1">
      <c r="A808" s="7">
        <v>51521083</v>
      </c>
      <c r="B808" s="8" t="s">
        <v>767</v>
      </c>
    </row>
    <row r="809" spans="1:2" ht="14.25" customHeight="1">
      <c r="A809" s="7">
        <v>51521084</v>
      </c>
      <c r="B809" s="8" t="s">
        <v>767</v>
      </c>
    </row>
    <row r="810" spans="1:2" ht="14.25" customHeight="1">
      <c r="A810" s="7">
        <v>51521085</v>
      </c>
      <c r="B810" s="8" t="s">
        <v>767</v>
      </c>
    </row>
    <row r="811" spans="1:2" ht="14.25" customHeight="1">
      <c r="A811" s="7">
        <v>51521086</v>
      </c>
      <c r="B811" s="8" t="s">
        <v>767</v>
      </c>
    </row>
    <row r="812" spans="1:2" ht="14.25" customHeight="1">
      <c r="A812" s="7">
        <v>51521087</v>
      </c>
      <c r="B812" s="8" t="s">
        <v>767</v>
      </c>
    </row>
    <row r="813" spans="1:2" ht="14.25" customHeight="1">
      <c r="A813" s="7">
        <v>51521088</v>
      </c>
      <c r="B813" s="8" t="s">
        <v>767</v>
      </c>
    </row>
    <row r="814" spans="1:2" ht="14.25" customHeight="1">
      <c r="A814" s="7">
        <v>51521090</v>
      </c>
      <c r="B814" s="8" t="s">
        <v>767</v>
      </c>
    </row>
    <row r="815" spans="1:2" ht="14.25" customHeight="1">
      <c r="A815" s="7">
        <v>51521091</v>
      </c>
      <c r="B815" s="8" t="s">
        <v>767</v>
      </c>
    </row>
    <row r="816" spans="1:2" ht="14.25" customHeight="1">
      <c r="A816" s="7">
        <v>51521092</v>
      </c>
      <c r="B816" s="8" t="s">
        <v>767</v>
      </c>
    </row>
    <row r="817" spans="1:2" ht="14.25" customHeight="1">
      <c r="A817" s="7">
        <v>51521093</v>
      </c>
      <c r="B817" s="8" t="s">
        <v>767</v>
      </c>
    </row>
    <row r="818" spans="1:2" ht="14.25" customHeight="1">
      <c r="A818" s="7">
        <v>51521094</v>
      </c>
      <c r="B818" s="8" t="s">
        <v>767</v>
      </c>
    </row>
    <row r="819" spans="1:2" ht="14.25" customHeight="1">
      <c r="A819" s="7">
        <v>51521095</v>
      </c>
      <c r="B819" s="8" t="s">
        <v>767</v>
      </c>
    </row>
    <row r="820" spans="1:2" ht="14.25" customHeight="1">
      <c r="A820" s="7">
        <v>51521096</v>
      </c>
      <c r="B820" s="8" t="s">
        <v>767</v>
      </c>
    </row>
    <row r="821" spans="1:2" ht="14.25" customHeight="1">
      <c r="A821" s="7">
        <v>51521097</v>
      </c>
      <c r="B821" s="8" t="s">
        <v>767</v>
      </c>
    </row>
    <row r="822" spans="1:2" ht="14.25" customHeight="1">
      <c r="A822" s="7">
        <v>51521098</v>
      </c>
      <c r="B822" s="8" t="s">
        <v>767</v>
      </c>
    </row>
    <row r="823" spans="1:2" ht="14.25" customHeight="1">
      <c r="A823" s="7">
        <v>51521099</v>
      </c>
      <c r="B823" s="8" t="s">
        <v>767</v>
      </c>
    </row>
    <row r="824" spans="1:2" ht="14.25" customHeight="1">
      <c r="A824" s="7">
        <v>51521100</v>
      </c>
      <c r="B824" s="8" t="s">
        <v>767</v>
      </c>
    </row>
    <row r="825" spans="1:2" ht="14.25" customHeight="1">
      <c r="A825" s="7">
        <v>51521101</v>
      </c>
      <c r="B825" s="8" t="s">
        <v>767</v>
      </c>
    </row>
    <row r="826" spans="1:2" ht="14.25" customHeight="1">
      <c r="A826" s="7">
        <v>51521102</v>
      </c>
      <c r="B826" s="8" t="s">
        <v>767</v>
      </c>
    </row>
    <row r="827" spans="1:2" ht="14.25" customHeight="1">
      <c r="A827" s="7">
        <v>51521103</v>
      </c>
      <c r="B827" s="8" t="s">
        <v>767</v>
      </c>
    </row>
    <row r="828" spans="1:2" ht="14.25" customHeight="1">
      <c r="A828" s="7">
        <v>51521104</v>
      </c>
      <c r="B828" s="8" t="s">
        <v>767</v>
      </c>
    </row>
    <row r="829" spans="1:2" ht="14.25" customHeight="1">
      <c r="A829" s="7">
        <v>51521105</v>
      </c>
      <c r="B829" s="8" t="s">
        <v>767</v>
      </c>
    </row>
    <row r="830" spans="1:2" ht="14.25" customHeight="1">
      <c r="A830" s="7">
        <v>51521106</v>
      </c>
      <c r="B830" s="8" t="s">
        <v>767</v>
      </c>
    </row>
    <row r="831" spans="1:2" ht="14.25" customHeight="1">
      <c r="A831" s="7">
        <v>51521107</v>
      </c>
      <c r="B831" s="8" t="s">
        <v>767</v>
      </c>
    </row>
    <row r="832" spans="1:2" ht="14.25" customHeight="1">
      <c r="A832" s="7">
        <v>51521108</v>
      </c>
      <c r="B832" s="8" t="s">
        <v>767</v>
      </c>
    </row>
    <row r="833" spans="1:2" ht="14.25" customHeight="1">
      <c r="A833" s="7">
        <v>51521109</v>
      </c>
      <c r="B833" s="8" t="s">
        <v>767</v>
      </c>
    </row>
    <row r="834" spans="1:2" ht="14.25" customHeight="1">
      <c r="A834" s="7">
        <v>81521411</v>
      </c>
      <c r="B834" s="8" t="s">
        <v>768</v>
      </c>
    </row>
    <row r="835" spans="1:2" ht="14.25" customHeight="1">
      <c r="A835" s="7">
        <v>8173486</v>
      </c>
      <c r="B835" s="8" t="s">
        <v>769</v>
      </c>
    </row>
    <row r="836" spans="1:2" ht="14.25" customHeight="1">
      <c r="A836" s="7">
        <v>81521102</v>
      </c>
      <c r="B836" s="8" t="s">
        <v>770</v>
      </c>
    </row>
    <row r="837" spans="1:2" ht="14.25" customHeight="1">
      <c r="A837" s="7">
        <v>81524045</v>
      </c>
      <c r="B837" s="8" t="s">
        <v>771</v>
      </c>
    </row>
    <row r="838" spans="1:2" ht="14.25" customHeight="1">
      <c r="A838" s="7">
        <v>71521001</v>
      </c>
      <c r="B838" s="8" t="s">
        <v>772</v>
      </c>
    </row>
    <row r="839" spans="1:2" ht="14.25" customHeight="1">
      <c r="A839" s="7">
        <v>71521002</v>
      </c>
      <c r="B839" s="8" t="s">
        <v>772</v>
      </c>
    </row>
    <row r="840" spans="1:2" ht="14.25" customHeight="1">
      <c r="A840" s="7">
        <v>71521009</v>
      </c>
      <c r="B840" s="8" t="s">
        <v>773</v>
      </c>
    </row>
    <row r="841" spans="1:2" ht="14.25" customHeight="1">
      <c r="A841" s="7">
        <v>81521460</v>
      </c>
      <c r="B841" s="8" t="s">
        <v>774</v>
      </c>
    </row>
    <row r="842" spans="1:2" ht="14.25" customHeight="1">
      <c r="A842" s="7">
        <v>81521379</v>
      </c>
      <c r="B842" s="8" t="s">
        <v>775</v>
      </c>
    </row>
    <row r="843" spans="1:2" ht="14.25" customHeight="1">
      <c r="A843" s="7">
        <v>81521441</v>
      </c>
      <c r="B843" s="8" t="s">
        <v>775</v>
      </c>
    </row>
    <row r="844" spans="1:2" ht="14.25" customHeight="1">
      <c r="A844" s="7">
        <v>15510014</v>
      </c>
      <c r="B844" s="8" t="s">
        <v>776</v>
      </c>
    </row>
    <row r="845" spans="1:2" ht="14.25" customHeight="1">
      <c r="A845" s="7">
        <v>81521170</v>
      </c>
      <c r="B845" s="8" t="s">
        <v>777</v>
      </c>
    </row>
    <row r="846" spans="1:2" ht="14.25" customHeight="1">
      <c r="A846" s="7">
        <v>8173228</v>
      </c>
      <c r="B846" s="8" t="s">
        <v>778</v>
      </c>
    </row>
    <row r="847" spans="1:2" ht="14.25" customHeight="1">
      <c r="A847" s="7">
        <v>8173230</v>
      </c>
      <c r="B847" s="8" t="s">
        <v>778</v>
      </c>
    </row>
    <row r="848" spans="1:2" ht="14.25" customHeight="1">
      <c r="A848" s="7">
        <v>15110005</v>
      </c>
      <c r="B848" s="8" t="s">
        <v>779</v>
      </c>
    </row>
    <row r="849" spans="1:2" ht="14.25" customHeight="1">
      <c r="A849" s="7">
        <v>15110006</v>
      </c>
      <c r="B849" s="8" t="s">
        <v>779</v>
      </c>
    </row>
    <row r="850" spans="1:2" ht="14.25" customHeight="1">
      <c r="A850" s="7">
        <v>15110008</v>
      </c>
      <c r="B850" s="8" t="s">
        <v>779</v>
      </c>
    </row>
    <row r="851" spans="1:2" ht="14.25" customHeight="1">
      <c r="A851" s="7">
        <v>15110010</v>
      </c>
      <c r="B851" s="8" t="s">
        <v>779</v>
      </c>
    </row>
    <row r="852" spans="1:2" ht="14.25" customHeight="1">
      <c r="A852" s="7">
        <v>15110011</v>
      </c>
      <c r="B852" s="8" t="s">
        <v>779</v>
      </c>
    </row>
    <row r="853" spans="1:2" ht="14.25" customHeight="1">
      <c r="A853" s="7">
        <v>15110012</v>
      </c>
      <c r="B853" s="8" t="s">
        <v>779</v>
      </c>
    </row>
    <row r="854" spans="1:2" ht="14.25" customHeight="1">
      <c r="A854" s="7">
        <v>15110019</v>
      </c>
      <c r="B854" s="8" t="s">
        <v>779</v>
      </c>
    </row>
    <row r="855" spans="1:2" ht="14.25" customHeight="1">
      <c r="A855" s="7">
        <v>81521188</v>
      </c>
      <c r="B855" s="8" t="s">
        <v>780</v>
      </c>
    </row>
    <row r="856" spans="1:2" ht="14.25" customHeight="1">
      <c r="A856" s="7">
        <v>81521189</v>
      </c>
      <c r="B856" s="8" t="s">
        <v>780</v>
      </c>
    </row>
    <row r="857" spans="1:2" ht="14.25" customHeight="1">
      <c r="A857" s="7">
        <v>81521308</v>
      </c>
      <c r="B857" s="8" t="s">
        <v>780</v>
      </c>
    </row>
    <row r="858" spans="1:2" ht="14.25" customHeight="1">
      <c r="A858" s="7">
        <v>81521309</v>
      </c>
      <c r="B858" s="8" t="s">
        <v>780</v>
      </c>
    </row>
    <row r="859" spans="1:2" ht="14.25" customHeight="1">
      <c r="A859" s="7">
        <v>81521310</v>
      </c>
      <c r="B859" s="8" t="s">
        <v>780</v>
      </c>
    </row>
    <row r="860" spans="1:2" ht="14.25" customHeight="1">
      <c r="A860" s="7">
        <v>81521398</v>
      </c>
      <c r="B860" s="8" t="s">
        <v>780</v>
      </c>
    </row>
    <row r="861" spans="1:2" ht="14.25" customHeight="1">
      <c r="A861" s="7">
        <v>81521399</v>
      </c>
      <c r="B861" s="8" t="s">
        <v>780</v>
      </c>
    </row>
    <row r="862" spans="1:2" ht="14.25" customHeight="1">
      <c r="A862" s="7">
        <v>81521401</v>
      </c>
      <c r="B862" s="8" t="s">
        <v>780</v>
      </c>
    </row>
    <row r="863" spans="1:2" ht="14.25" customHeight="1">
      <c r="A863" s="7">
        <v>81521402</v>
      </c>
      <c r="B863" s="8" t="s">
        <v>780</v>
      </c>
    </row>
    <row r="864" spans="1:2" ht="14.25" customHeight="1">
      <c r="A864" s="7">
        <v>81521403</v>
      </c>
      <c r="B864" s="8" t="s">
        <v>780</v>
      </c>
    </row>
    <row r="865" spans="1:2" ht="14.25" customHeight="1">
      <c r="A865" s="7">
        <v>81521404</v>
      </c>
      <c r="B865" s="8" t="s">
        <v>780</v>
      </c>
    </row>
    <row r="866" spans="1:2" ht="14.25" customHeight="1">
      <c r="A866" s="7">
        <v>81521405</v>
      </c>
      <c r="B866" s="8" t="s">
        <v>780</v>
      </c>
    </row>
    <row r="867" spans="1:2" ht="14.25" customHeight="1">
      <c r="A867" s="7">
        <v>81521419</v>
      </c>
      <c r="B867" s="8" t="s">
        <v>780</v>
      </c>
    </row>
    <row r="868" spans="1:2" ht="14.25" customHeight="1">
      <c r="A868" s="7">
        <v>8173236</v>
      </c>
      <c r="B868" s="8" t="s">
        <v>781</v>
      </c>
    </row>
    <row r="869" spans="1:2" ht="14.25" customHeight="1">
      <c r="A869" s="7">
        <v>8173638</v>
      </c>
      <c r="B869" s="8" t="s">
        <v>782</v>
      </c>
    </row>
    <row r="870" spans="1:2" ht="14.25" customHeight="1">
      <c r="A870" s="7">
        <v>81521009</v>
      </c>
      <c r="B870" s="8" t="s">
        <v>782</v>
      </c>
    </row>
    <row r="871" spans="1:2" ht="14.25" customHeight="1">
      <c r="A871" s="7">
        <v>81521011</v>
      </c>
      <c r="B871" s="8" t="s">
        <v>782</v>
      </c>
    </row>
    <row r="872" spans="1:2" ht="14.25" customHeight="1">
      <c r="A872" s="7">
        <v>81521013</v>
      </c>
      <c r="B872" s="8" t="s">
        <v>782</v>
      </c>
    </row>
    <row r="873" spans="1:2" ht="14.25" customHeight="1">
      <c r="A873" s="7">
        <v>81521273</v>
      </c>
      <c r="B873" s="8" t="s">
        <v>782</v>
      </c>
    </row>
    <row r="874" spans="1:2" ht="14.25" customHeight="1">
      <c r="A874" s="7">
        <v>81521147</v>
      </c>
      <c r="B874" s="8" t="s">
        <v>783</v>
      </c>
    </row>
    <row r="875" spans="1:2" ht="14.25" customHeight="1">
      <c r="A875" s="7">
        <v>81521149</v>
      </c>
      <c r="B875" s="8" t="s">
        <v>783</v>
      </c>
    </row>
    <row r="876" spans="1:2" ht="14.25" customHeight="1">
      <c r="A876" s="7">
        <v>8173461</v>
      </c>
      <c r="B876" s="8" t="s">
        <v>784</v>
      </c>
    </row>
    <row r="877" spans="1:2" ht="14.25" customHeight="1">
      <c r="A877" s="7">
        <v>8173465</v>
      </c>
      <c r="B877" s="8" t="s">
        <v>784</v>
      </c>
    </row>
    <row r="878" spans="1:2" ht="14.25" customHeight="1">
      <c r="A878" s="7">
        <v>81521058</v>
      </c>
      <c r="B878" s="8" t="s">
        <v>784</v>
      </c>
    </row>
    <row r="879" spans="1:2" ht="14.25" customHeight="1">
      <c r="A879" s="7">
        <v>81521206</v>
      </c>
      <c r="B879" s="8" t="s">
        <v>784</v>
      </c>
    </row>
    <row r="880" spans="1:2" ht="14.25" customHeight="1">
      <c r="A880" s="7">
        <v>81521208</v>
      </c>
      <c r="B880" s="8" t="s">
        <v>784</v>
      </c>
    </row>
    <row r="881" spans="1:2" ht="14.25" customHeight="1">
      <c r="A881" s="7">
        <v>8173569</v>
      </c>
      <c r="B881" s="8" t="s">
        <v>785</v>
      </c>
    </row>
    <row r="882" spans="1:2" ht="14.25" customHeight="1">
      <c r="A882" s="7">
        <v>81521077</v>
      </c>
      <c r="B882" s="8" t="s">
        <v>786</v>
      </c>
    </row>
    <row r="883" spans="1:2" ht="14.25" customHeight="1">
      <c r="A883" s="7">
        <v>61521013</v>
      </c>
      <c r="B883" s="8" t="s">
        <v>787</v>
      </c>
    </row>
    <row r="884" spans="1:2" ht="14.25" customHeight="1">
      <c r="A884" s="7">
        <v>61521015</v>
      </c>
      <c r="B884" s="8" t="s">
        <v>787</v>
      </c>
    </row>
    <row r="885" spans="1:2" ht="14.25" customHeight="1">
      <c r="A885" s="7">
        <v>61521035</v>
      </c>
      <c r="B885" s="8" t="s">
        <v>787</v>
      </c>
    </row>
    <row r="886" spans="1:2" ht="14.25" customHeight="1">
      <c r="A886" s="7">
        <v>23120022</v>
      </c>
      <c r="B886" s="8" t="s">
        <v>788</v>
      </c>
    </row>
    <row r="887" spans="1:2" ht="14.25" customHeight="1">
      <c r="A887" s="7">
        <v>23120023</v>
      </c>
      <c r="B887" s="8" t="s">
        <v>788</v>
      </c>
    </row>
    <row r="888" spans="1:2" ht="14.25" customHeight="1">
      <c r="A888" s="7">
        <v>23120024</v>
      </c>
      <c r="B888" s="8" t="s">
        <v>788</v>
      </c>
    </row>
    <row r="889" spans="1:2" ht="14.25" customHeight="1">
      <c r="A889" s="7">
        <v>23120025</v>
      </c>
      <c r="B889" s="8" t="s">
        <v>788</v>
      </c>
    </row>
    <row r="890" spans="1:2" ht="14.25" customHeight="1">
      <c r="A890" s="7">
        <v>23120002</v>
      </c>
      <c r="B890" s="8" t="s">
        <v>789</v>
      </c>
    </row>
    <row r="891" spans="1:2" ht="14.25" customHeight="1">
      <c r="A891" s="7">
        <v>23120003</v>
      </c>
      <c r="B891" s="8" t="s">
        <v>789</v>
      </c>
    </row>
    <row r="892" spans="1:2" ht="14.25" customHeight="1">
      <c r="A892" s="7">
        <v>23120004</v>
      </c>
      <c r="B892" s="8" t="s">
        <v>789</v>
      </c>
    </row>
    <row r="893" spans="1:2" ht="14.25" customHeight="1">
      <c r="A893" s="7">
        <v>23120005</v>
      </c>
      <c r="B893" s="8" t="s">
        <v>789</v>
      </c>
    </row>
    <row r="894" spans="1:2" ht="14.25" customHeight="1">
      <c r="A894" s="7">
        <v>23120006</v>
      </c>
      <c r="B894" s="8" t="s">
        <v>789</v>
      </c>
    </row>
    <row r="895" spans="1:2" ht="14.25" customHeight="1">
      <c r="A895" s="7">
        <v>23120007</v>
      </c>
      <c r="B895" s="8" t="s">
        <v>789</v>
      </c>
    </row>
    <row r="896" spans="1:2" ht="14.25" customHeight="1">
      <c r="A896" s="7">
        <v>23120008</v>
      </c>
      <c r="B896" s="8" t="s">
        <v>789</v>
      </c>
    </row>
    <row r="897" spans="1:2" ht="14.25" customHeight="1">
      <c r="A897" s="7">
        <v>23120009</v>
      </c>
      <c r="B897" s="8" t="s">
        <v>789</v>
      </c>
    </row>
    <row r="898" spans="1:2" ht="14.25" customHeight="1">
      <c r="A898" s="7">
        <v>23120010</v>
      </c>
      <c r="B898" s="8" t="s">
        <v>789</v>
      </c>
    </row>
    <row r="899" spans="1:2" ht="14.25" customHeight="1">
      <c r="A899" s="7">
        <v>23120011</v>
      </c>
      <c r="B899" s="8" t="s">
        <v>789</v>
      </c>
    </row>
    <row r="900" spans="1:2" ht="14.25" customHeight="1">
      <c r="A900" s="7">
        <v>23120012</v>
      </c>
      <c r="B900" s="8" t="s">
        <v>789</v>
      </c>
    </row>
    <row r="901" spans="1:2" ht="14.25" customHeight="1">
      <c r="A901" s="7">
        <v>23120013</v>
      </c>
      <c r="B901" s="8" t="s">
        <v>789</v>
      </c>
    </row>
    <row r="902" spans="1:2" ht="14.25" customHeight="1">
      <c r="A902" s="7">
        <v>23120014</v>
      </c>
      <c r="B902" s="8" t="s">
        <v>789</v>
      </c>
    </row>
    <row r="903" spans="1:2" ht="14.25" customHeight="1">
      <c r="A903" s="7">
        <v>23120015</v>
      </c>
      <c r="B903" s="8" t="s">
        <v>789</v>
      </c>
    </row>
    <row r="904" spans="1:2" ht="14.25" customHeight="1">
      <c r="A904" s="7">
        <v>23120016</v>
      </c>
      <c r="B904" s="8" t="s">
        <v>789</v>
      </c>
    </row>
    <row r="905" spans="1:2" ht="14.25" customHeight="1">
      <c r="A905" s="7">
        <v>23120017</v>
      </c>
      <c r="B905" s="8" t="s">
        <v>789</v>
      </c>
    </row>
    <row r="906" spans="1:2" ht="14.25" customHeight="1">
      <c r="A906" s="7">
        <v>23120018</v>
      </c>
      <c r="B906" s="8" t="s">
        <v>789</v>
      </c>
    </row>
    <row r="907" spans="1:2" ht="14.25" customHeight="1">
      <c r="A907" s="7">
        <v>23120019</v>
      </c>
      <c r="B907" s="8" t="s">
        <v>789</v>
      </c>
    </row>
    <row r="908" spans="1:2" ht="14.25" customHeight="1">
      <c r="A908" s="7">
        <v>23120020</v>
      </c>
      <c r="B908" s="8" t="s">
        <v>789</v>
      </c>
    </row>
    <row r="909" spans="1:2" ht="14.25" customHeight="1">
      <c r="A909" s="7">
        <v>23120021</v>
      </c>
      <c r="B909" s="8" t="s">
        <v>789</v>
      </c>
    </row>
    <row r="910" spans="1:2" ht="14.25" customHeight="1">
      <c r="A910" s="7">
        <v>61521093</v>
      </c>
      <c r="B910" s="8" t="s">
        <v>789</v>
      </c>
    </row>
    <row r="911" spans="1:2" ht="14.25" customHeight="1">
      <c r="A911" s="7">
        <v>61521094</v>
      </c>
      <c r="B911" s="8" t="s">
        <v>789</v>
      </c>
    </row>
    <row r="912" spans="1:2" ht="14.25" customHeight="1">
      <c r="A912" s="7">
        <v>61521095</v>
      </c>
      <c r="B912" s="8" t="s">
        <v>789</v>
      </c>
    </row>
    <row r="913" spans="1:2" ht="14.25" customHeight="1">
      <c r="A913" s="7">
        <v>61521096</v>
      </c>
      <c r="B913" s="8" t="s">
        <v>789</v>
      </c>
    </row>
    <row r="914" spans="1:2" ht="14.25" customHeight="1">
      <c r="A914" s="7">
        <v>61521097</v>
      </c>
      <c r="B914" s="8" t="s">
        <v>789</v>
      </c>
    </row>
    <row r="915" spans="1:2" ht="14.25" customHeight="1">
      <c r="A915" s="7">
        <v>61521098</v>
      </c>
      <c r="B915" s="8" t="s">
        <v>789</v>
      </c>
    </row>
    <row r="916" spans="1:2" ht="14.25" customHeight="1">
      <c r="A916" s="7">
        <v>61521099</v>
      </c>
      <c r="B916" s="8" t="s">
        <v>789</v>
      </c>
    </row>
    <row r="917" spans="1:2" ht="14.25" customHeight="1">
      <c r="A917" s="7">
        <v>6173075</v>
      </c>
      <c r="B917" s="8" t="s">
        <v>790</v>
      </c>
    </row>
    <row r="918" spans="1:2" ht="14.25" customHeight="1">
      <c r="A918" s="7">
        <v>61521016</v>
      </c>
      <c r="B918" s="8" t="s">
        <v>791</v>
      </c>
    </row>
    <row r="919" spans="1:2" ht="14.25" customHeight="1">
      <c r="A919" s="7">
        <v>1732034</v>
      </c>
      <c r="B919" s="8" t="s">
        <v>792</v>
      </c>
    </row>
    <row r="920" spans="1:2" ht="14.25" customHeight="1">
      <c r="A920" s="7">
        <v>43030001</v>
      </c>
      <c r="B920" s="8" t="s">
        <v>793</v>
      </c>
    </row>
    <row r="921" spans="1:2" ht="14.25" customHeight="1">
      <c r="A921" s="7">
        <v>17320778</v>
      </c>
      <c r="B921" s="8" t="s">
        <v>794</v>
      </c>
    </row>
    <row r="922" spans="1:2" ht="14.25" customHeight="1">
      <c r="A922" s="7">
        <v>17320779</v>
      </c>
      <c r="B922" s="8" t="s">
        <v>795</v>
      </c>
    </row>
    <row r="923" spans="1:2" ht="14.25" customHeight="1">
      <c r="A923" s="7">
        <v>17320776</v>
      </c>
      <c r="B923" s="8" t="s">
        <v>796</v>
      </c>
    </row>
    <row r="924" spans="1:2" ht="14.25" customHeight="1">
      <c r="A924" s="7">
        <v>17320768</v>
      </c>
      <c r="B924" s="8" t="s">
        <v>797</v>
      </c>
    </row>
    <row r="925" spans="1:2" ht="14.25" customHeight="1">
      <c r="A925" s="7">
        <v>17320775</v>
      </c>
      <c r="B925" s="8" t="s">
        <v>798</v>
      </c>
    </row>
    <row r="926" spans="1:2" ht="14.25" customHeight="1">
      <c r="A926" s="7">
        <v>17320773</v>
      </c>
      <c r="B926" s="8" t="s">
        <v>799</v>
      </c>
    </row>
    <row r="927" spans="1:2" ht="14.25" customHeight="1">
      <c r="A927" s="7">
        <v>90189335</v>
      </c>
      <c r="B927" s="8" t="s">
        <v>800</v>
      </c>
    </row>
    <row r="928" spans="1:2" ht="14.25" customHeight="1">
      <c r="A928" s="7">
        <v>90189310</v>
      </c>
      <c r="B928" s="8" t="s">
        <v>801</v>
      </c>
    </row>
    <row r="929" spans="1:2" ht="14.25" customHeight="1">
      <c r="A929" s="7">
        <v>17320780</v>
      </c>
      <c r="B929" s="8" t="s">
        <v>802</v>
      </c>
    </row>
    <row r="930" spans="1:2" ht="14.25" customHeight="1">
      <c r="A930" s="7">
        <v>17320777</v>
      </c>
      <c r="B930" s="8" t="s">
        <v>803</v>
      </c>
    </row>
    <row r="931" spans="1:2" ht="14.25" customHeight="1">
      <c r="A931" s="7">
        <v>17320772</v>
      </c>
      <c r="B931" s="8" t="s">
        <v>804</v>
      </c>
    </row>
    <row r="932" spans="1:2" ht="14.25" customHeight="1">
      <c r="A932" s="7">
        <v>17320756</v>
      </c>
      <c r="B932" s="8" t="s">
        <v>805</v>
      </c>
    </row>
    <row r="933" spans="1:2" ht="14.25" customHeight="1">
      <c r="A933" s="7">
        <v>17320774</v>
      </c>
      <c r="B933" s="8" t="s">
        <v>806</v>
      </c>
    </row>
    <row r="934" spans="1:2" ht="14.25" customHeight="1">
      <c r="A934" s="7">
        <v>17320782</v>
      </c>
      <c r="B934" s="8" t="s">
        <v>807</v>
      </c>
    </row>
    <row r="935" spans="1:2" ht="14.25" customHeight="1">
      <c r="A935" s="7">
        <v>17320754</v>
      </c>
      <c r="B935" s="8" t="s">
        <v>808</v>
      </c>
    </row>
    <row r="936" spans="1:2" ht="14.25" customHeight="1">
      <c r="A936" s="7">
        <v>1732366</v>
      </c>
      <c r="B936" s="8" t="s">
        <v>809</v>
      </c>
    </row>
    <row r="937" spans="1:2" ht="14.25" customHeight="1">
      <c r="A937" s="7">
        <v>1732474</v>
      </c>
      <c r="B937" s="8" t="s">
        <v>809</v>
      </c>
    </row>
    <row r="938" spans="1:2" ht="14.25" customHeight="1">
      <c r="A938" s="7">
        <v>1732425</v>
      </c>
      <c r="B938" s="8" t="s">
        <v>810</v>
      </c>
    </row>
    <row r="939" spans="1:2" ht="14.25" customHeight="1">
      <c r="A939" s="7">
        <v>21524001</v>
      </c>
      <c r="B939" s="8" t="s">
        <v>810</v>
      </c>
    </row>
    <row r="940" spans="1:2" ht="14.25" customHeight="1">
      <c r="A940" s="7">
        <v>45005038</v>
      </c>
      <c r="B940" s="8" t="s">
        <v>811</v>
      </c>
    </row>
    <row r="941" spans="1:2" ht="14.25" customHeight="1">
      <c r="A941" s="7">
        <v>1732363</v>
      </c>
      <c r="B941" s="8" t="s">
        <v>812</v>
      </c>
    </row>
    <row r="942" spans="1:2" ht="14.25" customHeight="1">
      <c r="A942" s="7">
        <v>45014033</v>
      </c>
      <c r="B942" s="8" t="s">
        <v>813</v>
      </c>
    </row>
    <row r="943" spans="1:2" ht="14.25" customHeight="1">
      <c r="A943" s="7">
        <v>81521423</v>
      </c>
      <c r="B943" s="8" t="s">
        <v>616</v>
      </c>
    </row>
    <row r="944" spans="1:2" ht="14.25" customHeight="1">
      <c r="A944" s="7">
        <v>81521450</v>
      </c>
      <c r="B944" s="8" t="s">
        <v>616</v>
      </c>
    </row>
    <row r="945" spans="1:2" ht="14.25" customHeight="1">
      <c r="A945" s="7">
        <v>81521492</v>
      </c>
      <c r="B945" s="8" t="s">
        <v>616</v>
      </c>
    </row>
    <row r="946" spans="1:2" ht="14.25" customHeight="1">
      <c r="A946" s="7">
        <v>81521439</v>
      </c>
      <c r="B946" s="8" t="s">
        <v>814</v>
      </c>
    </row>
    <row r="947" spans="1:2" ht="14.25" customHeight="1">
      <c r="A947" s="7">
        <v>1731111</v>
      </c>
      <c r="B947" s="8" t="s">
        <v>815</v>
      </c>
    </row>
    <row r="948" spans="1:2" ht="14.25" customHeight="1">
      <c r="A948" s="7">
        <v>8173248</v>
      </c>
      <c r="B948" s="8" t="s">
        <v>816</v>
      </c>
    </row>
    <row r="949" spans="1:2" ht="14.25" customHeight="1">
      <c r="A949" s="7">
        <v>8173249</v>
      </c>
      <c r="B949" s="8" t="s">
        <v>816</v>
      </c>
    </row>
    <row r="950" spans="1:2" ht="14.25" customHeight="1">
      <c r="A950" s="7">
        <v>900259</v>
      </c>
      <c r="B950" s="8" t="s">
        <v>817</v>
      </c>
    </row>
    <row r="951" spans="1:2" ht="14.25" customHeight="1">
      <c r="A951" s="7">
        <v>8181064</v>
      </c>
      <c r="B951" s="8" t="s">
        <v>818</v>
      </c>
    </row>
    <row r="952" spans="1:2" ht="14.25" customHeight="1">
      <c r="A952" s="7">
        <v>8181057</v>
      </c>
      <c r="B952" s="8" t="s">
        <v>819</v>
      </c>
    </row>
    <row r="953" spans="1:2" ht="14.25" customHeight="1">
      <c r="A953" s="7">
        <v>8173068</v>
      </c>
      <c r="B953" s="8" t="s">
        <v>820</v>
      </c>
    </row>
    <row r="954" spans="1:2" ht="14.25" customHeight="1">
      <c r="A954" s="7">
        <v>8157072</v>
      </c>
      <c r="B954" s="8" t="s">
        <v>821</v>
      </c>
    </row>
    <row r="955" spans="1:2" ht="14.25" customHeight="1">
      <c r="A955" s="7">
        <v>45140001</v>
      </c>
      <c r="B955" s="8" t="s">
        <v>822</v>
      </c>
    </row>
    <row r="956" spans="1:2" ht="14.25" customHeight="1">
      <c r="A956" s="7">
        <v>8173077</v>
      </c>
      <c r="B956" s="8" t="s">
        <v>823</v>
      </c>
    </row>
    <row r="957" spans="1:2" ht="14.25" customHeight="1">
      <c r="A957" s="7">
        <v>7157113</v>
      </c>
      <c r="B957" s="8" t="s">
        <v>824</v>
      </c>
    </row>
    <row r="958" spans="1:2" ht="14.25" customHeight="1">
      <c r="A958" s="7">
        <v>8173073</v>
      </c>
      <c r="B958" s="8" t="s">
        <v>825</v>
      </c>
    </row>
    <row r="959" spans="1:2" ht="14.25" customHeight="1">
      <c r="A959" s="7">
        <v>8173074</v>
      </c>
      <c r="B959" s="8" t="s">
        <v>825</v>
      </c>
    </row>
    <row r="960" spans="1:2" ht="14.25" customHeight="1">
      <c r="A960" s="7">
        <v>8173076</v>
      </c>
      <c r="B960" s="8" t="s">
        <v>825</v>
      </c>
    </row>
    <row r="961" spans="1:2" ht="14.25" customHeight="1">
      <c r="A961" s="7">
        <v>8173078</v>
      </c>
      <c r="B961" s="8" t="s">
        <v>825</v>
      </c>
    </row>
    <row r="962" spans="1:2" ht="14.25" customHeight="1">
      <c r="A962" s="7">
        <v>8173079</v>
      </c>
      <c r="B962" s="8" t="s">
        <v>825</v>
      </c>
    </row>
    <row r="963" spans="1:2" ht="14.25" customHeight="1">
      <c r="A963" s="7">
        <v>8173080</v>
      </c>
      <c r="B963" s="8" t="s">
        <v>825</v>
      </c>
    </row>
    <row r="964" spans="1:2" ht="14.25" customHeight="1">
      <c r="A964" s="7">
        <v>8173081</v>
      </c>
      <c r="B964" s="8" t="s">
        <v>825</v>
      </c>
    </row>
    <row r="965" spans="1:2" ht="14.25" customHeight="1">
      <c r="A965" s="7">
        <v>903622</v>
      </c>
      <c r="B965" s="8" t="s">
        <v>826</v>
      </c>
    </row>
    <row r="966" spans="1:2" ht="14.25" customHeight="1">
      <c r="A966" s="7">
        <v>903623</v>
      </c>
      <c r="B966" s="8" t="s">
        <v>827</v>
      </c>
    </row>
    <row r="967" spans="1:2" ht="14.25" customHeight="1">
      <c r="A967" s="7">
        <v>43230001</v>
      </c>
      <c r="B967" s="8" t="s">
        <v>828</v>
      </c>
    </row>
    <row r="968" spans="1:2" ht="14.25" customHeight="1">
      <c r="A968" s="7">
        <v>81521230</v>
      </c>
      <c r="B968" s="8" t="s">
        <v>829</v>
      </c>
    </row>
    <row r="969" spans="1:2" ht="14.25" customHeight="1">
      <c r="A969" s="7">
        <v>81521228</v>
      </c>
      <c r="B969" s="8" t="s">
        <v>830</v>
      </c>
    </row>
    <row r="970" spans="1:2" ht="14.25" customHeight="1">
      <c r="A970" s="7">
        <v>81521229</v>
      </c>
      <c r="B970" s="8" t="s">
        <v>830</v>
      </c>
    </row>
    <row r="971" spans="1:2" ht="14.25" customHeight="1">
      <c r="A971" s="7">
        <v>15460001</v>
      </c>
      <c r="B971" s="8" t="s">
        <v>831</v>
      </c>
    </row>
    <row r="972" spans="1:2" ht="14.25" customHeight="1">
      <c r="A972" s="7">
        <v>15460002</v>
      </c>
      <c r="B972" s="8" t="s">
        <v>831</v>
      </c>
    </row>
    <row r="973" spans="1:2" ht="14.25" customHeight="1">
      <c r="A973" s="7">
        <v>15460003</v>
      </c>
      <c r="B973" s="8" t="s">
        <v>831</v>
      </c>
    </row>
    <row r="974" spans="1:2" ht="14.25" customHeight="1">
      <c r="A974" s="7">
        <v>15550001</v>
      </c>
      <c r="B974" s="8" t="s">
        <v>832</v>
      </c>
    </row>
    <row r="975" spans="1:2" ht="14.25" customHeight="1">
      <c r="A975" s="7">
        <v>15550002</v>
      </c>
      <c r="B975" s="8" t="s">
        <v>832</v>
      </c>
    </row>
    <row r="976" spans="1:2" ht="14.25" customHeight="1">
      <c r="A976" s="7">
        <v>15550003</v>
      </c>
      <c r="B976" s="8" t="s">
        <v>832</v>
      </c>
    </row>
    <row r="977" spans="1:2" ht="14.25" customHeight="1">
      <c r="A977" s="7">
        <v>15730001</v>
      </c>
      <c r="B977" s="8" t="s">
        <v>833</v>
      </c>
    </row>
    <row r="978" spans="1:2" ht="14.25" customHeight="1">
      <c r="A978" s="7">
        <v>81521326</v>
      </c>
      <c r="B978" s="8" t="s">
        <v>834</v>
      </c>
    </row>
    <row r="979" spans="1:2" ht="14.25" customHeight="1">
      <c r="A979" s="7">
        <v>61524027</v>
      </c>
      <c r="B979" s="8" t="s">
        <v>835</v>
      </c>
    </row>
    <row r="980" spans="1:2" ht="14.25" customHeight="1">
      <c r="A980" s="7">
        <v>1732487</v>
      </c>
      <c r="B980" s="8" t="s">
        <v>836</v>
      </c>
    </row>
    <row r="981" spans="1:2" ht="14.25" customHeight="1">
      <c r="A981" s="7">
        <v>81521330</v>
      </c>
      <c r="B981" s="8" t="s">
        <v>837</v>
      </c>
    </row>
    <row r="982" spans="1:2" ht="14.25" customHeight="1">
      <c r="A982" s="7">
        <v>7157253</v>
      </c>
      <c r="B982" s="8" t="s">
        <v>838</v>
      </c>
    </row>
    <row r="983" spans="1:2" ht="14.25" customHeight="1">
      <c r="A983" s="7">
        <v>903318</v>
      </c>
      <c r="B983" s="8" t="s">
        <v>839</v>
      </c>
    </row>
    <row r="984" spans="1:2" ht="14.25" customHeight="1">
      <c r="A984" s="7">
        <v>903319</v>
      </c>
      <c r="B984" s="8" t="s">
        <v>839</v>
      </c>
    </row>
    <row r="985" spans="1:2" ht="14.25" customHeight="1">
      <c r="A985" s="7">
        <v>903320</v>
      </c>
      <c r="B985" s="8" t="s">
        <v>839</v>
      </c>
    </row>
    <row r="986" spans="1:2" ht="14.25" customHeight="1">
      <c r="A986" s="7">
        <v>903321</v>
      </c>
      <c r="B986" s="8" t="s">
        <v>839</v>
      </c>
    </row>
    <row r="987" spans="1:2" ht="14.25" customHeight="1">
      <c r="A987" s="7">
        <v>903322</v>
      </c>
      <c r="B987" s="8" t="s">
        <v>839</v>
      </c>
    </row>
    <row r="988" spans="1:2" ht="14.25" customHeight="1">
      <c r="A988" s="7">
        <v>903323</v>
      </c>
      <c r="B988" s="8" t="s">
        <v>839</v>
      </c>
    </row>
    <row r="989" spans="1:2" ht="14.25" customHeight="1">
      <c r="A989" s="7">
        <v>903324</v>
      </c>
      <c r="B989" s="8" t="s">
        <v>839</v>
      </c>
    </row>
    <row r="990" spans="1:2" ht="14.25" customHeight="1">
      <c r="A990" s="7">
        <v>903325</v>
      </c>
      <c r="B990" s="8" t="s">
        <v>839</v>
      </c>
    </row>
    <row r="991" spans="1:2" ht="14.25" customHeight="1">
      <c r="A991" s="7">
        <v>903326</v>
      </c>
      <c r="B991" s="8" t="s">
        <v>839</v>
      </c>
    </row>
    <row r="992" spans="1:2" ht="14.25" customHeight="1">
      <c r="A992" s="7">
        <v>903327</v>
      </c>
      <c r="B992" s="8" t="s">
        <v>839</v>
      </c>
    </row>
    <row r="993" spans="1:2" ht="14.25" customHeight="1">
      <c r="A993" s="7">
        <v>903328</v>
      </c>
      <c r="B993" s="8" t="s">
        <v>839</v>
      </c>
    </row>
    <row r="994" spans="1:2" ht="14.25" customHeight="1">
      <c r="A994" s="7">
        <v>903329</v>
      </c>
      <c r="B994" s="8" t="s">
        <v>839</v>
      </c>
    </row>
    <row r="995" spans="1:2" ht="14.25" customHeight="1">
      <c r="A995" s="7">
        <v>903330</v>
      </c>
      <c r="B995" s="8" t="s">
        <v>839</v>
      </c>
    </row>
    <row r="996" spans="1:2" ht="14.25" customHeight="1">
      <c r="A996" s="7">
        <v>903331</v>
      </c>
      <c r="B996" s="8" t="s">
        <v>839</v>
      </c>
    </row>
    <row r="997" spans="1:2" ht="14.25" customHeight="1">
      <c r="A997" s="7">
        <v>903332</v>
      </c>
      <c r="B997" s="8" t="s">
        <v>839</v>
      </c>
    </row>
    <row r="998" spans="1:2" ht="14.25" customHeight="1">
      <c r="A998" s="7">
        <v>81521253</v>
      </c>
      <c r="B998" s="8" t="s">
        <v>839</v>
      </c>
    </row>
    <row r="999" spans="1:2" ht="14.25" customHeight="1">
      <c r="A999" s="7">
        <v>81521254</v>
      </c>
      <c r="B999" s="8" t="s">
        <v>839</v>
      </c>
    </row>
    <row r="1000" spans="1:2" ht="14.25" customHeight="1">
      <c r="A1000" s="7">
        <v>81521255</v>
      </c>
      <c r="B1000" s="8" t="s">
        <v>839</v>
      </c>
    </row>
    <row r="1001" spans="1:2" ht="14.25" customHeight="1">
      <c r="A1001" s="7">
        <v>81521256</v>
      </c>
      <c r="B1001" s="8" t="s">
        <v>839</v>
      </c>
    </row>
    <row r="1002" spans="1:2" ht="14.25" customHeight="1">
      <c r="A1002" s="7">
        <v>81521264</v>
      </c>
      <c r="B1002" s="8" t="s">
        <v>839</v>
      </c>
    </row>
    <row r="1003" spans="1:2" ht="14.25" customHeight="1">
      <c r="A1003" s="7">
        <v>81521137</v>
      </c>
      <c r="B1003" s="8" t="s">
        <v>840</v>
      </c>
    </row>
    <row r="1004" spans="1:2" ht="14.25" customHeight="1">
      <c r="A1004" s="7">
        <v>81521160</v>
      </c>
      <c r="B1004" s="8" t="s">
        <v>840</v>
      </c>
    </row>
    <row r="1005" spans="1:2" ht="14.25" customHeight="1">
      <c r="A1005" s="7">
        <v>81521141</v>
      </c>
      <c r="B1005" s="8" t="s">
        <v>841</v>
      </c>
    </row>
    <row r="1006" spans="1:2" ht="14.25" customHeight="1">
      <c r="A1006" s="7">
        <v>8173628</v>
      </c>
      <c r="B1006" s="8" t="s">
        <v>842</v>
      </c>
    </row>
    <row r="1007" spans="1:2" ht="14.25" customHeight="1">
      <c r="A1007" s="7">
        <v>81521079</v>
      </c>
      <c r="B1007" s="8" t="s">
        <v>842</v>
      </c>
    </row>
    <row r="1008" spans="1:2" ht="14.25" customHeight="1">
      <c r="A1008" s="7">
        <v>903078</v>
      </c>
      <c r="B1008" s="8" t="s">
        <v>843</v>
      </c>
    </row>
    <row r="1009" spans="1:2" ht="14.25" customHeight="1">
      <c r="A1009" s="7">
        <v>903079</v>
      </c>
      <c r="B1009" s="8" t="s">
        <v>843</v>
      </c>
    </row>
    <row r="1010" spans="1:2" ht="14.25" customHeight="1">
      <c r="A1010" s="7">
        <v>903082</v>
      </c>
      <c r="B1010" s="8" t="s">
        <v>843</v>
      </c>
    </row>
    <row r="1011" spans="1:2" ht="14.25" customHeight="1">
      <c r="A1011" s="7">
        <v>903273</v>
      </c>
      <c r="B1011" s="8" t="s">
        <v>843</v>
      </c>
    </row>
    <row r="1012" spans="1:2" ht="14.25" customHeight="1">
      <c r="A1012" s="7">
        <v>81521246</v>
      </c>
      <c r="B1012" s="8" t="s">
        <v>843</v>
      </c>
    </row>
    <row r="1013" spans="1:2" ht="14.25" customHeight="1">
      <c r="A1013" s="7">
        <v>81521247</v>
      </c>
      <c r="B1013" s="8" t="s">
        <v>843</v>
      </c>
    </row>
    <row r="1014" spans="1:2" ht="14.25" customHeight="1">
      <c r="A1014" s="7">
        <v>81521248</v>
      </c>
      <c r="B1014" s="8" t="s">
        <v>843</v>
      </c>
    </row>
    <row r="1015" spans="1:2" ht="14.25" customHeight="1">
      <c r="A1015" s="7">
        <v>901762</v>
      </c>
      <c r="B1015" s="8" t="s">
        <v>844</v>
      </c>
    </row>
    <row r="1016" spans="1:2" ht="14.25" customHeight="1">
      <c r="A1016" s="7">
        <v>902380</v>
      </c>
      <c r="B1016" s="8" t="s">
        <v>844</v>
      </c>
    </row>
    <row r="1017" spans="1:2" ht="14.25" customHeight="1">
      <c r="A1017" s="7">
        <v>81521088</v>
      </c>
      <c r="B1017" s="8" t="s">
        <v>844</v>
      </c>
    </row>
    <row r="1018" spans="1:2" ht="14.25" customHeight="1">
      <c r="A1018" s="7">
        <v>81521244</v>
      </c>
      <c r="B1018" s="8" t="s">
        <v>844</v>
      </c>
    </row>
    <row r="1019" spans="1:2" ht="14.25" customHeight="1">
      <c r="A1019" s="7">
        <v>81521245</v>
      </c>
      <c r="B1019" s="8" t="s">
        <v>844</v>
      </c>
    </row>
    <row r="1020" spans="1:2" ht="14.25" customHeight="1">
      <c r="A1020" s="7">
        <v>81521173</v>
      </c>
      <c r="B1020" s="8" t="s">
        <v>845</v>
      </c>
    </row>
    <row r="1021" spans="1:2" ht="14.25" customHeight="1">
      <c r="A1021" s="7">
        <v>81521175</v>
      </c>
      <c r="B1021" s="8" t="s">
        <v>845</v>
      </c>
    </row>
    <row r="1022" spans="1:2" ht="14.25" customHeight="1">
      <c r="A1022" s="7">
        <v>81521176</v>
      </c>
      <c r="B1022" s="8" t="s">
        <v>845</v>
      </c>
    </row>
    <row r="1023" spans="1:2" ht="14.25" customHeight="1">
      <c r="A1023" s="7">
        <v>81521177</v>
      </c>
      <c r="B1023" s="8" t="s">
        <v>845</v>
      </c>
    </row>
    <row r="1024" spans="1:2" ht="14.25" customHeight="1">
      <c r="A1024" s="7">
        <v>81521270</v>
      </c>
      <c r="B1024" s="8" t="s">
        <v>845</v>
      </c>
    </row>
    <row r="1025" spans="1:2" ht="14.25" customHeight="1">
      <c r="A1025" s="7">
        <v>81521271</v>
      </c>
      <c r="B1025" s="8" t="s">
        <v>845</v>
      </c>
    </row>
    <row r="1026" spans="1:2" ht="14.25" customHeight="1">
      <c r="A1026" s="7">
        <v>81521277</v>
      </c>
      <c r="B1026" s="8" t="s">
        <v>845</v>
      </c>
    </row>
    <row r="1027" spans="1:2" ht="14.25" customHeight="1">
      <c r="A1027" s="7">
        <v>901731</v>
      </c>
      <c r="B1027" s="8" t="s">
        <v>846</v>
      </c>
    </row>
    <row r="1028" spans="1:2" ht="14.25" customHeight="1">
      <c r="A1028" s="7">
        <v>901732</v>
      </c>
      <c r="B1028" s="8" t="s">
        <v>846</v>
      </c>
    </row>
    <row r="1029" spans="1:2" ht="14.25" customHeight="1">
      <c r="A1029" s="7">
        <v>901791</v>
      </c>
      <c r="B1029" s="8" t="s">
        <v>846</v>
      </c>
    </row>
    <row r="1030" spans="1:2" ht="14.25" customHeight="1">
      <c r="A1030" s="7">
        <v>901792</v>
      </c>
      <c r="B1030" s="8" t="s">
        <v>846</v>
      </c>
    </row>
    <row r="1031" spans="1:2" ht="14.25" customHeight="1">
      <c r="A1031" s="7">
        <v>901793</v>
      </c>
      <c r="B1031" s="8" t="s">
        <v>846</v>
      </c>
    </row>
    <row r="1032" spans="1:2" ht="14.25" customHeight="1">
      <c r="A1032" s="7">
        <v>901794</v>
      </c>
      <c r="B1032" s="8" t="s">
        <v>846</v>
      </c>
    </row>
    <row r="1033" spans="1:2" ht="14.25" customHeight="1">
      <c r="A1033" s="7">
        <v>901795</v>
      </c>
      <c r="B1033" s="8" t="s">
        <v>846</v>
      </c>
    </row>
    <row r="1034" spans="1:2" ht="14.25" customHeight="1">
      <c r="A1034" s="7">
        <v>901796</v>
      </c>
      <c r="B1034" s="8" t="s">
        <v>846</v>
      </c>
    </row>
    <row r="1035" spans="1:2" ht="14.25" customHeight="1">
      <c r="A1035" s="7">
        <v>8173634</v>
      </c>
      <c r="B1035" s="8" t="s">
        <v>846</v>
      </c>
    </row>
    <row r="1036" spans="1:2" ht="14.25" customHeight="1">
      <c r="A1036" s="7">
        <v>81521072</v>
      </c>
      <c r="B1036" s="8" t="s">
        <v>846</v>
      </c>
    </row>
    <row r="1037" spans="1:2" ht="14.25" customHeight="1">
      <c r="A1037" s="7">
        <v>81521219</v>
      </c>
      <c r="B1037" s="8" t="s">
        <v>846</v>
      </c>
    </row>
    <row r="1038" spans="1:2" ht="14.25" customHeight="1">
      <c r="A1038" s="7">
        <v>8173575</v>
      </c>
      <c r="B1038" s="8" t="s">
        <v>847</v>
      </c>
    </row>
    <row r="1039" spans="1:2" ht="14.25" customHeight="1">
      <c r="A1039" s="7">
        <v>81521155</v>
      </c>
      <c r="B1039" s="8" t="s">
        <v>848</v>
      </c>
    </row>
    <row r="1040" spans="1:2" ht="14.25" customHeight="1">
      <c r="A1040" s="7">
        <v>81521157</v>
      </c>
      <c r="B1040" s="8" t="s">
        <v>848</v>
      </c>
    </row>
    <row r="1041" spans="1:2" ht="14.25" customHeight="1">
      <c r="A1041" s="7">
        <v>81521159</v>
      </c>
      <c r="B1041" s="8" t="s">
        <v>848</v>
      </c>
    </row>
    <row r="1042" spans="1:2" ht="14.25" customHeight="1">
      <c r="A1042" s="7">
        <v>81521165</v>
      </c>
      <c r="B1042" s="8" t="s">
        <v>848</v>
      </c>
    </row>
    <row r="1043" spans="1:2" ht="14.25" customHeight="1">
      <c r="A1043" s="7">
        <v>81521168</v>
      </c>
      <c r="B1043" s="8" t="s">
        <v>848</v>
      </c>
    </row>
    <row r="1044" spans="1:2" ht="14.25" customHeight="1">
      <c r="A1044" s="7">
        <v>8173643</v>
      </c>
      <c r="B1044" s="8" t="s">
        <v>849</v>
      </c>
    </row>
    <row r="1045" spans="1:2" ht="14.25" customHeight="1">
      <c r="A1045" s="7">
        <v>81521090</v>
      </c>
      <c r="B1045" s="8" t="s">
        <v>849</v>
      </c>
    </row>
    <row r="1046" spans="1:2" ht="14.25" customHeight="1">
      <c r="A1046" s="7">
        <v>81521081</v>
      </c>
      <c r="B1046" s="8" t="s">
        <v>850</v>
      </c>
    </row>
    <row r="1047" spans="1:2" ht="14.25" customHeight="1">
      <c r="A1047" s="7">
        <v>81521110</v>
      </c>
      <c r="B1047" s="8" t="s">
        <v>850</v>
      </c>
    </row>
    <row r="1048" spans="1:2" ht="14.25" customHeight="1">
      <c r="A1048" s="7">
        <v>81521113</v>
      </c>
      <c r="B1048" s="8" t="s">
        <v>850</v>
      </c>
    </row>
    <row r="1049" spans="1:2" ht="14.25" customHeight="1">
      <c r="A1049" s="7">
        <v>81521115</v>
      </c>
      <c r="B1049" s="8" t="s">
        <v>850</v>
      </c>
    </row>
    <row r="1050" spans="1:2" ht="14.25" customHeight="1">
      <c r="A1050" s="7">
        <v>81521116</v>
      </c>
      <c r="B1050" s="8" t="s">
        <v>850</v>
      </c>
    </row>
    <row r="1051" spans="1:2" ht="14.25" customHeight="1">
      <c r="A1051" s="7">
        <v>81521127</v>
      </c>
      <c r="B1051" s="8" t="s">
        <v>850</v>
      </c>
    </row>
    <row r="1052" spans="1:2" ht="14.25" customHeight="1">
      <c r="A1052" s="7">
        <v>81521136</v>
      </c>
      <c r="B1052" s="8" t="s">
        <v>850</v>
      </c>
    </row>
    <row r="1053" spans="1:2" ht="14.25" customHeight="1">
      <c r="A1053" s="7">
        <v>903801</v>
      </c>
      <c r="B1053" s="8" t="s">
        <v>851</v>
      </c>
    </row>
    <row r="1054" spans="1:2" ht="14.25" customHeight="1">
      <c r="A1054" s="7">
        <v>903802</v>
      </c>
      <c r="B1054" s="8" t="s">
        <v>851</v>
      </c>
    </row>
    <row r="1055" spans="1:2" ht="14.25" customHeight="1">
      <c r="A1055" s="7">
        <v>903803</v>
      </c>
      <c r="B1055" s="8" t="s">
        <v>851</v>
      </c>
    </row>
    <row r="1056" spans="1:2" ht="14.25" customHeight="1">
      <c r="A1056" s="7">
        <v>903804</v>
      </c>
      <c r="B1056" s="8" t="s">
        <v>851</v>
      </c>
    </row>
    <row r="1057" spans="1:2" ht="14.25" customHeight="1">
      <c r="A1057" s="7">
        <v>903805</v>
      </c>
      <c r="B1057" s="8" t="s">
        <v>851</v>
      </c>
    </row>
    <row r="1058" spans="1:2" ht="14.25" customHeight="1">
      <c r="A1058" s="7">
        <v>903806</v>
      </c>
      <c r="B1058" s="8" t="s">
        <v>851</v>
      </c>
    </row>
    <row r="1059" spans="1:2" ht="14.25" customHeight="1">
      <c r="A1059" s="7">
        <v>903807</v>
      </c>
      <c r="B1059" s="8" t="s">
        <v>851</v>
      </c>
    </row>
    <row r="1060" spans="1:2" ht="14.25" customHeight="1">
      <c r="A1060" s="7">
        <v>903808</v>
      </c>
      <c r="B1060" s="8" t="s">
        <v>851</v>
      </c>
    </row>
    <row r="1061" spans="1:2" ht="14.25" customHeight="1">
      <c r="A1061" s="7">
        <v>903809</v>
      </c>
      <c r="B1061" s="8" t="s">
        <v>851</v>
      </c>
    </row>
    <row r="1062" spans="1:2" ht="14.25" customHeight="1">
      <c r="A1062" s="7">
        <v>903810</v>
      </c>
      <c r="B1062" s="8" t="s">
        <v>851</v>
      </c>
    </row>
    <row r="1063" spans="1:2" ht="14.25" customHeight="1">
      <c r="A1063" s="7">
        <v>903811</v>
      </c>
      <c r="B1063" s="8" t="s">
        <v>851</v>
      </c>
    </row>
    <row r="1064" spans="1:2" ht="14.25" customHeight="1">
      <c r="A1064" s="7">
        <v>71521000</v>
      </c>
      <c r="B1064" s="8" t="s">
        <v>851</v>
      </c>
    </row>
    <row r="1065" spans="1:2" ht="14.25" customHeight="1">
      <c r="A1065" s="7">
        <v>81521388</v>
      </c>
      <c r="B1065" s="8" t="s">
        <v>851</v>
      </c>
    </row>
    <row r="1066" spans="1:2" ht="14.25" customHeight="1">
      <c r="A1066" s="7">
        <v>81521389</v>
      </c>
      <c r="B1066" s="8" t="s">
        <v>851</v>
      </c>
    </row>
    <row r="1067" spans="1:2" ht="14.25" customHeight="1">
      <c r="A1067" s="7">
        <v>81521542</v>
      </c>
      <c r="B1067" s="8" t="s">
        <v>852</v>
      </c>
    </row>
    <row r="1068" spans="1:2" ht="14.25" customHeight="1">
      <c r="A1068" s="7">
        <v>903611</v>
      </c>
      <c r="B1068" s="8" t="s">
        <v>853</v>
      </c>
    </row>
    <row r="1069" spans="1:2" ht="14.25" customHeight="1">
      <c r="A1069" s="7">
        <v>903612</v>
      </c>
      <c r="B1069" s="8" t="s">
        <v>853</v>
      </c>
    </row>
    <row r="1070" spans="1:2" ht="14.25" customHeight="1">
      <c r="A1070" s="7">
        <v>903613</v>
      </c>
      <c r="B1070" s="8" t="s">
        <v>853</v>
      </c>
    </row>
    <row r="1071" spans="1:2" ht="14.25" customHeight="1">
      <c r="A1071" s="7">
        <v>903614</v>
      </c>
      <c r="B1071" s="8" t="s">
        <v>853</v>
      </c>
    </row>
    <row r="1072" spans="1:2" ht="14.25" customHeight="1">
      <c r="A1072" s="7">
        <v>71521003</v>
      </c>
      <c r="B1072" s="8" t="s">
        <v>854</v>
      </c>
    </row>
    <row r="1073" spans="1:2" ht="14.25" customHeight="1">
      <c r="A1073" s="7">
        <v>71521004</v>
      </c>
      <c r="B1073" s="8" t="s">
        <v>854</v>
      </c>
    </row>
    <row r="1074" spans="1:2" ht="14.25" customHeight="1">
      <c r="A1074" s="7">
        <v>14010127</v>
      </c>
      <c r="B1074" s="8" t="s">
        <v>855</v>
      </c>
    </row>
    <row r="1075" spans="1:2" ht="14.25" customHeight="1">
      <c r="A1075" s="7">
        <v>14010024</v>
      </c>
      <c r="B1075" s="8" t="s">
        <v>856</v>
      </c>
    </row>
    <row r="1076" spans="1:2" ht="14.25" customHeight="1">
      <c r="A1076" s="7">
        <v>14010025</v>
      </c>
      <c r="B1076" s="8" t="s">
        <v>856</v>
      </c>
    </row>
    <row r="1077" spans="1:2" ht="14.25" customHeight="1">
      <c r="A1077" s="7">
        <v>14010026</v>
      </c>
      <c r="B1077" s="8" t="s">
        <v>856</v>
      </c>
    </row>
    <row r="1078" spans="1:2" ht="14.25" customHeight="1">
      <c r="A1078" s="7">
        <v>14010027</v>
      </c>
      <c r="B1078" s="8" t="s">
        <v>856</v>
      </c>
    </row>
    <row r="1079" spans="1:2" ht="14.25" customHeight="1">
      <c r="A1079" s="7">
        <v>14010038</v>
      </c>
      <c r="B1079" s="8" t="s">
        <v>856</v>
      </c>
    </row>
    <row r="1080" spans="1:2" ht="14.25" customHeight="1">
      <c r="A1080" s="7">
        <v>14010039</v>
      </c>
      <c r="B1080" s="8" t="s">
        <v>856</v>
      </c>
    </row>
    <row r="1081" spans="1:2" ht="14.25" customHeight="1">
      <c r="A1081" s="7">
        <v>14010040</v>
      </c>
      <c r="B1081" s="8" t="s">
        <v>856</v>
      </c>
    </row>
    <row r="1082" spans="1:2" ht="14.25" customHeight="1">
      <c r="A1082" s="7">
        <v>14010041</v>
      </c>
      <c r="B1082" s="8" t="s">
        <v>856</v>
      </c>
    </row>
    <row r="1083" spans="1:2" ht="14.25" customHeight="1">
      <c r="A1083" s="7">
        <v>14010042</v>
      </c>
      <c r="B1083" s="8" t="s">
        <v>856</v>
      </c>
    </row>
    <row r="1084" spans="1:2" ht="14.25" customHeight="1">
      <c r="A1084" s="7">
        <v>14010054</v>
      </c>
      <c r="B1084" s="8" t="s">
        <v>857</v>
      </c>
    </row>
    <row r="1085" spans="1:2" ht="14.25" customHeight="1">
      <c r="A1085" s="7">
        <v>14010046</v>
      </c>
      <c r="B1085" s="8" t="s">
        <v>858</v>
      </c>
    </row>
    <row r="1086" spans="1:2" ht="14.25" customHeight="1">
      <c r="A1086" s="7">
        <v>14010060</v>
      </c>
      <c r="B1086" s="8" t="s">
        <v>859</v>
      </c>
    </row>
    <row r="1087" spans="1:2" ht="14.25" customHeight="1">
      <c r="A1087" s="7">
        <v>14010073</v>
      </c>
      <c r="B1087" s="8" t="s">
        <v>859</v>
      </c>
    </row>
    <row r="1088" spans="1:2" ht="14.25" customHeight="1">
      <c r="A1088" s="7">
        <v>14010074</v>
      </c>
      <c r="B1088" s="8" t="s">
        <v>859</v>
      </c>
    </row>
    <row r="1089" spans="1:2" ht="14.25" customHeight="1">
      <c r="A1089" s="7">
        <v>14010075</v>
      </c>
      <c r="B1089" s="8" t="s">
        <v>859</v>
      </c>
    </row>
    <row r="1090" spans="1:2" ht="14.25" customHeight="1">
      <c r="A1090" s="7">
        <v>14010076</v>
      </c>
      <c r="B1090" s="8" t="s">
        <v>859</v>
      </c>
    </row>
    <row r="1091" spans="1:2" ht="14.25" customHeight="1">
      <c r="A1091" s="7">
        <v>14010077</v>
      </c>
      <c r="B1091" s="8" t="s">
        <v>859</v>
      </c>
    </row>
    <row r="1092" spans="1:2" ht="14.25" customHeight="1">
      <c r="A1092" s="7">
        <v>14010078</v>
      </c>
      <c r="B1092" s="8" t="s">
        <v>859</v>
      </c>
    </row>
    <row r="1093" spans="1:2" ht="14.25" customHeight="1">
      <c r="A1093" s="7">
        <v>14010079</v>
      </c>
      <c r="B1093" s="8" t="s">
        <v>859</v>
      </c>
    </row>
    <row r="1094" spans="1:2" ht="14.25" customHeight="1">
      <c r="A1094" s="7">
        <v>14010080</v>
      </c>
      <c r="B1094" s="8" t="s">
        <v>859</v>
      </c>
    </row>
    <row r="1095" spans="1:2" ht="14.25" customHeight="1">
      <c r="A1095" s="7">
        <v>14010086</v>
      </c>
      <c r="B1095" s="8" t="s">
        <v>859</v>
      </c>
    </row>
    <row r="1096" spans="1:2" ht="14.25" customHeight="1">
      <c r="A1096" s="7">
        <v>14010087</v>
      </c>
      <c r="B1096" s="8" t="s">
        <v>859</v>
      </c>
    </row>
    <row r="1097" spans="1:2" ht="14.25" customHeight="1">
      <c r="A1097" s="7">
        <v>14010088</v>
      </c>
      <c r="B1097" s="8" t="s">
        <v>859</v>
      </c>
    </row>
    <row r="1098" spans="1:2" ht="14.25" customHeight="1">
      <c r="A1098" s="7">
        <v>14010089</v>
      </c>
      <c r="B1098" s="8" t="s">
        <v>859</v>
      </c>
    </row>
    <row r="1099" spans="1:2" ht="14.25" customHeight="1">
      <c r="A1099" s="7">
        <v>14010090</v>
      </c>
      <c r="B1099" s="8" t="s">
        <v>859</v>
      </c>
    </row>
    <row r="1100" spans="1:2" ht="14.25" customHeight="1">
      <c r="A1100" s="7">
        <v>14010121</v>
      </c>
      <c r="B1100" s="8" t="s">
        <v>859</v>
      </c>
    </row>
    <row r="1101" spans="1:2" ht="14.25" customHeight="1">
      <c r="A1101" s="7">
        <v>14010122</v>
      </c>
      <c r="B1101" s="8" t="s">
        <v>859</v>
      </c>
    </row>
    <row r="1102" spans="1:2" ht="14.25" customHeight="1">
      <c r="A1102" s="7">
        <v>14010123</v>
      </c>
      <c r="B1102" s="8" t="s">
        <v>859</v>
      </c>
    </row>
    <row r="1103" spans="1:2" ht="14.25" customHeight="1">
      <c r="A1103" s="7">
        <v>14010124</v>
      </c>
      <c r="B1103" s="8" t="s">
        <v>859</v>
      </c>
    </row>
    <row r="1104" spans="1:2" ht="14.25" customHeight="1">
      <c r="A1104" s="7">
        <v>14010055</v>
      </c>
      <c r="B1104" s="8" t="s">
        <v>860</v>
      </c>
    </row>
    <row r="1105" spans="1:2" ht="14.25" customHeight="1">
      <c r="A1105" s="7">
        <v>14010056</v>
      </c>
      <c r="B1105" s="8" t="s">
        <v>860</v>
      </c>
    </row>
    <row r="1106" spans="1:2" ht="14.25" customHeight="1">
      <c r="A1106" s="7">
        <v>14010062</v>
      </c>
      <c r="B1106" s="8" t="s">
        <v>860</v>
      </c>
    </row>
    <row r="1107" spans="1:2" ht="14.25" customHeight="1">
      <c r="A1107" s="7">
        <v>14010063</v>
      </c>
      <c r="B1107" s="8" t="s">
        <v>860</v>
      </c>
    </row>
    <row r="1108" spans="1:2" ht="14.25" customHeight="1">
      <c r="A1108" s="7">
        <v>14010131</v>
      </c>
      <c r="B1108" s="8" t="s">
        <v>860</v>
      </c>
    </row>
    <row r="1109" spans="1:2" ht="14.25" customHeight="1">
      <c r="A1109" s="7">
        <v>81521091</v>
      </c>
      <c r="B1109" s="8" t="s">
        <v>861</v>
      </c>
    </row>
    <row r="1110" spans="1:2" ht="14.25" customHeight="1">
      <c r="A1110" s="7">
        <v>81521217</v>
      </c>
      <c r="B1110" s="8" t="s">
        <v>861</v>
      </c>
    </row>
    <row r="1111" spans="1:2" ht="14.25" customHeight="1">
      <c r="A1111" s="7">
        <v>81521218</v>
      </c>
      <c r="B1111" s="8" t="s">
        <v>861</v>
      </c>
    </row>
    <row r="1112" spans="1:2" ht="14.25" customHeight="1">
      <c r="A1112" s="7">
        <v>81521063</v>
      </c>
      <c r="B1112" s="8" t="s">
        <v>862</v>
      </c>
    </row>
    <row r="1113" spans="1:2" ht="14.25" customHeight="1">
      <c r="A1113" s="7">
        <v>81521544</v>
      </c>
      <c r="B1113" s="8" t="s">
        <v>863</v>
      </c>
    </row>
    <row r="1114" spans="1:2" ht="14.25" customHeight="1">
      <c r="A1114" s="7">
        <v>81521545</v>
      </c>
      <c r="B1114" s="8" t="s">
        <v>863</v>
      </c>
    </row>
    <row r="1115" spans="1:2" ht="14.25" customHeight="1">
      <c r="A1115" s="7">
        <v>81521546</v>
      </c>
      <c r="B1115" s="8" t="s">
        <v>863</v>
      </c>
    </row>
    <row r="1116" spans="1:2" ht="14.25" customHeight="1">
      <c r="A1116" s="7">
        <v>81521547</v>
      </c>
      <c r="B1116" s="8" t="s">
        <v>863</v>
      </c>
    </row>
    <row r="1117" spans="1:2" ht="14.25" customHeight="1">
      <c r="A1117" s="7">
        <v>81521548</v>
      </c>
      <c r="B1117" s="8" t="s">
        <v>863</v>
      </c>
    </row>
    <row r="1118" spans="1:2" ht="14.25" customHeight="1">
      <c r="A1118" s="7">
        <v>81521561</v>
      </c>
      <c r="B1118" s="8" t="s">
        <v>863</v>
      </c>
    </row>
    <row r="1119" spans="1:2" ht="14.25" customHeight="1">
      <c r="A1119" s="7">
        <v>81521562</v>
      </c>
      <c r="B1119" s="8" t="s">
        <v>863</v>
      </c>
    </row>
    <row r="1120" spans="1:2" ht="14.25" customHeight="1">
      <c r="A1120" s="7">
        <v>81521563</v>
      </c>
      <c r="B1120" s="8" t="s">
        <v>863</v>
      </c>
    </row>
    <row r="1121" spans="1:2" ht="14.25" customHeight="1">
      <c r="A1121" s="7">
        <v>81521564</v>
      </c>
      <c r="B1121" s="8" t="s">
        <v>863</v>
      </c>
    </row>
    <row r="1122" spans="1:2" ht="14.25" customHeight="1">
      <c r="A1122" s="7">
        <v>81521565</v>
      </c>
      <c r="B1122" s="8" t="s">
        <v>863</v>
      </c>
    </row>
    <row r="1123" spans="1:2" ht="14.25" customHeight="1">
      <c r="A1123" s="7">
        <v>81521574</v>
      </c>
      <c r="B1123" s="8" t="s">
        <v>863</v>
      </c>
    </row>
    <row r="1124" spans="1:2" ht="14.25" customHeight="1">
      <c r="A1124" s="7">
        <v>81521575</v>
      </c>
      <c r="B1124" s="8" t="s">
        <v>863</v>
      </c>
    </row>
    <row r="1125" spans="1:2" ht="14.25" customHeight="1">
      <c r="A1125" s="7">
        <v>81521576</v>
      </c>
      <c r="B1125" s="8" t="s">
        <v>863</v>
      </c>
    </row>
    <row r="1126" spans="1:2" ht="14.25" customHeight="1">
      <c r="A1126" s="7">
        <v>81521577</v>
      </c>
      <c r="B1126" s="8" t="s">
        <v>863</v>
      </c>
    </row>
    <row r="1127" spans="1:2" ht="14.25" customHeight="1">
      <c r="A1127" s="7">
        <v>81521578</v>
      </c>
      <c r="B1127" s="8" t="s">
        <v>863</v>
      </c>
    </row>
    <row r="1128" spans="1:2" ht="14.25" customHeight="1">
      <c r="A1128" s="7">
        <v>81521579</v>
      </c>
      <c r="B1128" s="8" t="s">
        <v>863</v>
      </c>
    </row>
    <row r="1129" spans="1:2" ht="14.25" customHeight="1">
      <c r="A1129" s="7">
        <v>81521580</v>
      </c>
      <c r="B1129" s="8" t="s">
        <v>863</v>
      </c>
    </row>
    <row r="1130" spans="1:2" ht="14.25" customHeight="1">
      <c r="A1130" s="7">
        <v>81521581</v>
      </c>
      <c r="B1130" s="8" t="s">
        <v>863</v>
      </c>
    </row>
    <row r="1131" spans="1:2" ht="14.25" customHeight="1">
      <c r="A1131" s="7">
        <v>81521582</v>
      </c>
      <c r="B1131" s="8" t="s">
        <v>863</v>
      </c>
    </row>
    <row r="1132" spans="1:2" ht="14.25" customHeight="1">
      <c r="A1132" s="7">
        <v>81521583</v>
      </c>
      <c r="B1132" s="8" t="s">
        <v>863</v>
      </c>
    </row>
    <row r="1133" spans="1:2" ht="14.25" customHeight="1">
      <c r="A1133" s="7">
        <v>1731282</v>
      </c>
      <c r="B1133" s="8" t="s">
        <v>864</v>
      </c>
    </row>
    <row r="1134" spans="1:2" ht="14.25" customHeight="1">
      <c r="A1134" s="7">
        <v>901801</v>
      </c>
      <c r="B1134" s="8" t="s">
        <v>865</v>
      </c>
    </row>
    <row r="1135" spans="1:2" ht="14.25" customHeight="1">
      <c r="A1135" s="7">
        <v>8173499</v>
      </c>
      <c r="B1135" s="8" t="s">
        <v>865</v>
      </c>
    </row>
    <row r="1136" spans="1:2" ht="14.25" customHeight="1">
      <c r="A1136" s="7">
        <v>8173562</v>
      </c>
      <c r="B1136" s="8" t="s">
        <v>865</v>
      </c>
    </row>
    <row r="1137" spans="1:2" ht="14.25" customHeight="1">
      <c r="A1137" s="7">
        <v>81521180</v>
      </c>
      <c r="B1137" s="8" t="s">
        <v>865</v>
      </c>
    </row>
    <row r="1138" spans="1:2" ht="14.25" customHeight="1">
      <c r="A1138" s="7">
        <v>81521181</v>
      </c>
      <c r="B1138" s="8" t="s">
        <v>865</v>
      </c>
    </row>
    <row r="1139" spans="1:2" ht="14.25" customHeight="1">
      <c r="A1139" s="7">
        <v>81521182</v>
      </c>
      <c r="B1139" s="8" t="s">
        <v>865</v>
      </c>
    </row>
    <row r="1140" spans="1:2" ht="14.25" customHeight="1">
      <c r="A1140" s="7">
        <v>81521249</v>
      </c>
      <c r="B1140" s="8" t="s">
        <v>865</v>
      </c>
    </row>
    <row r="1141" spans="1:2" ht="14.25" customHeight="1">
      <c r="A1141" s="7">
        <v>1731613</v>
      </c>
      <c r="B1141" s="8" t="s">
        <v>866</v>
      </c>
    </row>
    <row r="1142" spans="1:2" ht="14.25" customHeight="1">
      <c r="A1142" s="7">
        <v>1731798</v>
      </c>
      <c r="B1142" s="8" t="s">
        <v>866</v>
      </c>
    </row>
    <row r="1143" spans="1:2" ht="14.25" customHeight="1">
      <c r="A1143" s="7">
        <v>1732222</v>
      </c>
      <c r="B1143" s="8" t="s">
        <v>866</v>
      </c>
    </row>
    <row r="1144" spans="1:2" ht="14.25" customHeight="1">
      <c r="A1144" s="7">
        <v>1731469</v>
      </c>
      <c r="B1144" s="8" t="s">
        <v>867</v>
      </c>
    </row>
    <row r="1145" spans="1:2" ht="14.25" customHeight="1">
      <c r="A1145" s="7">
        <v>1731864</v>
      </c>
      <c r="B1145" s="8" t="s">
        <v>867</v>
      </c>
    </row>
    <row r="1146" spans="1:2" ht="14.25" customHeight="1">
      <c r="A1146" s="7">
        <v>21521006</v>
      </c>
      <c r="B1146" s="8" t="s">
        <v>868</v>
      </c>
    </row>
    <row r="1147" spans="1:2" ht="14.25" customHeight="1">
      <c r="A1147" s="7">
        <v>21521007</v>
      </c>
      <c r="B1147" s="8" t="s">
        <v>868</v>
      </c>
    </row>
    <row r="1148" spans="1:2" ht="14.25" customHeight="1">
      <c r="A1148" s="7">
        <v>21521009</v>
      </c>
      <c r="B1148" s="8" t="s">
        <v>868</v>
      </c>
    </row>
    <row r="1149" spans="1:2" ht="14.25" customHeight="1">
      <c r="A1149" s="7">
        <v>21521010</v>
      </c>
      <c r="B1149" s="8" t="s">
        <v>868</v>
      </c>
    </row>
    <row r="1150" spans="1:2" ht="14.25" customHeight="1">
      <c r="A1150" s="7">
        <v>21521011</v>
      </c>
      <c r="B1150" s="8" t="s">
        <v>868</v>
      </c>
    </row>
    <row r="1151" spans="1:2" ht="14.25" customHeight="1">
      <c r="A1151" s="7">
        <v>21521012</v>
      </c>
      <c r="B1151" s="8" t="s">
        <v>868</v>
      </c>
    </row>
    <row r="1152" spans="1:2" ht="14.25" customHeight="1">
      <c r="A1152" s="7">
        <v>21521013</v>
      </c>
      <c r="B1152" s="8" t="s">
        <v>868</v>
      </c>
    </row>
    <row r="1153" spans="1:2" ht="14.25" customHeight="1">
      <c r="A1153" s="7">
        <v>21521015</v>
      </c>
      <c r="B1153" s="8" t="s">
        <v>868</v>
      </c>
    </row>
    <row r="1154" spans="1:2" ht="14.25" customHeight="1">
      <c r="A1154" s="7">
        <v>21521016</v>
      </c>
      <c r="B1154" s="8" t="s">
        <v>868</v>
      </c>
    </row>
    <row r="1155" spans="1:2" ht="14.25" customHeight="1">
      <c r="A1155" s="7">
        <v>21521017</v>
      </c>
      <c r="B1155" s="8" t="s">
        <v>868</v>
      </c>
    </row>
    <row r="1156" spans="1:2" ht="14.25" customHeight="1">
      <c r="A1156" s="7">
        <v>21521018</v>
      </c>
      <c r="B1156" s="8" t="s">
        <v>868</v>
      </c>
    </row>
    <row r="1157" spans="1:2" ht="14.25" customHeight="1">
      <c r="A1157" s="7">
        <v>21521019</v>
      </c>
      <c r="B1157" s="8" t="s">
        <v>868</v>
      </c>
    </row>
    <row r="1158" spans="1:2" ht="14.25" customHeight="1">
      <c r="A1158" s="7">
        <v>21521020</v>
      </c>
      <c r="B1158" s="8" t="s">
        <v>868</v>
      </c>
    </row>
    <row r="1159" spans="1:2" ht="14.25" customHeight="1">
      <c r="A1159" s="7">
        <v>21521024</v>
      </c>
      <c r="B1159" s="8" t="s">
        <v>868</v>
      </c>
    </row>
    <row r="1160" spans="1:2" ht="14.25" customHeight="1">
      <c r="A1160" s="7">
        <v>21521025</v>
      </c>
      <c r="B1160" s="8" t="s">
        <v>868</v>
      </c>
    </row>
    <row r="1161" spans="1:2" ht="14.25" customHeight="1">
      <c r="A1161" s="7">
        <v>21521026</v>
      </c>
      <c r="B1161" s="8" t="s">
        <v>868</v>
      </c>
    </row>
    <row r="1162" spans="1:2" ht="14.25" customHeight="1">
      <c r="A1162" s="7">
        <v>21521027</v>
      </c>
      <c r="B1162" s="8" t="s">
        <v>868</v>
      </c>
    </row>
    <row r="1163" spans="1:2" ht="14.25" customHeight="1">
      <c r="A1163" s="7">
        <v>21521028</v>
      </c>
      <c r="B1163" s="8" t="s">
        <v>868</v>
      </c>
    </row>
    <row r="1164" spans="1:2" ht="14.25" customHeight="1">
      <c r="A1164" s="7">
        <v>21521029</v>
      </c>
      <c r="B1164" s="8" t="s">
        <v>868</v>
      </c>
    </row>
    <row r="1165" spans="1:2" ht="14.25" customHeight="1">
      <c r="A1165" s="7">
        <v>21521030</v>
      </c>
      <c r="B1165" s="8" t="s">
        <v>868</v>
      </c>
    </row>
    <row r="1166" spans="1:2" ht="14.25" customHeight="1">
      <c r="A1166" s="7">
        <v>21521041</v>
      </c>
      <c r="B1166" s="8" t="s">
        <v>868</v>
      </c>
    </row>
    <row r="1167" spans="1:2" ht="14.25" customHeight="1">
      <c r="A1167" s="7">
        <v>21521042</v>
      </c>
      <c r="B1167" s="8" t="s">
        <v>868</v>
      </c>
    </row>
    <row r="1168" spans="1:2" ht="14.25" customHeight="1">
      <c r="A1168" s="7">
        <v>21521043</v>
      </c>
      <c r="B1168" s="8" t="s">
        <v>868</v>
      </c>
    </row>
    <row r="1169" spans="1:2" ht="14.25" customHeight="1">
      <c r="A1169" s="7">
        <v>21524013</v>
      </c>
      <c r="B1169" s="8" t="s">
        <v>869</v>
      </c>
    </row>
    <row r="1170" spans="1:2" ht="14.25" customHeight="1">
      <c r="A1170" s="7">
        <v>21524014</v>
      </c>
      <c r="B1170" s="8" t="s">
        <v>869</v>
      </c>
    </row>
    <row r="1171" spans="1:2" ht="14.25" customHeight="1">
      <c r="A1171" s="7">
        <v>2173004</v>
      </c>
      <c r="B1171" s="8" t="s">
        <v>870</v>
      </c>
    </row>
    <row r="1172" spans="1:2" ht="14.25" customHeight="1">
      <c r="A1172" s="7">
        <v>12020009</v>
      </c>
      <c r="B1172" s="8" t="s">
        <v>871</v>
      </c>
    </row>
    <row r="1173" spans="1:2" ht="14.25" customHeight="1">
      <c r="A1173" s="7">
        <v>12020010</v>
      </c>
      <c r="B1173" s="8" t="s">
        <v>871</v>
      </c>
    </row>
    <row r="1174" spans="1:2" ht="14.25" customHeight="1">
      <c r="A1174" s="7">
        <v>12020011</v>
      </c>
      <c r="B1174" s="8" t="s">
        <v>871</v>
      </c>
    </row>
    <row r="1175" spans="1:2" ht="14.25" customHeight="1">
      <c r="A1175" s="7">
        <v>12020012</v>
      </c>
      <c r="B1175" s="8" t="s">
        <v>871</v>
      </c>
    </row>
    <row r="1176" spans="1:2" ht="14.25" customHeight="1">
      <c r="A1176" s="7">
        <v>12020013</v>
      </c>
      <c r="B1176" s="8" t="s">
        <v>871</v>
      </c>
    </row>
    <row r="1177" spans="1:2" ht="14.25" customHeight="1">
      <c r="A1177" s="7">
        <v>12020014</v>
      </c>
      <c r="B1177" s="8" t="s">
        <v>871</v>
      </c>
    </row>
    <row r="1178" spans="1:2" ht="14.25" customHeight="1">
      <c r="A1178" s="7">
        <v>12020015</v>
      </c>
      <c r="B1178" s="8" t="s">
        <v>871</v>
      </c>
    </row>
    <row r="1179" spans="1:2" ht="14.25" customHeight="1">
      <c r="A1179" s="7">
        <v>12020016</v>
      </c>
      <c r="B1179" s="8" t="s">
        <v>871</v>
      </c>
    </row>
    <row r="1180" spans="1:2" ht="14.25" customHeight="1">
      <c r="A1180" s="7">
        <v>12020017</v>
      </c>
      <c r="B1180" s="8" t="s">
        <v>871</v>
      </c>
    </row>
    <row r="1181" spans="1:2" ht="14.25" customHeight="1">
      <c r="A1181" s="7">
        <v>12020018</v>
      </c>
      <c r="B1181" s="8" t="s">
        <v>871</v>
      </c>
    </row>
    <row r="1182" spans="1:2" ht="14.25" customHeight="1">
      <c r="A1182" s="7">
        <v>33040002</v>
      </c>
      <c r="B1182" s="8" t="s">
        <v>872</v>
      </c>
    </row>
    <row r="1183" spans="1:2" ht="14.25" customHeight="1">
      <c r="A1183" s="7">
        <v>61521050</v>
      </c>
      <c r="B1183" s="8" t="s">
        <v>873</v>
      </c>
    </row>
    <row r="1184" spans="1:2" ht="14.25" customHeight="1">
      <c r="A1184" s="7">
        <v>43040001</v>
      </c>
      <c r="B1184" s="8" t="s">
        <v>874</v>
      </c>
    </row>
    <row r="1185" spans="1:2" ht="14.25" customHeight="1">
      <c r="A1185" s="7">
        <v>1732414</v>
      </c>
      <c r="B1185" s="8" t="s">
        <v>875</v>
      </c>
    </row>
    <row r="1186" spans="1:2" ht="14.25" customHeight="1">
      <c r="A1186" s="7">
        <v>901062</v>
      </c>
      <c r="B1186" s="8" t="s">
        <v>876</v>
      </c>
    </row>
    <row r="1187" spans="1:2" ht="14.25" customHeight="1">
      <c r="A1187" s="7">
        <v>17130004</v>
      </c>
      <c r="B1187" s="8" t="s">
        <v>877</v>
      </c>
    </row>
    <row r="1188" spans="1:2" ht="14.25" customHeight="1">
      <c r="A1188" s="7">
        <v>61521019</v>
      </c>
      <c r="B1188" s="8" t="s">
        <v>878</v>
      </c>
    </row>
    <row r="1189" spans="1:2" ht="14.25" customHeight="1">
      <c r="A1189" s="7">
        <v>61521001</v>
      </c>
      <c r="B1189" s="8" t="s">
        <v>879</v>
      </c>
    </row>
    <row r="1190" spans="1:2" ht="14.25" customHeight="1">
      <c r="A1190" s="7">
        <v>61521002</v>
      </c>
      <c r="B1190" s="8" t="s">
        <v>879</v>
      </c>
    </row>
    <row r="1191" spans="1:2" ht="14.25" customHeight="1">
      <c r="A1191" s="7">
        <v>32060002</v>
      </c>
      <c r="B1191" s="8" t="s">
        <v>880</v>
      </c>
    </row>
    <row r="1192" spans="1:2" ht="14.25" customHeight="1">
      <c r="A1192" s="7">
        <v>61521041</v>
      </c>
      <c r="B1192" s="8" t="s">
        <v>881</v>
      </c>
    </row>
    <row r="1193" spans="1:2" ht="14.25" customHeight="1">
      <c r="A1193" s="7">
        <v>61521042</v>
      </c>
      <c r="B1193" s="8" t="s">
        <v>881</v>
      </c>
    </row>
    <row r="1194" spans="1:2" ht="14.25" customHeight="1">
      <c r="A1194" s="7">
        <v>61521043</v>
      </c>
      <c r="B1194" s="8" t="s">
        <v>881</v>
      </c>
    </row>
    <row r="1195" spans="1:2" ht="14.25" customHeight="1">
      <c r="A1195" s="7">
        <v>61521061</v>
      </c>
      <c r="B1195" s="8" t="s">
        <v>882</v>
      </c>
    </row>
    <row r="1196" spans="1:2" ht="14.25" customHeight="1">
      <c r="A1196" s="7">
        <v>61521062</v>
      </c>
      <c r="B1196" s="8" t="s">
        <v>882</v>
      </c>
    </row>
    <row r="1197" spans="1:2" ht="14.25" customHeight="1">
      <c r="A1197" s="7">
        <v>32060010</v>
      </c>
      <c r="B1197" s="8" t="s">
        <v>883</v>
      </c>
    </row>
    <row r="1198" spans="1:2" ht="14.25" customHeight="1">
      <c r="A1198" s="7">
        <v>32060001</v>
      </c>
      <c r="B1198" s="8" t="s">
        <v>884</v>
      </c>
    </row>
    <row r="1199" spans="1:2" ht="14.25" customHeight="1">
      <c r="A1199" s="7">
        <v>32060009</v>
      </c>
      <c r="B1199" s="8" t="s">
        <v>884</v>
      </c>
    </row>
    <row r="1200" spans="1:2" ht="14.25" customHeight="1">
      <c r="A1200" s="7">
        <v>17320813</v>
      </c>
      <c r="B1200" s="8" t="s">
        <v>885</v>
      </c>
    </row>
    <row r="1201" spans="1:2" ht="14.25" customHeight="1">
      <c r="A1201" s="7">
        <v>45009006</v>
      </c>
      <c r="B1201" s="8" t="s">
        <v>886</v>
      </c>
    </row>
    <row r="1202" spans="1:2" ht="14.25" customHeight="1">
      <c r="A1202" s="7">
        <v>33050003</v>
      </c>
      <c r="B1202" s="8" t="s">
        <v>887</v>
      </c>
    </row>
    <row r="1203" spans="1:2" ht="14.25" customHeight="1">
      <c r="A1203" s="7">
        <v>61521070</v>
      </c>
      <c r="B1203" s="8" t="s">
        <v>887</v>
      </c>
    </row>
    <row r="1204" spans="1:2" ht="14.25" customHeight="1">
      <c r="A1204" s="7">
        <v>61521071</v>
      </c>
      <c r="B1204" s="8" t="s">
        <v>887</v>
      </c>
    </row>
    <row r="1205" spans="1:2" ht="14.25" customHeight="1">
      <c r="A1205" s="7">
        <v>61521072</v>
      </c>
      <c r="B1205" s="8" t="s">
        <v>887</v>
      </c>
    </row>
    <row r="1206" spans="1:2" ht="14.25" customHeight="1">
      <c r="A1206" s="7">
        <v>61521073</v>
      </c>
      <c r="B1206" s="8" t="s">
        <v>887</v>
      </c>
    </row>
    <row r="1207" spans="1:2" ht="14.25" customHeight="1">
      <c r="A1207" s="7">
        <v>61521104</v>
      </c>
      <c r="B1207" s="8" t="s">
        <v>888</v>
      </c>
    </row>
    <row r="1208" spans="1:2" ht="14.25" customHeight="1">
      <c r="A1208" s="7">
        <v>43050001</v>
      </c>
      <c r="B1208" s="8" t="s">
        <v>889</v>
      </c>
    </row>
    <row r="1209" spans="1:2" ht="14.25" customHeight="1">
      <c r="A1209" s="7">
        <v>61521003</v>
      </c>
      <c r="B1209" s="8" t="s">
        <v>890</v>
      </c>
    </row>
    <row r="1210" spans="1:2" ht="14.25" customHeight="1">
      <c r="A1210" s="7">
        <v>61521006</v>
      </c>
      <c r="B1210" s="8" t="s">
        <v>890</v>
      </c>
    </row>
    <row r="1211" spans="1:2" ht="14.25" customHeight="1">
      <c r="A1211" s="7">
        <v>13050019</v>
      </c>
      <c r="B1211" s="8" t="s">
        <v>490</v>
      </c>
    </row>
    <row r="1212" spans="1:2" ht="14.25" customHeight="1">
      <c r="A1212" s="7">
        <v>13050020</v>
      </c>
      <c r="B1212" s="8" t="s">
        <v>490</v>
      </c>
    </row>
    <row r="1213" spans="1:2" ht="14.25" customHeight="1">
      <c r="A1213" s="7">
        <v>23050004</v>
      </c>
      <c r="B1213" s="8" t="s">
        <v>490</v>
      </c>
    </row>
    <row r="1214" spans="1:2" ht="14.25" customHeight="1">
      <c r="A1214" s="7">
        <v>23050005</v>
      </c>
      <c r="B1214" s="8" t="s">
        <v>490</v>
      </c>
    </row>
    <row r="1215" spans="1:2" ht="14.25" customHeight="1">
      <c r="A1215" s="7">
        <v>23050006</v>
      </c>
      <c r="B1215" s="8" t="s">
        <v>490</v>
      </c>
    </row>
    <row r="1216" spans="1:2" ht="14.25" customHeight="1">
      <c r="A1216" s="7">
        <v>23050007</v>
      </c>
      <c r="B1216" s="8" t="s">
        <v>490</v>
      </c>
    </row>
    <row r="1217" spans="1:2" ht="14.25" customHeight="1">
      <c r="A1217" s="7">
        <v>23050008</v>
      </c>
      <c r="B1217" s="8" t="s">
        <v>490</v>
      </c>
    </row>
    <row r="1218" spans="1:2" ht="14.25" customHeight="1">
      <c r="A1218" s="7">
        <v>23050009</v>
      </c>
      <c r="B1218" s="8" t="s">
        <v>490</v>
      </c>
    </row>
    <row r="1219" spans="1:2" ht="14.25" customHeight="1">
      <c r="A1219" s="7">
        <v>33050001</v>
      </c>
      <c r="B1219" s="8" t="s">
        <v>490</v>
      </c>
    </row>
    <row r="1220" spans="1:2" ht="14.25" customHeight="1">
      <c r="A1220" s="7">
        <v>61521021</v>
      </c>
      <c r="B1220" s="8" t="s">
        <v>490</v>
      </c>
    </row>
    <row r="1221" spans="1:2" ht="14.25" customHeight="1">
      <c r="A1221" s="7">
        <v>61521022</v>
      </c>
      <c r="B1221" s="8" t="s">
        <v>490</v>
      </c>
    </row>
    <row r="1222" spans="1:2" ht="14.25" customHeight="1">
      <c r="A1222" s="7">
        <v>61521024</v>
      </c>
      <c r="B1222" s="8" t="s">
        <v>490</v>
      </c>
    </row>
    <row r="1223" spans="1:2" ht="14.25" customHeight="1">
      <c r="A1223" s="7">
        <v>61521029</v>
      </c>
      <c r="B1223" s="8" t="s">
        <v>490</v>
      </c>
    </row>
    <row r="1224" spans="1:2" ht="14.25" customHeight="1">
      <c r="A1224" s="7">
        <v>61521049</v>
      </c>
      <c r="B1224" s="8" t="s">
        <v>490</v>
      </c>
    </row>
    <row r="1225" spans="1:2" ht="14.25" customHeight="1">
      <c r="A1225" s="7">
        <v>61521088</v>
      </c>
      <c r="B1225" s="8" t="s">
        <v>490</v>
      </c>
    </row>
    <row r="1226" spans="1:2" ht="14.25" customHeight="1">
      <c r="A1226" s="7">
        <v>61521090</v>
      </c>
      <c r="B1226" s="8" t="s">
        <v>490</v>
      </c>
    </row>
    <row r="1227" spans="1:2" ht="14.25" customHeight="1">
      <c r="A1227" s="7">
        <v>61521091</v>
      </c>
      <c r="B1227" s="8" t="s">
        <v>490</v>
      </c>
    </row>
    <row r="1228" spans="1:2" ht="14.25" customHeight="1">
      <c r="A1228" s="7">
        <v>61524006</v>
      </c>
      <c r="B1228" s="8" t="s">
        <v>490</v>
      </c>
    </row>
    <row r="1229" spans="1:2" ht="14.25" customHeight="1">
      <c r="A1229" s="7">
        <v>1732217</v>
      </c>
      <c r="B1229" s="8" t="s">
        <v>891</v>
      </c>
    </row>
    <row r="1230" spans="1:2" ht="14.25" customHeight="1">
      <c r="A1230" s="7">
        <v>1732218</v>
      </c>
      <c r="B1230" s="8" t="s">
        <v>891</v>
      </c>
    </row>
    <row r="1231" spans="1:2" ht="14.25" customHeight="1">
      <c r="A1231" s="7">
        <v>1732219</v>
      </c>
      <c r="B1231" s="8" t="s">
        <v>891</v>
      </c>
    </row>
    <row r="1232" spans="1:2" ht="14.25" customHeight="1">
      <c r="A1232" s="7">
        <v>1732220</v>
      </c>
      <c r="B1232" s="8" t="s">
        <v>891</v>
      </c>
    </row>
    <row r="1233" spans="1:2" ht="14.25" customHeight="1">
      <c r="A1233" s="7">
        <v>1732221</v>
      </c>
      <c r="B1233" s="8" t="s">
        <v>891</v>
      </c>
    </row>
    <row r="1234" spans="1:2" ht="14.25" customHeight="1">
      <c r="A1234" s="7">
        <v>1732256</v>
      </c>
      <c r="B1234" s="8" t="s">
        <v>891</v>
      </c>
    </row>
    <row r="1235" spans="1:2" ht="14.25" customHeight="1">
      <c r="A1235" s="7">
        <v>4173047</v>
      </c>
      <c r="B1235" s="8" t="s">
        <v>892</v>
      </c>
    </row>
    <row r="1236" spans="1:2" ht="14.25" customHeight="1">
      <c r="A1236" s="7">
        <v>41519032</v>
      </c>
      <c r="B1236" s="8" t="s">
        <v>893</v>
      </c>
    </row>
    <row r="1237" spans="1:2" ht="14.25" customHeight="1">
      <c r="A1237" s="7">
        <v>41519033</v>
      </c>
      <c r="B1237" s="8" t="s">
        <v>893</v>
      </c>
    </row>
    <row r="1238" spans="1:2" ht="14.25" customHeight="1">
      <c r="A1238" s="7">
        <v>41522038</v>
      </c>
      <c r="B1238" s="8" t="s">
        <v>893</v>
      </c>
    </row>
    <row r="1239" spans="1:2" ht="14.25" customHeight="1">
      <c r="A1239" s="7">
        <v>81521064</v>
      </c>
      <c r="B1239" s="8" t="s">
        <v>894</v>
      </c>
    </row>
    <row r="1240" spans="1:2" ht="14.25" customHeight="1">
      <c r="A1240" s="7">
        <v>81521066</v>
      </c>
      <c r="B1240" s="8" t="s">
        <v>894</v>
      </c>
    </row>
    <row r="1241" spans="1:2" ht="14.25" customHeight="1">
      <c r="A1241" s="7">
        <v>81521067</v>
      </c>
      <c r="B1241" s="8" t="s">
        <v>894</v>
      </c>
    </row>
    <row r="1242" spans="1:2" ht="14.25" customHeight="1">
      <c r="A1242" s="7">
        <v>81521068</v>
      </c>
      <c r="B1242" s="8" t="s">
        <v>894</v>
      </c>
    </row>
    <row r="1243" spans="1:2" ht="14.25" customHeight="1">
      <c r="A1243" s="7">
        <v>81521069</v>
      </c>
      <c r="B1243" s="8" t="s">
        <v>894</v>
      </c>
    </row>
    <row r="1244" spans="1:2" ht="14.25" customHeight="1">
      <c r="A1244" s="7">
        <v>81521070</v>
      </c>
      <c r="B1244" s="8" t="s">
        <v>894</v>
      </c>
    </row>
    <row r="1245" spans="1:2" ht="14.25" customHeight="1">
      <c r="A1245" s="7">
        <v>81521296</v>
      </c>
      <c r="B1245" s="8" t="s">
        <v>895</v>
      </c>
    </row>
    <row r="1246" spans="1:2" ht="14.25" customHeight="1">
      <c r="A1246" s="7">
        <v>81521297</v>
      </c>
      <c r="B1246" s="8" t="s">
        <v>895</v>
      </c>
    </row>
    <row r="1247" spans="1:2" ht="14.25" customHeight="1">
      <c r="A1247" s="7">
        <v>81520086</v>
      </c>
      <c r="B1247" s="8" t="s">
        <v>896</v>
      </c>
    </row>
    <row r="1248" spans="1:2" ht="14.25" customHeight="1">
      <c r="A1248" s="7">
        <v>8173608</v>
      </c>
      <c r="B1248" s="8" t="s">
        <v>897</v>
      </c>
    </row>
    <row r="1249" spans="1:2" ht="14.25" customHeight="1">
      <c r="A1249" s="7">
        <v>81522081</v>
      </c>
      <c r="B1249" s="8" t="s">
        <v>897</v>
      </c>
    </row>
    <row r="1250" spans="1:2" ht="14.25" customHeight="1">
      <c r="A1250" s="7">
        <v>8173187</v>
      </c>
      <c r="B1250" s="8" t="s">
        <v>898</v>
      </c>
    </row>
    <row r="1251" spans="1:2" ht="14.25" customHeight="1">
      <c r="A1251" s="7">
        <v>8173169</v>
      </c>
      <c r="B1251" s="8" t="s">
        <v>899</v>
      </c>
    </row>
    <row r="1252" spans="1:2" ht="14.25" customHeight="1">
      <c r="A1252" s="7">
        <v>8181027</v>
      </c>
      <c r="B1252" s="8" t="s">
        <v>899</v>
      </c>
    </row>
    <row r="1253" spans="1:2" ht="14.25" customHeight="1">
      <c r="A1253" s="7">
        <v>8181032</v>
      </c>
      <c r="B1253" s="8" t="s">
        <v>899</v>
      </c>
    </row>
    <row r="1254" spans="1:2" ht="14.25" customHeight="1">
      <c r="A1254" s="7">
        <v>81521510</v>
      </c>
      <c r="B1254" s="8" t="s">
        <v>900</v>
      </c>
    </row>
    <row r="1255" spans="1:2" ht="14.25" customHeight="1">
      <c r="A1255" s="7">
        <v>81519219</v>
      </c>
      <c r="B1255" s="8" t="s">
        <v>901</v>
      </c>
    </row>
    <row r="1256" spans="1:2" ht="14.25" customHeight="1">
      <c r="A1256" s="7">
        <v>81521315</v>
      </c>
      <c r="B1256" s="8" t="s">
        <v>901</v>
      </c>
    </row>
    <row r="1257" spans="1:2" ht="14.25" customHeight="1">
      <c r="A1257" s="7">
        <v>81521316</v>
      </c>
      <c r="B1257" s="8" t="s">
        <v>901</v>
      </c>
    </row>
    <row r="1258" spans="1:2" ht="14.25" customHeight="1">
      <c r="A1258" s="7">
        <v>81521317</v>
      </c>
      <c r="B1258" s="8" t="s">
        <v>901</v>
      </c>
    </row>
    <row r="1259" spans="1:2" ht="14.25" customHeight="1">
      <c r="A1259" s="7">
        <v>81521294</v>
      </c>
      <c r="B1259" s="8" t="s">
        <v>902</v>
      </c>
    </row>
    <row r="1260" spans="1:2" ht="14.25" customHeight="1">
      <c r="A1260" s="7">
        <v>81521331</v>
      </c>
      <c r="B1260" s="8" t="s">
        <v>902</v>
      </c>
    </row>
    <row r="1261" spans="1:2" ht="14.25" customHeight="1">
      <c r="A1261" s="7">
        <v>81521332</v>
      </c>
      <c r="B1261" s="8" t="s">
        <v>902</v>
      </c>
    </row>
    <row r="1262" spans="1:2" ht="14.25" customHeight="1">
      <c r="A1262" s="7">
        <v>81521334</v>
      </c>
      <c r="B1262" s="8" t="s">
        <v>902</v>
      </c>
    </row>
    <row r="1263" spans="1:2" ht="14.25" customHeight="1">
      <c r="A1263" s="7">
        <v>81521335</v>
      </c>
      <c r="B1263" s="8" t="s">
        <v>902</v>
      </c>
    </row>
    <row r="1264" spans="1:2" ht="14.25" customHeight="1">
      <c r="A1264" s="7">
        <v>17320832</v>
      </c>
      <c r="B1264" s="8" t="s">
        <v>903</v>
      </c>
    </row>
    <row r="1265" spans="1:2" ht="14.25" customHeight="1">
      <c r="A1265" s="7">
        <v>17320833</v>
      </c>
      <c r="B1265" s="8" t="s">
        <v>903</v>
      </c>
    </row>
    <row r="1266" spans="1:2" ht="14.25" customHeight="1">
      <c r="A1266" s="7">
        <v>17320834</v>
      </c>
      <c r="B1266" s="8" t="s">
        <v>903</v>
      </c>
    </row>
    <row r="1267" spans="1:2" ht="14.25" customHeight="1">
      <c r="A1267" s="7">
        <v>17320835</v>
      </c>
      <c r="B1267" s="8" t="s">
        <v>903</v>
      </c>
    </row>
    <row r="1268" spans="1:2" ht="14.25" customHeight="1">
      <c r="A1268" s="7">
        <v>17320836</v>
      </c>
      <c r="B1268" s="8" t="s">
        <v>903</v>
      </c>
    </row>
    <row r="1269" spans="1:2" ht="14.25" customHeight="1">
      <c r="A1269" s="7">
        <v>17320837</v>
      </c>
      <c r="B1269" s="8" t="s">
        <v>903</v>
      </c>
    </row>
    <row r="1270" spans="1:2" ht="14.25" customHeight="1">
      <c r="A1270" s="7">
        <v>8173283</v>
      </c>
      <c r="B1270" s="8" t="s">
        <v>904</v>
      </c>
    </row>
    <row r="1271" spans="1:2" ht="14.25" customHeight="1">
      <c r="A1271" s="7">
        <v>8173188</v>
      </c>
      <c r="B1271" s="8" t="s">
        <v>905</v>
      </c>
    </row>
    <row r="1272" spans="1:2" ht="14.25" customHeight="1">
      <c r="A1272" s="7">
        <v>8173157</v>
      </c>
      <c r="B1272" s="8" t="s">
        <v>906</v>
      </c>
    </row>
    <row r="1273" spans="1:2" ht="14.25" customHeight="1">
      <c r="A1273" s="7">
        <v>8173151</v>
      </c>
      <c r="B1273" s="8" t="s">
        <v>907</v>
      </c>
    </row>
    <row r="1274" spans="1:2" ht="14.25" customHeight="1">
      <c r="A1274" s="7">
        <v>8173178</v>
      </c>
      <c r="B1274" s="8" t="s">
        <v>907</v>
      </c>
    </row>
    <row r="1275" spans="1:2" ht="14.25" customHeight="1">
      <c r="A1275" s="7">
        <v>81521320</v>
      </c>
      <c r="B1275" s="8" t="s">
        <v>908</v>
      </c>
    </row>
    <row r="1276" spans="1:2" ht="14.25" customHeight="1">
      <c r="A1276" s="7">
        <v>81521321</v>
      </c>
      <c r="B1276" s="8" t="s">
        <v>908</v>
      </c>
    </row>
    <row r="1277" spans="1:2" ht="14.25" customHeight="1">
      <c r="A1277" s="7">
        <v>81521324</v>
      </c>
      <c r="B1277" s="8" t="s">
        <v>908</v>
      </c>
    </row>
    <row r="1278" spans="1:2" ht="14.25" customHeight="1">
      <c r="A1278" s="7">
        <v>81519196</v>
      </c>
      <c r="B1278" s="8" t="s">
        <v>909</v>
      </c>
    </row>
    <row r="1279" spans="1:2" ht="14.25" customHeight="1">
      <c r="A1279" s="7">
        <v>81519197</v>
      </c>
      <c r="B1279" s="8" t="s">
        <v>909</v>
      </c>
    </row>
    <row r="1280" spans="1:2" ht="14.25" customHeight="1">
      <c r="A1280" s="7">
        <v>81521015</v>
      </c>
      <c r="B1280" s="8" t="s">
        <v>910</v>
      </c>
    </row>
    <row r="1281" spans="1:2" ht="14.25" customHeight="1">
      <c r="A1281" s="7">
        <v>81521024</v>
      </c>
      <c r="B1281" s="8" t="s">
        <v>910</v>
      </c>
    </row>
    <row r="1282" spans="1:2" ht="14.25" customHeight="1">
      <c r="A1282" s="7">
        <v>81521026</v>
      </c>
      <c r="B1282" s="8" t="s">
        <v>910</v>
      </c>
    </row>
    <row r="1283" spans="1:2" ht="14.25" customHeight="1">
      <c r="A1283" s="7">
        <v>81521027</v>
      </c>
      <c r="B1283" s="8" t="s">
        <v>910</v>
      </c>
    </row>
    <row r="1284" spans="1:2" ht="14.25" customHeight="1">
      <c r="A1284" s="7">
        <v>81521030</v>
      </c>
      <c r="B1284" s="8" t="s">
        <v>910</v>
      </c>
    </row>
    <row r="1285" spans="1:2" ht="14.25" customHeight="1">
      <c r="A1285" s="7">
        <v>81521031</v>
      </c>
      <c r="B1285" s="8" t="s">
        <v>910</v>
      </c>
    </row>
    <row r="1286" spans="1:2" ht="14.25" customHeight="1">
      <c r="A1286" s="7">
        <v>81521032</v>
      </c>
      <c r="B1286" s="8" t="s">
        <v>910</v>
      </c>
    </row>
    <row r="1287" spans="1:2" ht="14.25" customHeight="1">
      <c r="A1287" s="7">
        <v>81521033</v>
      </c>
      <c r="B1287" s="8" t="s">
        <v>910</v>
      </c>
    </row>
    <row r="1288" spans="1:2" ht="14.25" customHeight="1">
      <c r="A1288" s="7">
        <v>81521034</v>
      </c>
      <c r="B1288" s="8" t="s">
        <v>910</v>
      </c>
    </row>
    <row r="1289" spans="1:2" ht="14.25" customHeight="1">
      <c r="A1289" s="7">
        <v>81521035</v>
      </c>
      <c r="B1289" s="8" t="s">
        <v>910</v>
      </c>
    </row>
    <row r="1290" spans="1:2" ht="14.25" customHeight="1">
      <c r="A1290" s="7">
        <v>81521036</v>
      </c>
      <c r="B1290" s="8" t="s">
        <v>910</v>
      </c>
    </row>
    <row r="1291" spans="1:2" ht="14.25" customHeight="1">
      <c r="A1291" s="7">
        <v>81521037</v>
      </c>
      <c r="B1291" s="8" t="s">
        <v>910</v>
      </c>
    </row>
    <row r="1292" spans="1:2" ht="14.25" customHeight="1">
      <c r="A1292" s="7">
        <v>81521038</v>
      </c>
      <c r="B1292" s="8" t="s">
        <v>910</v>
      </c>
    </row>
    <row r="1293" spans="1:2" ht="14.25" customHeight="1">
      <c r="A1293" s="7">
        <v>81521039</v>
      </c>
      <c r="B1293" s="8" t="s">
        <v>910</v>
      </c>
    </row>
    <row r="1294" spans="1:2" ht="14.25" customHeight="1">
      <c r="A1294" s="7">
        <v>81521040</v>
      </c>
      <c r="B1294" s="8" t="s">
        <v>910</v>
      </c>
    </row>
    <row r="1295" spans="1:2" ht="14.25" customHeight="1">
      <c r="A1295" s="7">
        <v>81521041</v>
      </c>
      <c r="B1295" s="8" t="s">
        <v>910</v>
      </c>
    </row>
    <row r="1296" spans="1:2" ht="14.25" customHeight="1">
      <c r="A1296" s="7">
        <v>81521042</v>
      </c>
      <c r="B1296" s="8" t="s">
        <v>910</v>
      </c>
    </row>
    <row r="1297" spans="1:2" ht="14.25" customHeight="1">
      <c r="A1297" s="7">
        <v>81521043</v>
      </c>
      <c r="B1297" s="8" t="s">
        <v>910</v>
      </c>
    </row>
    <row r="1298" spans="1:2" ht="14.25" customHeight="1">
      <c r="A1298" s="7">
        <v>81521044</v>
      </c>
      <c r="B1298" s="8" t="s">
        <v>910</v>
      </c>
    </row>
    <row r="1299" spans="1:2" ht="14.25" customHeight="1">
      <c r="A1299" s="7">
        <v>81521045</v>
      </c>
      <c r="B1299" s="8" t="s">
        <v>910</v>
      </c>
    </row>
    <row r="1300" spans="1:2" ht="14.25" customHeight="1">
      <c r="A1300" s="7">
        <v>25530033</v>
      </c>
      <c r="B1300" s="8" t="s">
        <v>911</v>
      </c>
    </row>
    <row r="1301" spans="1:2" ht="14.25" customHeight="1">
      <c r="A1301" s="7">
        <v>25530034</v>
      </c>
      <c r="B1301" s="8" t="s">
        <v>911</v>
      </c>
    </row>
    <row r="1302" spans="1:2" ht="14.25" customHeight="1">
      <c r="A1302" s="7">
        <v>25530035</v>
      </c>
      <c r="B1302" s="8" t="s">
        <v>911</v>
      </c>
    </row>
    <row r="1303" spans="1:2" ht="14.25" customHeight="1">
      <c r="A1303" s="7">
        <v>25530036</v>
      </c>
      <c r="B1303" s="8" t="s">
        <v>911</v>
      </c>
    </row>
    <row r="1304" spans="1:2" ht="14.25" customHeight="1">
      <c r="A1304" s="7">
        <v>25530037</v>
      </c>
      <c r="B1304" s="8" t="s">
        <v>911</v>
      </c>
    </row>
    <row r="1305" spans="1:2" ht="14.25" customHeight="1">
      <c r="A1305" s="7">
        <v>25530038</v>
      </c>
      <c r="B1305" s="8" t="s">
        <v>911</v>
      </c>
    </row>
    <row r="1306" spans="1:2" ht="14.25" customHeight="1">
      <c r="A1306" s="7">
        <v>25530039</v>
      </c>
      <c r="B1306" s="8" t="s">
        <v>911</v>
      </c>
    </row>
    <row r="1307" spans="1:2" ht="14.25" customHeight="1">
      <c r="A1307" s="7">
        <v>25530040</v>
      </c>
      <c r="B1307" s="8" t="s">
        <v>911</v>
      </c>
    </row>
    <row r="1308" spans="1:2" ht="14.25" customHeight="1">
      <c r="A1308" s="7">
        <v>25530041</v>
      </c>
      <c r="B1308" s="8" t="s">
        <v>911</v>
      </c>
    </row>
    <row r="1309" spans="1:2" ht="14.25" customHeight="1">
      <c r="A1309" s="7">
        <v>25530042</v>
      </c>
      <c r="B1309" s="8" t="s">
        <v>911</v>
      </c>
    </row>
    <row r="1310" spans="1:2" ht="14.25" customHeight="1">
      <c r="A1310" s="7">
        <v>25530043</v>
      </c>
      <c r="B1310" s="8" t="s">
        <v>911</v>
      </c>
    </row>
    <row r="1311" spans="1:2" ht="14.25" customHeight="1">
      <c r="A1311" s="7">
        <v>25530044</v>
      </c>
      <c r="B1311" s="8" t="s">
        <v>911</v>
      </c>
    </row>
    <row r="1312" spans="1:2" ht="14.25" customHeight="1">
      <c r="A1312" s="7">
        <v>25530045</v>
      </c>
      <c r="B1312" s="8" t="s">
        <v>911</v>
      </c>
    </row>
    <row r="1313" spans="1:2" ht="14.25" customHeight="1">
      <c r="A1313" s="7">
        <v>25530046</v>
      </c>
      <c r="B1313" s="8" t="s">
        <v>911</v>
      </c>
    </row>
    <row r="1314" spans="1:2" ht="14.25" customHeight="1">
      <c r="A1314" s="7">
        <v>25530047</v>
      </c>
      <c r="B1314" s="8" t="s">
        <v>911</v>
      </c>
    </row>
    <row r="1315" spans="1:2" ht="14.25" customHeight="1">
      <c r="A1315" s="7">
        <v>25530048</v>
      </c>
      <c r="B1315" s="8" t="s">
        <v>911</v>
      </c>
    </row>
    <row r="1316" spans="1:2" ht="14.25" customHeight="1">
      <c r="A1316" s="7">
        <v>25530049</v>
      </c>
      <c r="B1316" s="8" t="s">
        <v>911</v>
      </c>
    </row>
    <row r="1317" spans="1:2" ht="14.25" customHeight="1">
      <c r="A1317" s="7">
        <v>25530050</v>
      </c>
      <c r="B1317" s="8" t="s">
        <v>911</v>
      </c>
    </row>
    <row r="1318" spans="1:2" ht="14.25" customHeight="1">
      <c r="A1318" s="7">
        <v>25530051</v>
      </c>
      <c r="B1318" s="8" t="s">
        <v>911</v>
      </c>
    </row>
    <row r="1319" spans="1:2" ht="14.25" customHeight="1">
      <c r="A1319" s="7">
        <v>25530052</v>
      </c>
      <c r="B1319" s="8" t="s">
        <v>911</v>
      </c>
    </row>
    <row r="1320" spans="1:2" ht="14.25" customHeight="1">
      <c r="A1320" s="7">
        <v>25530053</v>
      </c>
      <c r="B1320" s="8" t="s">
        <v>911</v>
      </c>
    </row>
    <row r="1321" spans="1:2" ht="14.25" customHeight="1">
      <c r="A1321" s="7">
        <v>25530054</v>
      </c>
      <c r="B1321" s="8" t="s">
        <v>911</v>
      </c>
    </row>
    <row r="1322" spans="1:2" ht="14.25" customHeight="1">
      <c r="A1322" s="7">
        <v>25530055</v>
      </c>
      <c r="B1322" s="8" t="s">
        <v>911</v>
      </c>
    </row>
    <row r="1323" spans="1:2" ht="14.25" customHeight="1">
      <c r="A1323" s="7">
        <v>25530056</v>
      </c>
      <c r="B1323" s="8" t="s">
        <v>911</v>
      </c>
    </row>
    <row r="1324" spans="1:2" ht="14.25" customHeight="1">
      <c r="A1324" s="7">
        <v>25530057</v>
      </c>
      <c r="B1324" s="8" t="s">
        <v>911</v>
      </c>
    </row>
    <row r="1325" spans="1:2" ht="14.25" customHeight="1">
      <c r="A1325" s="7">
        <v>25530058</v>
      </c>
      <c r="B1325" s="8" t="s">
        <v>911</v>
      </c>
    </row>
    <row r="1326" spans="1:2" ht="14.25" customHeight="1">
      <c r="A1326" s="7">
        <v>25530059</v>
      </c>
      <c r="B1326" s="8" t="s">
        <v>911</v>
      </c>
    </row>
    <row r="1327" spans="1:2" ht="14.25" customHeight="1">
      <c r="A1327" s="7">
        <v>8151902</v>
      </c>
      <c r="B1327" s="8" t="s">
        <v>912</v>
      </c>
    </row>
    <row r="1328" spans="1:2" ht="14.25" customHeight="1">
      <c r="A1328" s="7">
        <v>8151908</v>
      </c>
      <c r="B1328" s="8" t="s">
        <v>912</v>
      </c>
    </row>
    <row r="1329" spans="1:2" ht="14.25" customHeight="1">
      <c r="A1329" s="7">
        <v>81519150</v>
      </c>
      <c r="B1329" s="8" t="s">
        <v>912</v>
      </c>
    </row>
    <row r="1330" spans="1:2" ht="14.25" customHeight="1">
      <c r="A1330" s="7">
        <v>81519151</v>
      </c>
      <c r="B1330" s="8" t="s">
        <v>912</v>
      </c>
    </row>
    <row r="1331" spans="1:2" ht="14.25" customHeight="1">
      <c r="A1331" s="7">
        <v>81521345</v>
      </c>
      <c r="B1331" s="8" t="s">
        <v>912</v>
      </c>
    </row>
    <row r="1332" spans="1:2" ht="14.25" customHeight="1">
      <c r="A1332" s="7">
        <v>81521346</v>
      </c>
      <c r="B1332" s="8" t="s">
        <v>912</v>
      </c>
    </row>
    <row r="1333" spans="1:2" ht="14.25" customHeight="1">
      <c r="A1333" s="7">
        <v>81521352</v>
      </c>
      <c r="B1333" s="8" t="s">
        <v>912</v>
      </c>
    </row>
    <row r="1334" spans="1:2" ht="14.25" customHeight="1">
      <c r="A1334" s="7">
        <v>81521353</v>
      </c>
      <c r="B1334" s="8" t="s">
        <v>912</v>
      </c>
    </row>
    <row r="1335" spans="1:2" ht="14.25" customHeight="1">
      <c r="A1335" s="7">
        <v>81521354</v>
      </c>
      <c r="B1335" s="8" t="s">
        <v>912</v>
      </c>
    </row>
    <row r="1336" spans="1:2" ht="14.25" customHeight="1">
      <c r="A1336" s="7">
        <v>81521355</v>
      </c>
      <c r="B1336" s="8" t="s">
        <v>912</v>
      </c>
    </row>
    <row r="1337" spans="1:2" ht="14.25" customHeight="1">
      <c r="A1337" s="7">
        <v>81521356</v>
      </c>
      <c r="B1337" s="8" t="s">
        <v>912</v>
      </c>
    </row>
    <row r="1338" spans="1:2" ht="14.25" customHeight="1">
      <c r="A1338" s="7">
        <v>81521357</v>
      </c>
      <c r="B1338" s="8" t="s">
        <v>912</v>
      </c>
    </row>
    <row r="1339" spans="1:2" ht="14.25" customHeight="1">
      <c r="A1339" s="7">
        <v>81521358</v>
      </c>
      <c r="B1339" s="8" t="s">
        <v>912</v>
      </c>
    </row>
    <row r="1340" spans="1:2" ht="14.25" customHeight="1">
      <c r="A1340" s="7">
        <v>81521359</v>
      </c>
      <c r="B1340" s="8" t="s">
        <v>912</v>
      </c>
    </row>
    <row r="1341" spans="1:2" ht="14.25" customHeight="1">
      <c r="A1341" s="7">
        <v>81521360</v>
      </c>
      <c r="B1341" s="8" t="s">
        <v>912</v>
      </c>
    </row>
    <row r="1342" spans="1:2" ht="14.25" customHeight="1">
      <c r="A1342" s="7">
        <v>81521361</v>
      </c>
      <c r="B1342" s="8" t="s">
        <v>912</v>
      </c>
    </row>
    <row r="1343" spans="1:2" ht="14.25" customHeight="1">
      <c r="A1343" s="7">
        <v>81521362</v>
      </c>
      <c r="B1343" s="8" t="s">
        <v>912</v>
      </c>
    </row>
    <row r="1344" spans="1:2" ht="14.25" customHeight="1">
      <c r="A1344" s="7">
        <v>81521363</v>
      </c>
      <c r="B1344" s="8" t="s">
        <v>912</v>
      </c>
    </row>
    <row r="1345" spans="1:2" ht="14.25" customHeight="1">
      <c r="A1345" s="7">
        <v>81521364</v>
      </c>
      <c r="B1345" s="8" t="s">
        <v>912</v>
      </c>
    </row>
    <row r="1346" spans="1:2" ht="14.25" customHeight="1">
      <c r="A1346" s="7">
        <v>81521365</v>
      </c>
      <c r="B1346" s="8" t="s">
        <v>912</v>
      </c>
    </row>
    <row r="1347" spans="1:2" ht="14.25" customHeight="1">
      <c r="A1347" s="7">
        <v>81521366</v>
      </c>
      <c r="B1347" s="8" t="s">
        <v>912</v>
      </c>
    </row>
    <row r="1348" spans="1:2" ht="14.25" customHeight="1">
      <c r="A1348" s="7">
        <v>81521367</v>
      </c>
      <c r="B1348" s="8" t="s">
        <v>912</v>
      </c>
    </row>
    <row r="1349" spans="1:2" ht="14.25" customHeight="1">
      <c r="A1349" s="7">
        <v>81521368</v>
      </c>
      <c r="B1349" s="8" t="s">
        <v>912</v>
      </c>
    </row>
    <row r="1350" spans="1:2" ht="14.25" customHeight="1">
      <c r="A1350" s="7">
        <v>81521369</v>
      </c>
      <c r="B1350" s="8" t="s">
        <v>912</v>
      </c>
    </row>
    <row r="1351" spans="1:2" ht="14.25" customHeight="1">
      <c r="A1351" s="7">
        <v>81521370</v>
      </c>
      <c r="B1351" s="8" t="s">
        <v>912</v>
      </c>
    </row>
    <row r="1352" spans="1:2" ht="14.25" customHeight="1">
      <c r="A1352" s="7">
        <v>81521371</v>
      </c>
      <c r="B1352" s="8" t="s">
        <v>912</v>
      </c>
    </row>
    <row r="1353" spans="1:2" ht="14.25" customHeight="1">
      <c r="A1353" s="7">
        <v>81521372</v>
      </c>
      <c r="B1353" s="8" t="s">
        <v>912</v>
      </c>
    </row>
    <row r="1354" spans="1:2" ht="14.25" customHeight="1">
      <c r="A1354" s="7">
        <v>81521373</v>
      </c>
      <c r="B1354" s="8" t="s">
        <v>912</v>
      </c>
    </row>
    <row r="1355" spans="1:2" ht="14.25" customHeight="1">
      <c r="A1355" s="7">
        <v>81521374</v>
      </c>
      <c r="B1355" s="8" t="s">
        <v>912</v>
      </c>
    </row>
    <row r="1356" spans="1:2" ht="14.25" customHeight="1">
      <c r="A1356" s="7">
        <v>81521375</v>
      </c>
      <c r="B1356" s="8" t="s">
        <v>912</v>
      </c>
    </row>
    <row r="1357" spans="1:2" ht="14.25" customHeight="1">
      <c r="A1357" s="7">
        <v>81521376</v>
      </c>
      <c r="B1357" s="8" t="s">
        <v>912</v>
      </c>
    </row>
    <row r="1358" spans="1:2" ht="14.25" customHeight="1">
      <c r="A1358" s="7">
        <v>81521377</v>
      </c>
      <c r="B1358" s="8" t="s">
        <v>912</v>
      </c>
    </row>
    <row r="1359" spans="1:2" ht="14.25" customHeight="1">
      <c r="A1359" s="7">
        <v>81521093</v>
      </c>
      <c r="B1359" s="8" t="s">
        <v>913</v>
      </c>
    </row>
    <row r="1360" spans="1:2" ht="14.25" customHeight="1">
      <c r="A1360" s="7">
        <v>33260001</v>
      </c>
      <c r="B1360" s="8" t="s">
        <v>914</v>
      </c>
    </row>
    <row r="1361" spans="1:2" ht="14.25" customHeight="1">
      <c r="A1361" s="7">
        <v>23260001</v>
      </c>
      <c r="B1361" s="8" t="s">
        <v>915</v>
      </c>
    </row>
    <row r="1362" spans="1:2" ht="14.25" customHeight="1">
      <c r="A1362" s="7">
        <v>15770015</v>
      </c>
      <c r="B1362" s="8" t="s">
        <v>916</v>
      </c>
    </row>
    <row r="1363" spans="1:2" ht="14.25" customHeight="1">
      <c r="A1363" s="7">
        <v>15770018</v>
      </c>
      <c r="B1363" s="8" t="s">
        <v>916</v>
      </c>
    </row>
    <row r="1364" spans="1:2" ht="14.25" customHeight="1">
      <c r="A1364" s="7">
        <v>15770019</v>
      </c>
      <c r="B1364" s="8" t="s">
        <v>916</v>
      </c>
    </row>
    <row r="1365" spans="1:2" ht="14.25" customHeight="1">
      <c r="A1365" s="7">
        <v>15770023</v>
      </c>
      <c r="B1365" s="8" t="s">
        <v>916</v>
      </c>
    </row>
    <row r="1366" spans="1:2" ht="14.25" customHeight="1">
      <c r="A1366" s="7">
        <v>15770024</v>
      </c>
      <c r="B1366" s="8" t="s">
        <v>916</v>
      </c>
    </row>
    <row r="1367" spans="1:2" ht="14.25" customHeight="1">
      <c r="A1367" s="7">
        <v>15770028</v>
      </c>
      <c r="B1367" s="8" t="s">
        <v>916</v>
      </c>
    </row>
    <row r="1368" spans="1:2" ht="14.25" customHeight="1">
      <c r="A1368" s="7">
        <v>15770029</v>
      </c>
      <c r="B1368" s="8" t="s">
        <v>916</v>
      </c>
    </row>
    <row r="1369" spans="1:2" ht="14.25" customHeight="1">
      <c r="A1369" s="7">
        <v>15770030</v>
      </c>
      <c r="B1369" s="8" t="s">
        <v>916</v>
      </c>
    </row>
    <row r="1370" spans="1:2" ht="14.25" customHeight="1">
      <c r="A1370" s="7">
        <v>15770031</v>
      </c>
      <c r="B1370" s="8" t="s">
        <v>916</v>
      </c>
    </row>
    <row r="1371" spans="1:2" ht="14.25" customHeight="1">
      <c r="A1371" s="7">
        <v>15770032</v>
      </c>
      <c r="B1371" s="8" t="s">
        <v>916</v>
      </c>
    </row>
    <row r="1372" spans="1:2" ht="14.25" customHeight="1">
      <c r="A1372" s="7">
        <v>15770033</v>
      </c>
      <c r="B1372" s="8" t="s">
        <v>916</v>
      </c>
    </row>
    <row r="1373" spans="1:2" ht="14.25" customHeight="1">
      <c r="A1373" s="7">
        <v>15770037</v>
      </c>
      <c r="B1373" s="8" t="s">
        <v>916</v>
      </c>
    </row>
    <row r="1374" spans="1:2" ht="14.25" customHeight="1">
      <c r="A1374" s="7">
        <v>15770038</v>
      </c>
      <c r="B1374" s="8" t="s">
        <v>916</v>
      </c>
    </row>
    <row r="1375" spans="1:2" ht="14.25" customHeight="1">
      <c r="A1375" s="7">
        <v>81521498</v>
      </c>
      <c r="B1375" s="8" t="s">
        <v>917</v>
      </c>
    </row>
    <row r="1376" spans="1:2" ht="14.25" customHeight="1">
      <c r="A1376" s="7">
        <v>17320829</v>
      </c>
      <c r="B1376" s="8" t="s">
        <v>918</v>
      </c>
    </row>
    <row r="1377" spans="1:2" ht="14.25" customHeight="1">
      <c r="A1377" s="7">
        <v>17320786</v>
      </c>
      <c r="B1377" s="8" t="s">
        <v>919</v>
      </c>
    </row>
    <row r="1378" spans="1:2" ht="14.25" customHeight="1">
      <c r="A1378" s="7">
        <v>8173370</v>
      </c>
      <c r="B1378" s="8" t="s">
        <v>920</v>
      </c>
    </row>
    <row r="1379" spans="1:2" ht="14.25" customHeight="1">
      <c r="A1379" s="7">
        <v>8173371</v>
      </c>
      <c r="B1379" s="8" t="s">
        <v>920</v>
      </c>
    </row>
    <row r="1380" spans="1:2" ht="14.25" customHeight="1">
      <c r="A1380" s="7">
        <v>8173372</v>
      </c>
      <c r="B1380" s="8" t="s">
        <v>920</v>
      </c>
    </row>
    <row r="1381" spans="1:2" ht="14.25" customHeight="1">
      <c r="A1381" s="7">
        <v>8173375</v>
      </c>
      <c r="B1381" s="8" t="s">
        <v>920</v>
      </c>
    </row>
    <row r="1382" spans="1:2" ht="14.25" customHeight="1">
      <c r="A1382" s="7">
        <v>8173598</v>
      </c>
      <c r="B1382" s="8" t="s">
        <v>920</v>
      </c>
    </row>
    <row r="1383" spans="1:2" ht="14.25" customHeight="1">
      <c r="A1383" s="7">
        <v>81521251</v>
      </c>
      <c r="B1383" s="8" t="s">
        <v>920</v>
      </c>
    </row>
    <row r="1384" spans="1:2" ht="14.25" customHeight="1">
      <c r="A1384" s="7">
        <v>81521098</v>
      </c>
      <c r="B1384" s="8" t="s">
        <v>921</v>
      </c>
    </row>
    <row r="1385" spans="1:2" ht="14.25" customHeight="1">
      <c r="A1385" s="7">
        <v>8173093</v>
      </c>
      <c r="B1385" s="8" t="s">
        <v>922</v>
      </c>
    </row>
    <row r="1386" spans="1:2" ht="14.25" customHeight="1">
      <c r="A1386" s="7">
        <v>1731643</v>
      </c>
      <c r="B1386" s="8" t="s">
        <v>923</v>
      </c>
    </row>
    <row r="1387" spans="1:2" ht="14.25" customHeight="1">
      <c r="A1387" s="7">
        <v>31521021</v>
      </c>
      <c r="B1387" s="8" t="s">
        <v>923</v>
      </c>
    </row>
    <row r="1388" spans="1:2" ht="14.25" customHeight="1">
      <c r="A1388" s="7">
        <v>31521023</v>
      </c>
      <c r="B1388" s="8" t="s">
        <v>923</v>
      </c>
    </row>
    <row r="1389" spans="1:2" ht="14.25" customHeight="1">
      <c r="A1389" s="7">
        <v>31521009</v>
      </c>
      <c r="B1389" s="8" t="s">
        <v>924</v>
      </c>
    </row>
    <row r="1390" spans="1:2" ht="14.25" customHeight="1">
      <c r="A1390" s="7">
        <v>31521010</v>
      </c>
      <c r="B1390" s="8" t="s">
        <v>924</v>
      </c>
    </row>
    <row r="1391" spans="1:2" ht="14.25" customHeight="1">
      <c r="A1391" s="7">
        <v>31521011</v>
      </c>
      <c r="B1391" s="8" t="s">
        <v>924</v>
      </c>
    </row>
    <row r="1392" spans="1:2" ht="14.25" customHeight="1">
      <c r="A1392" s="7">
        <v>31521012</v>
      </c>
      <c r="B1392" s="8" t="s">
        <v>924</v>
      </c>
    </row>
    <row r="1393" spans="1:2" ht="14.25" customHeight="1">
      <c r="A1393" s="7">
        <v>31521013</v>
      </c>
      <c r="B1393" s="8" t="s">
        <v>924</v>
      </c>
    </row>
    <row r="1394" spans="1:2" ht="14.25" customHeight="1">
      <c r="A1394" s="7">
        <v>31521014</v>
      </c>
      <c r="B1394" s="8" t="s">
        <v>924</v>
      </c>
    </row>
    <row r="1395" spans="1:2" ht="14.25" customHeight="1">
      <c r="A1395" s="7">
        <v>31521015</v>
      </c>
      <c r="B1395" s="8" t="s">
        <v>924</v>
      </c>
    </row>
    <row r="1396" spans="1:2" ht="14.25" customHeight="1">
      <c r="A1396" s="7">
        <v>31521016</v>
      </c>
      <c r="B1396" s="8" t="s">
        <v>924</v>
      </c>
    </row>
    <row r="1397" spans="1:2" ht="14.25" customHeight="1">
      <c r="A1397" s="7">
        <v>31521017</v>
      </c>
      <c r="B1397" s="8" t="s">
        <v>924</v>
      </c>
    </row>
    <row r="1398" spans="1:2" ht="14.25" customHeight="1">
      <c r="A1398" s="7">
        <v>31521018</v>
      </c>
      <c r="B1398" s="8" t="s">
        <v>924</v>
      </c>
    </row>
    <row r="1399" spans="1:2" ht="14.25" customHeight="1">
      <c r="A1399" s="7">
        <v>31521019</v>
      </c>
      <c r="B1399" s="8" t="s">
        <v>924</v>
      </c>
    </row>
    <row r="1400" spans="1:2" ht="14.25" customHeight="1">
      <c r="A1400" s="7">
        <v>31521020</v>
      </c>
      <c r="B1400" s="8" t="s">
        <v>924</v>
      </c>
    </row>
    <row r="1401" spans="1:2" ht="14.25" customHeight="1">
      <c r="A1401" s="7">
        <v>31521024</v>
      </c>
      <c r="B1401" s="8" t="s">
        <v>924</v>
      </c>
    </row>
    <row r="1402" spans="1:2" ht="14.25" customHeight="1">
      <c r="A1402" s="7">
        <v>31521025</v>
      </c>
      <c r="B1402" s="8" t="s">
        <v>924</v>
      </c>
    </row>
    <row r="1403" spans="1:2" ht="14.25" customHeight="1">
      <c r="A1403" s="7">
        <v>31521026</v>
      </c>
      <c r="B1403" s="8" t="s">
        <v>924</v>
      </c>
    </row>
    <row r="1404" spans="1:2" ht="14.25" customHeight="1">
      <c r="A1404" s="7">
        <v>31521027</v>
      </c>
      <c r="B1404" s="8" t="s">
        <v>924</v>
      </c>
    </row>
    <row r="1405" spans="1:2" ht="14.25" customHeight="1">
      <c r="A1405" s="7">
        <v>31521028</v>
      </c>
      <c r="B1405" s="8" t="s">
        <v>924</v>
      </c>
    </row>
    <row r="1406" spans="1:2" ht="14.25" customHeight="1">
      <c r="A1406" s="7">
        <v>31521029</v>
      </c>
      <c r="B1406" s="8" t="s">
        <v>924</v>
      </c>
    </row>
    <row r="1407" spans="1:2" ht="14.25" customHeight="1">
      <c r="A1407" s="7">
        <v>31521030</v>
      </c>
      <c r="B1407" s="8" t="s">
        <v>924</v>
      </c>
    </row>
    <row r="1408" spans="1:2" ht="14.25" customHeight="1">
      <c r="A1408" s="7">
        <v>31521031</v>
      </c>
      <c r="B1408" s="8" t="s">
        <v>924</v>
      </c>
    </row>
    <row r="1409" spans="1:2" ht="14.25" customHeight="1">
      <c r="A1409" s="7">
        <v>31521045</v>
      </c>
      <c r="B1409" s="8" t="s">
        <v>924</v>
      </c>
    </row>
    <row r="1410" spans="1:2" ht="14.25" customHeight="1">
      <c r="A1410" s="7">
        <v>31521046</v>
      </c>
      <c r="B1410" s="8" t="s">
        <v>924</v>
      </c>
    </row>
    <row r="1411" spans="1:2" ht="14.25" customHeight="1">
      <c r="A1411" s="7">
        <v>35005012</v>
      </c>
      <c r="B1411" s="8" t="s">
        <v>924</v>
      </c>
    </row>
    <row r="1412" spans="1:2" ht="14.25" customHeight="1">
      <c r="A1412" s="7">
        <v>35005014</v>
      </c>
      <c r="B1412" s="8" t="s">
        <v>924</v>
      </c>
    </row>
    <row r="1413" spans="1:2" ht="14.25" customHeight="1">
      <c r="A1413" s="7">
        <v>35005015</v>
      </c>
      <c r="B1413" s="8" t="s">
        <v>924</v>
      </c>
    </row>
    <row r="1414" spans="1:2" ht="14.25" customHeight="1">
      <c r="A1414" s="7">
        <v>35005016</v>
      </c>
      <c r="B1414" s="8" t="s">
        <v>924</v>
      </c>
    </row>
    <row r="1415" spans="1:2" ht="14.25" customHeight="1">
      <c r="A1415" s="7">
        <v>35009001</v>
      </c>
      <c r="B1415" s="8" t="s">
        <v>924</v>
      </c>
    </row>
    <row r="1416" spans="1:2" ht="14.25" customHeight="1">
      <c r="A1416" s="7">
        <v>3173040</v>
      </c>
      <c r="B1416" s="8" t="s">
        <v>925</v>
      </c>
    </row>
    <row r="1417" spans="1:2" ht="14.25" customHeight="1">
      <c r="A1417" s="7">
        <v>3173044</v>
      </c>
      <c r="B1417" s="8" t="s">
        <v>925</v>
      </c>
    </row>
    <row r="1418" spans="1:2" ht="14.25" customHeight="1">
      <c r="A1418" s="7">
        <v>3173046</v>
      </c>
      <c r="B1418" s="8" t="s">
        <v>925</v>
      </c>
    </row>
    <row r="1419" spans="1:2" ht="14.25" customHeight="1">
      <c r="A1419" s="7">
        <v>3173047</v>
      </c>
      <c r="B1419" s="8" t="s">
        <v>925</v>
      </c>
    </row>
    <row r="1420" spans="1:2" ht="14.25" customHeight="1">
      <c r="A1420" s="7">
        <v>35014004</v>
      </c>
      <c r="B1420" s="8" t="s">
        <v>925</v>
      </c>
    </row>
    <row r="1421" spans="1:2" ht="14.25" customHeight="1">
      <c r="A1421" s="7">
        <v>13130033</v>
      </c>
      <c r="B1421" s="8" t="s">
        <v>926</v>
      </c>
    </row>
    <row r="1422" spans="1:2" ht="14.25" customHeight="1">
      <c r="A1422" s="7">
        <v>13130034</v>
      </c>
      <c r="B1422" s="8" t="s">
        <v>926</v>
      </c>
    </row>
    <row r="1423" spans="1:2" ht="14.25" customHeight="1">
      <c r="A1423" s="7">
        <v>13130035</v>
      </c>
      <c r="B1423" s="8" t="s">
        <v>926</v>
      </c>
    </row>
    <row r="1424" spans="1:2" ht="14.25" customHeight="1">
      <c r="A1424" s="7">
        <v>13130036</v>
      </c>
      <c r="B1424" s="8" t="s">
        <v>926</v>
      </c>
    </row>
    <row r="1425" spans="1:2" ht="14.25" customHeight="1">
      <c r="A1425" s="7">
        <v>13130037</v>
      </c>
      <c r="B1425" s="8" t="s">
        <v>926</v>
      </c>
    </row>
    <row r="1426" spans="1:2" ht="14.25" customHeight="1">
      <c r="A1426" s="7">
        <v>13130044</v>
      </c>
      <c r="B1426" s="8" t="s">
        <v>926</v>
      </c>
    </row>
    <row r="1427" spans="1:2" ht="14.25" customHeight="1">
      <c r="A1427" s="7">
        <v>13130045</v>
      </c>
      <c r="B1427" s="8" t="s">
        <v>926</v>
      </c>
    </row>
    <row r="1428" spans="1:2" ht="14.25" customHeight="1">
      <c r="A1428" s="7">
        <v>13130046</v>
      </c>
      <c r="B1428" s="8" t="s">
        <v>926</v>
      </c>
    </row>
    <row r="1429" spans="1:2" ht="14.25" customHeight="1">
      <c r="A1429" s="7">
        <v>13130047</v>
      </c>
      <c r="B1429" s="8" t="s">
        <v>926</v>
      </c>
    </row>
    <row r="1430" spans="1:2" ht="14.25" customHeight="1">
      <c r="A1430" s="7">
        <v>43130001</v>
      </c>
      <c r="B1430" s="8" t="s">
        <v>927</v>
      </c>
    </row>
    <row r="1431" spans="1:2" ht="14.25" customHeight="1">
      <c r="A1431" s="7">
        <v>31521001</v>
      </c>
      <c r="B1431" s="8" t="s">
        <v>928</v>
      </c>
    </row>
    <row r="1432" spans="1:2" ht="14.25" customHeight="1">
      <c r="A1432" s="7">
        <v>8172156</v>
      </c>
      <c r="B1432" s="8" t="s">
        <v>929</v>
      </c>
    </row>
    <row r="1433" spans="1:2" ht="14.25" customHeight="1">
      <c r="A1433" s="7">
        <v>81521327</v>
      </c>
      <c r="B1433" s="8" t="s">
        <v>930</v>
      </c>
    </row>
    <row r="1434" spans="1:2" ht="14.25" customHeight="1">
      <c r="A1434" s="7">
        <v>12040001</v>
      </c>
      <c r="B1434" s="8" t="s">
        <v>931</v>
      </c>
    </row>
    <row r="1435" spans="1:2" ht="14.25" customHeight="1">
      <c r="A1435" s="7">
        <v>12040002</v>
      </c>
      <c r="B1435" s="8" t="s">
        <v>931</v>
      </c>
    </row>
    <row r="1436" spans="1:2" ht="14.25" customHeight="1">
      <c r="A1436" s="7">
        <v>21521022</v>
      </c>
      <c r="B1436" s="8" t="s">
        <v>931</v>
      </c>
    </row>
    <row r="1437" spans="1:2" ht="14.25" customHeight="1">
      <c r="A1437" s="7">
        <v>21521023</v>
      </c>
      <c r="B1437" s="8" t="s">
        <v>931</v>
      </c>
    </row>
    <row r="1438" spans="1:2" ht="14.25" customHeight="1">
      <c r="A1438" s="7">
        <v>21521031</v>
      </c>
      <c r="B1438" s="8" t="s">
        <v>931</v>
      </c>
    </row>
    <row r="1439" spans="1:2" ht="14.25" customHeight="1">
      <c r="A1439" s="7">
        <v>21521032</v>
      </c>
      <c r="B1439" s="8" t="s">
        <v>931</v>
      </c>
    </row>
    <row r="1440" spans="1:2" ht="14.25" customHeight="1">
      <c r="A1440" s="7">
        <v>21521036</v>
      </c>
      <c r="B1440" s="8" t="s">
        <v>931</v>
      </c>
    </row>
    <row r="1441" spans="1:2" ht="14.25" customHeight="1">
      <c r="A1441" s="7">
        <v>21521039</v>
      </c>
      <c r="B1441" s="8" t="s">
        <v>931</v>
      </c>
    </row>
    <row r="1442" spans="1:2" ht="14.25" customHeight="1">
      <c r="A1442" s="7">
        <v>25009003</v>
      </c>
      <c r="B1442" s="8" t="s">
        <v>931</v>
      </c>
    </row>
    <row r="1443" spans="1:2" ht="14.25" customHeight="1">
      <c r="A1443" s="7">
        <v>25010003</v>
      </c>
      <c r="B1443" s="8" t="s">
        <v>931</v>
      </c>
    </row>
    <row r="1444" spans="1:2" ht="14.25" customHeight="1">
      <c r="A1444" s="7">
        <v>85044030</v>
      </c>
      <c r="B1444" s="8" t="s">
        <v>931</v>
      </c>
    </row>
    <row r="1445" spans="1:2" ht="14.25" customHeight="1">
      <c r="A1445" s="7">
        <v>81521397</v>
      </c>
      <c r="B1445" s="8" t="s">
        <v>932</v>
      </c>
    </row>
    <row r="1446" spans="1:2" ht="14.25" customHeight="1">
      <c r="A1446" s="7">
        <v>15760723</v>
      </c>
      <c r="B1446" s="8" t="s">
        <v>933</v>
      </c>
    </row>
    <row r="1447" spans="1:2" ht="14.25" customHeight="1">
      <c r="A1447" s="7">
        <v>15760724</v>
      </c>
      <c r="B1447" s="8" t="s">
        <v>933</v>
      </c>
    </row>
    <row r="1448" spans="1:2" ht="14.25" customHeight="1">
      <c r="A1448" s="7">
        <v>81521512</v>
      </c>
      <c r="B1448" s="8" t="s">
        <v>934</v>
      </c>
    </row>
    <row r="1449" spans="1:2" ht="14.25" customHeight="1">
      <c r="A1449" s="7">
        <v>81521347</v>
      </c>
      <c r="B1449" s="8" t="s">
        <v>935</v>
      </c>
    </row>
    <row r="1450" spans="1:2" ht="14.25" customHeight="1">
      <c r="A1450" s="7">
        <v>8173210</v>
      </c>
      <c r="B1450" s="8" t="s">
        <v>936</v>
      </c>
    </row>
    <row r="1451" spans="1:2" ht="14.25" customHeight="1">
      <c r="A1451" s="7">
        <v>8173212</v>
      </c>
      <c r="B1451" s="8" t="s">
        <v>936</v>
      </c>
    </row>
    <row r="1452" spans="1:2" ht="14.25" customHeight="1">
      <c r="A1452" s="7">
        <v>8173213</v>
      </c>
      <c r="B1452" s="8" t="s">
        <v>936</v>
      </c>
    </row>
    <row r="1453" spans="1:2" ht="14.25" customHeight="1">
      <c r="A1453" s="7">
        <v>81522110</v>
      </c>
      <c r="B1453" s="8" t="s">
        <v>936</v>
      </c>
    </row>
    <row r="1454" spans="1:2" ht="14.25" customHeight="1">
      <c r="A1454" s="7">
        <v>81521214</v>
      </c>
      <c r="B1454" s="8" t="s">
        <v>937</v>
      </c>
    </row>
    <row r="1455" spans="1:2" ht="14.25" customHeight="1">
      <c r="A1455" s="7">
        <v>1732382</v>
      </c>
      <c r="B1455" s="8" t="s">
        <v>938</v>
      </c>
    </row>
    <row r="1456" spans="1:2" ht="14.25" customHeight="1">
      <c r="A1456" s="7">
        <v>1732395</v>
      </c>
      <c r="B1456" s="8" t="s">
        <v>938</v>
      </c>
    </row>
    <row r="1457" spans="1:2" ht="14.25" customHeight="1">
      <c r="A1457" s="7">
        <v>45014043</v>
      </c>
      <c r="B1457" s="8" t="s">
        <v>938</v>
      </c>
    </row>
    <row r="1458" spans="1:2" ht="14.25" customHeight="1">
      <c r="A1458" s="7">
        <v>1732630</v>
      </c>
      <c r="B1458" s="8" t="s">
        <v>939</v>
      </c>
    </row>
    <row r="1459" spans="1:2" ht="14.25" customHeight="1">
      <c r="A1459" s="7">
        <v>1732631</v>
      </c>
      <c r="B1459" s="8" t="s">
        <v>939</v>
      </c>
    </row>
    <row r="1460" spans="1:2" ht="14.25" customHeight="1">
      <c r="A1460" s="7">
        <v>1732632</v>
      </c>
      <c r="B1460" s="8" t="s">
        <v>939</v>
      </c>
    </row>
    <row r="1461" spans="1:2" ht="14.25" customHeight="1">
      <c r="A1461" s="7">
        <v>1732633</v>
      </c>
      <c r="B1461" s="8" t="s">
        <v>939</v>
      </c>
    </row>
    <row r="1462" spans="1:2" ht="14.25" customHeight="1">
      <c r="A1462" s="7">
        <v>1732634</v>
      </c>
      <c r="B1462" s="8" t="s">
        <v>939</v>
      </c>
    </row>
    <row r="1463" spans="1:2" ht="14.25" customHeight="1">
      <c r="A1463" s="7">
        <v>1732635</v>
      </c>
      <c r="B1463" s="8" t="s">
        <v>939</v>
      </c>
    </row>
    <row r="1464" spans="1:2" ht="14.25" customHeight="1">
      <c r="A1464" s="7">
        <v>1732637</v>
      </c>
      <c r="B1464" s="8" t="s">
        <v>939</v>
      </c>
    </row>
    <row r="1465" spans="1:2" ht="14.25" customHeight="1">
      <c r="A1465" s="7">
        <v>1732638</v>
      </c>
      <c r="B1465" s="8" t="s">
        <v>939</v>
      </c>
    </row>
    <row r="1466" spans="1:2" ht="14.25" customHeight="1">
      <c r="A1466" s="7">
        <v>61521057</v>
      </c>
      <c r="B1466" s="8" t="s">
        <v>940</v>
      </c>
    </row>
    <row r="1467" spans="1:2" ht="14.25" customHeight="1">
      <c r="A1467" s="7">
        <v>81521095</v>
      </c>
      <c r="B1467" s="8" t="s">
        <v>941</v>
      </c>
    </row>
    <row r="1468" spans="1:2" ht="14.25" customHeight="1">
      <c r="A1468" s="7">
        <v>8173572</v>
      </c>
      <c r="B1468" s="8" t="s">
        <v>942</v>
      </c>
    </row>
    <row r="1469" spans="1:2" ht="14.25" customHeight="1">
      <c r="A1469" s="7">
        <v>81521006</v>
      </c>
      <c r="B1469" s="8" t="s">
        <v>943</v>
      </c>
    </row>
    <row r="1470" spans="1:2" ht="14.25" customHeight="1">
      <c r="A1470" s="7">
        <v>81521183</v>
      </c>
      <c r="B1470" s="8" t="s">
        <v>943</v>
      </c>
    </row>
    <row r="1471" spans="1:2" ht="14.25" customHeight="1">
      <c r="A1471" s="7">
        <v>81521105</v>
      </c>
      <c r="B1471" s="8" t="s">
        <v>944</v>
      </c>
    </row>
    <row r="1472" spans="1:2" ht="14.25" customHeight="1">
      <c r="A1472" s="7">
        <v>81521446</v>
      </c>
      <c r="B1472" s="8" t="s">
        <v>945</v>
      </c>
    </row>
    <row r="1473" spans="1:2" ht="14.25" customHeight="1">
      <c r="A1473" s="7">
        <v>15180004</v>
      </c>
      <c r="B1473" s="8" t="s">
        <v>946</v>
      </c>
    </row>
    <row r="1474" spans="1:2" ht="14.25" customHeight="1">
      <c r="A1474" s="7">
        <v>81521305</v>
      </c>
      <c r="B1474" s="8" t="s">
        <v>947</v>
      </c>
    </row>
    <row r="1475" spans="1:2" ht="14.25" customHeight="1">
      <c r="A1475" s="7">
        <v>81521103</v>
      </c>
      <c r="B1475" s="8" t="s">
        <v>948</v>
      </c>
    </row>
    <row r="1476" spans="1:2" ht="14.25" customHeight="1">
      <c r="A1476" s="7">
        <v>81521283</v>
      </c>
      <c r="B1476" s="8" t="s">
        <v>948</v>
      </c>
    </row>
    <row r="1477" spans="1:2" ht="14.25" customHeight="1">
      <c r="A1477" s="7">
        <v>81521269</v>
      </c>
      <c r="B1477" s="8" t="s">
        <v>949</v>
      </c>
    </row>
    <row r="1478" spans="1:2" ht="14.25" customHeight="1">
      <c r="A1478" s="7">
        <v>81521267</v>
      </c>
      <c r="B1478" s="8" t="s">
        <v>950</v>
      </c>
    </row>
    <row r="1479" spans="1:2" ht="14.25" customHeight="1">
      <c r="A1479" s="7">
        <v>81521268</v>
      </c>
      <c r="B1479" s="8" t="s">
        <v>950</v>
      </c>
    </row>
    <row r="1480" spans="1:2" ht="14.25" customHeight="1">
      <c r="A1480" s="7">
        <v>8173543</v>
      </c>
      <c r="B1480" s="8" t="s">
        <v>951</v>
      </c>
    </row>
    <row r="1481" spans="1:2" ht="14.25" customHeight="1">
      <c r="A1481" s="7">
        <v>33140004</v>
      </c>
      <c r="B1481" s="8" t="s">
        <v>952</v>
      </c>
    </row>
    <row r="1482" spans="1:2" ht="14.25" customHeight="1">
      <c r="A1482" s="7">
        <v>33140003</v>
      </c>
      <c r="B1482" s="8" t="s">
        <v>953</v>
      </c>
    </row>
    <row r="1483" spans="1:2" ht="14.25" customHeight="1">
      <c r="A1483" s="7">
        <v>33140001</v>
      </c>
      <c r="B1483" s="8" t="s">
        <v>954</v>
      </c>
    </row>
    <row r="1484" spans="1:2" ht="14.25" customHeight="1">
      <c r="A1484" s="7">
        <v>81521494</v>
      </c>
      <c r="B1484" s="8" t="s">
        <v>955</v>
      </c>
    </row>
    <row r="1485" spans="1:2" ht="14.25" customHeight="1">
      <c r="A1485" s="7">
        <v>8173107</v>
      </c>
      <c r="B1485" s="8" t="s">
        <v>956</v>
      </c>
    </row>
    <row r="1486" spans="1:2" ht="14.25" customHeight="1">
      <c r="A1486" s="7">
        <v>8173108</v>
      </c>
      <c r="B1486" s="8" t="s">
        <v>956</v>
      </c>
    </row>
    <row r="1487" spans="1:2" ht="14.25" customHeight="1">
      <c r="A1487" s="7">
        <v>22090003</v>
      </c>
      <c r="B1487" s="8" t="s">
        <v>957</v>
      </c>
    </row>
    <row r="1488" spans="1:2" ht="14.25" customHeight="1">
      <c r="A1488" s="7">
        <v>81521348</v>
      </c>
      <c r="B1488" s="8" t="s">
        <v>958</v>
      </c>
    </row>
    <row r="1489" spans="1:2" ht="14.25" customHeight="1">
      <c r="A1489" s="7">
        <v>81521344</v>
      </c>
      <c r="B1489" s="8" t="s">
        <v>959</v>
      </c>
    </row>
    <row r="1490" spans="1:2" ht="14.25" customHeight="1">
      <c r="A1490" s="7">
        <v>81521333</v>
      </c>
      <c r="B1490" s="8" t="s">
        <v>960</v>
      </c>
    </row>
    <row r="1491" spans="1:2" ht="14.25" customHeight="1">
      <c r="A1491" s="7">
        <v>8173200</v>
      </c>
      <c r="B1491" s="8" t="s">
        <v>961</v>
      </c>
    </row>
    <row r="1492" spans="1:2" ht="14.25" customHeight="1">
      <c r="A1492" s="7">
        <v>8173202</v>
      </c>
      <c r="B1492" s="8" t="s">
        <v>961</v>
      </c>
    </row>
    <row r="1493" spans="1:2" ht="14.25" customHeight="1">
      <c r="A1493" s="7">
        <v>81521474</v>
      </c>
      <c r="B1493" s="8" t="s">
        <v>962</v>
      </c>
    </row>
    <row r="1494" spans="1:2" ht="14.25" customHeight="1">
      <c r="A1494" s="7">
        <v>81521204</v>
      </c>
      <c r="B1494" s="8" t="s">
        <v>963</v>
      </c>
    </row>
    <row r="1495" spans="1:2" ht="14.25" customHeight="1">
      <c r="A1495" s="7">
        <v>81521205</v>
      </c>
      <c r="B1495" s="8" t="s">
        <v>963</v>
      </c>
    </row>
    <row r="1496" spans="1:2" ht="14.25" customHeight="1">
      <c r="A1496" s="7">
        <v>8173364</v>
      </c>
      <c r="B1496" s="8" t="s">
        <v>964</v>
      </c>
    </row>
    <row r="1497" spans="1:2" ht="14.25" customHeight="1">
      <c r="A1497" s="7">
        <v>81521061</v>
      </c>
      <c r="B1497" s="8" t="s">
        <v>965</v>
      </c>
    </row>
    <row r="1498" spans="1:2" ht="14.25" customHeight="1">
      <c r="A1498" s="7">
        <v>81524039</v>
      </c>
      <c r="B1498" s="8" t="s">
        <v>966</v>
      </c>
    </row>
    <row r="1499" spans="1:2" ht="14.25" customHeight="1">
      <c r="A1499" s="7">
        <v>81521490</v>
      </c>
      <c r="B1499" s="8" t="s">
        <v>967</v>
      </c>
    </row>
    <row r="1500" spans="1:2" ht="14.25" customHeight="1">
      <c r="A1500" s="7">
        <v>81521491</v>
      </c>
      <c r="B1500" s="8" t="s">
        <v>967</v>
      </c>
    </row>
    <row r="1501" spans="1:2" ht="14.25" customHeight="1">
      <c r="A1501" s="7">
        <v>1731283</v>
      </c>
      <c r="B1501" s="8" t="s">
        <v>968</v>
      </c>
    </row>
    <row r="1502" spans="1:2" ht="14.25" customHeight="1">
      <c r="A1502" s="7">
        <v>8173546</v>
      </c>
      <c r="B1502" s="8" t="s">
        <v>969</v>
      </c>
    </row>
    <row r="1503" spans="1:2" ht="14.25" customHeight="1">
      <c r="A1503" s="7">
        <v>8173547</v>
      </c>
      <c r="B1503" s="8" t="s">
        <v>970</v>
      </c>
    </row>
    <row r="1504" spans="1:2" ht="14.25" customHeight="1">
      <c r="A1504" s="7">
        <v>81521406</v>
      </c>
      <c r="B1504" s="8" t="s">
        <v>971</v>
      </c>
    </row>
    <row r="1505" spans="1:2" ht="14.25" customHeight="1">
      <c r="A1505" s="7">
        <v>8173221</v>
      </c>
      <c r="B1505" s="8" t="s">
        <v>972</v>
      </c>
    </row>
    <row r="1506" spans="1:2" ht="14.25" customHeight="1">
      <c r="A1506" s="7">
        <v>8172117</v>
      </c>
      <c r="B1506" s="8" t="s">
        <v>973</v>
      </c>
    </row>
    <row r="1507" spans="1:2" ht="14.25" customHeight="1">
      <c r="A1507" s="7">
        <v>8172116</v>
      </c>
      <c r="B1507" s="8" t="s">
        <v>974</v>
      </c>
    </row>
    <row r="1508" spans="1:2" ht="14.25" customHeight="1">
      <c r="A1508" s="7">
        <v>8173204</v>
      </c>
      <c r="B1508" s="8" t="s">
        <v>974</v>
      </c>
    </row>
    <row r="1509" spans="1:2" ht="14.25" customHeight="1">
      <c r="A1509" s="7">
        <v>81521329</v>
      </c>
      <c r="B1509" s="8" t="s">
        <v>974</v>
      </c>
    </row>
    <row r="1510" spans="1:2" ht="14.25" customHeight="1">
      <c r="A1510" s="7">
        <v>8173205</v>
      </c>
      <c r="B1510" s="8" t="s">
        <v>975</v>
      </c>
    </row>
    <row r="1511" spans="1:2" ht="14.25" customHeight="1">
      <c r="A1511" s="7">
        <v>81521328</v>
      </c>
      <c r="B1511" s="8" t="s">
        <v>975</v>
      </c>
    </row>
    <row r="1512" spans="1:2" ht="14.25" customHeight="1">
      <c r="A1512" s="7">
        <v>81521298</v>
      </c>
      <c r="B1512" s="8" t="s">
        <v>976</v>
      </c>
    </row>
    <row r="1513" spans="1:2" ht="14.25" customHeight="1">
      <c r="A1513" s="7">
        <v>81521299</v>
      </c>
      <c r="B1513" s="8" t="s">
        <v>976</v>
      </c>
    </row>
    <row r="1514" spans="1:2" ht="14.25" customHeight="1">
      <c r="A1514" s="7">
        <v>8173218</v>
      </c>
      <c r="B1514" s="8" t="s">
        <v>381</v>
      </c>
    </row>
    <row r="1515" spans="1:2" ht="14.25" customHeight="1">
      <c r="A1515" s="7">
        <v>8173220</v>
      </c>
      <c r="B1515" s="8" t="s">
        <v>381</v>
      </c>
    </row>
    <row r="1516" spans="1:2" ht="14.25" customHeight="1">
      <c r="A1516" s="7">
        <v>8173223</v>
      </c>
      <c r="B1516" s="8" t="s">
        <v>381</v>
      </c>
    </row>
    <row r="1517" spans="1:2" ht="14.25" customHeight="1">
      <c r="A1517" s="7">
        <v>8173408</v>
      </c>
      <c r="B1517" s="8" t="s">
        <v>381</v>
      </c>
    </row>
    <row r="1518" spans="1:2" ht="14.25" customHeight="1">
      <c r="A1518" s="7">
        <v>8173409</v>
      </c>
      <c r="B1518" s="8" t="s">
        <v>381</v>
      </c>
    </row>
    <row r="1519" spans="1:2" ht="14.25" customHeight="1">
      <c r="A1519" s="7">
        <v>8173413</v>
      </c>
      <c r="B1519" s="8" t="s">
        <v>381</v>
      </c>
    </row>
    <row r="1520" spans="1:2" ht="14.25" customHeight="1">
      <c r="A1520" s="7">
        <v>8173501</v>
      </c>
      <c r="B1520" s="8" t="s">
        <v>381</v>
      </c>
    </row>
    <row r="1521" spans="1:2" ht="14.25" customHeight="1">
      <c r="A1521" s="7">
        <v>8173545</v>
      </c>
      <c r="B1521" s="8" t="s">
        <v>381</v>
      </c>
    </row>
    <row r="1522" spans="1:2" ht="14.25" customHeight="1">
      <c r="A1522" s="7">
        <v>81521237</v>
      </c>
      <c r="B1522" s="8" t="s">
        <v>381</v>
      </c>
    </row>
    <row r="1523" spans="1:2" ht="14.25" customHeight="1">
      <c r="A1523" s="7">
        <v>81521518</v>
      </c>
      <c r="B1523" s="8" t="s">
        <v>977</v>
      </c>
    </row>
    <row r="1524" spans="1:2" ht="14.25" customHeight="1">
      <c r="A1524" s="7">
        <v>81521106</v>
      </c>
      <c r="B1524" s="8" t="s">
        <v>978</v>
      </c>
    </row>
    <row r="1525" spans="1:2" ht="14.25" customHeight="1">
      <c r="A1525" s="7">
        <v>905925</v>
      </c>
      <c r="B1525" s="8" t="s">
        <v>979</v>
      </c>
    </row>
    <row r="1526" spans="1:2" ht="14.25" customHeight="1">
      <c r="A1526" s="7">
        <v>900287</v>
      </c>
      <c r="B1526" s="8" t="s">
        <v>980</v>
      </c>
    </row>
    <row r="1527" spans="1:2" ht="14.25" customHeight="1">
      <c r="A1527" s="7">
        <v>900288</v>
      </c>
      <c r="B1527" s="8" t="s">
        <v>980</v>
      </c>
    </row>
    <row r="1528" spans="1:2" ht="14.25" customHeight="1">
      <c r="A1528" s="7">
        <v>900289</v>
      </c>
      <c r="B1528" s="8" t="s">
        <v>980</v>
      </c>
    </row>
    <row r="1529" spans="1:2" ht="14.25" customHeight="1">
      <c r="A1529" s="7">
        <v>900417</v>
      </c>
      <c r="B1529" s="8" t="s">
        <v>980</v>
      </c>
    </row>
    <row r="1530" spans="1:2" ht="14.25" customHeight="1">
      <c r="A1530" s="7">
        <v>900910</v>
      </c>
      <c r="B1530" s="8" t="s">
        <v>980</v>
      </c>
    </row>
    <row r="1531" spans="1:2" ht="14.25" customHeight="1">
      <c r="A1531" s="7">
        <v>900914</v>
      </c>
      <c r="B1531" s="8" t="s">
        <v>980</v>
      </c>
    </row>
    <row r="1532" spans="1:2" ht="14.25" customHeight="1">
      <c r="A1532" s="7">
        <v>901627</v>
      </c>
      <c r="B1532" s="8" t="s">
        <v>980</v>
      </c>
    </row>
    <row r="1533" spans="1:2" ht="14.25" customHeight="1">
      <c r="A1533" s="7">
        <v>901677</v>
      </c>
      <c r="B1533" s="8" t="s">
        <v>980</v>
      </c>
    </row>
    <row r="1534" spans="1:2" ht="14.25" customHeight="1">
      <c r="A1534" s="7">
        <v>903046</v>
      </c>
      <c r="B1534" s="8" t="s">
        <v>980</v>
      </c>
    </row>
    <row r="1535" spans="1:2" ht="14.25" customHeight="1">
      <c r="A1535" s="7">
        <v>903047</v>
      </c>
      <c r="B1535" s="8" t="s">
        <v>980</v>
      </c>
    </row>
    <row r="1536" spans="1:2" ht="14.25" customHeight="1">
      <c r="A1536" s="7">
        <v>903048</v>
      </c>
      <c r="B1536" s="8" t="s">
        <v>980</v>
      </c>
    </row>
    <row r="1537" spans="1:2" ht="14.25" customHeight="1">
      <c r="A1537" s="7">
        <v>903049</v>
      </c>
      <c r="B1537" s="8" t="s">
        <v>980</v>
      </c>
    </row>
    <row r="1538" spans="1:2" ht="14.25" customHeight="1">
      <c r="A1538" s="7">
        <v>903050</v>
      </c>
      <c r="B1538" s="8" t="s">
        <v>980</v>
      </c>
    </row>
    <row r="1539" spans="1:2" ht="14.25" customHeight="1">
      <c r="A1539" s="7">
        <v>903051</v>
      </c>
      <c r="B1539" s="8" t="s">
        <v>980</v>
      </c>
    </row>
    <row r="1540" spans="1:2" ht="14.25" customHeight="1">
      <c r="A1540" s="7">
        <v>903080</v>
      </c>
      <c r="B1540" s="8" t="s">
        <v>980</v>
      </c>
    </row>
    <row r="1541" spans="1:2" ht="14.25" customHeight="1">
      <c r="A1541" s="7">
        <v>903081</v>
      </c>
      <c r="B1541" s="8" t="s">
        <v>980</v>
      </c>
    </row>
    <row r="1542" spans="1:2" ht="14.25" customHeight="1">
      <c r="A1542" s="7">
        <v>903171</v>
      </c>
      <c r="B1542" s="8" t="s">
        <v>980</v>
      </c>
    </row>
    <row r="1543" spans="1:2" ht="14.25" customHeight="1">
      <c r="A1543" s="7">
        <v>903172</v>
      </c>
      <c r="B1543" s="8" t="s">
        <v>980</v>
      </c>
    </row>
    <row r="1544" spans="1:2" ht="14.25" customHeight="1">
      <c r="A1544" s="7">
        <v>903173</v>
      </c>
      <c r="B1544" s="8" t="s">
        <v>980</v>
      </c>
    </row>
    <row r="1545" spans="1:2" ht="14.25" customHeight="1">
      <c r="A1545" s="7">
        <v>903174</v>
      </c>
      <c r="B1545" s="8" t="s">
        <v>980</v>
      </c>
    </row>
    <row r="1546" spans="1:2" ht="14.25" customHeight="1">
      <c r="A1546" s="7">
        <v>903175</v>
      </c>
      <c r="B1546" s="8" t="s">
        <v>980</v>
      </c>
    </row>
    <row r="1547" spans="1:2" ht="14.25" customHeight="1">
      <c r="A1547" s="7">
        <v>903176</v>
      </c>
      <c r="B1547" s="8" t="s">
        <v>980</v>
      </c>
    </row>
    <row r="1548" spans="1:2" ht="14.25" customHeight="1">
      <c r="A1548" s="7">
        <v>903177</v>
      </c>
      <c r="B1548" s="8" t="s">
        <v>980</v>
      </c>
    </row>
    <row r="1549" spans="1:2" ht="14.25" customHeight="1">
      <c r="A1549" s="7">
        <v>903225</v>
      </c>
      <c r="B1549" s="8" t="s">
        <v>980</v>
      </c>
    </row>
    <row r="1550" spans="1:2" ht="14.25" customHeight="1">
      <c r="A1550" s="7">
        <v>903226</v>
      </c>
      <c r="B1550" s="8" t="s">
        <v>980</v>
      </c>
    </row>
    <row r="1551" spans="1:2" ht="14.25" customHeight="1">
      <c r="A1551" s="7">
        <v>903227</v>
      </c>
      <c r="B1551" s="8" t="s">
        <v>980</v>
      </c>
    </row>
    <row r="1552" spans="1:2" ht="14.25" customHeight="1">
      <c r="A1552" s="7">
        <v>903228</v>
      </c>
      <c r="B1552" s="8" t="s">
        <v>980</v>
      </c>
    </row>
    <row r="1553" spans="1:2" ht="14.25" customHeight="1">
      <c r="A1553" s="7">
        <v>903229</v>
      </c>
      <c r="B1553" s="8" t="s">
        <v>980</v>
      </c>
    </row>
    <row r="1554" spans="1:2" ht="14.25" customHeight="1">
      <c r="A1554" s="7">
        <v>903230</v>
      </c>
      <c r="B1554" s="8" t="s">
        <v>980</v>
      </c>
    </row>
    <row r="1555" spans="1:2" ht="14.25" customHeight="1">
      <c r="A1555" s="7">
        <v>8173445</v>
      </c>
      <c r="B1555" s="8" t="s">
        <v>980</v>
      </c>
    </row>
    <row r="1556" spans="1:2" ht="14.25" customHeight="1">
      <c r="A1556" s="7">
        <v>8173447</v>
      </c>
      <c r="B1556" s="8" t="s">
        <v>980</v>
      </c>
    </row>
    <row r="1557" spans="1:2" ht="14.25" customHeight="1">
      <c r="A1557" s="7">
        <v>8173536</v>
      </c>
      <c r="B1557" s="8" t="s">
        <v>980</v>
      </c>
    </row>
    <row r="1558" spans="1:2" ht="14.25" customHeight="1">
      <c r="A1558" s="7">
        <v>8173625</v>
      </c>
      <c r="B1558" s="8" t="s">
        <v>980</v>
      </c>
    </row>
    <row r="1559" spans="1:2" ht="14.25" customHeight="1">
      <c r="A1559" s="7">
        <v>81521004</v>
      </c>
      <c r="B1559" s="8" t="s">
        <v>980</v>
      </c>
    </row>
    <row r="1560" spans="1:2" ht="14.25" customHeight="1">
      <c r="A1560" s="7">
        <v>81521005</v>
      </c>
      <c r="B1560" s="8" t="s">
        <v>980</v>
      </c>
    </row>
    <row r="1561" spans="1:2" ht="14.25" customHeight="1">
      <c r="A1561" s="7">
        <v>81521057</v>
      </c>
      <c r="B1561" s="8" t="s">
        <v>980</v>
      </c>
    </row>
    <row r="1562" spans="1:2" ht="14.25" customHeight="1">
      <c r="A1562" s="7">
        <v>81521191</v>
      </c>
      <c r="B1562" s="8" t="s">
        <v>981</v>
      </c>
    </row>
    <row r="1563" spans="1:2" ht="14.25" customHeight="1">
      <c r="A1563" s="7">
        <v>81521192</v>
      </c>
      <c r="B1563" s="8" t="s">
        <v>982</v>
      </c>
    </row>
    <row r="1564" spans="1:2" ht="14.25" customHeight="1">
      <c r="A1564" s="7">
        <v>8173444</v>
      </c>
      <c r="B1564" s="8" t="s">
        <v>983</v>
      </c>
    </row>
    <row r="1565" spans="1:2" ht="14.25" customHeight="1">
      <c r="A1565" s="7">
        <v>8173489</v>
      </c>
      <c r="B1565" s="8" t="s">
        <v>983</v>
      </c>
    </row>
    <row r="1566" spans="1:2" ht="14.25" customHeight="1">
      <c r="A1566" s="7">
        <v>8173639</v>
      </c>
      <c r="B1566" s="8" t="s">
        <v>983</v>
      </c>
    </row>
    <row r="1567" spans="1:2" ht="14.25" customHeight="1">
      <c r="A1567" s="7">
        <v>17020023</v>
      </c>
      <c r="B1567" s="8" t="s">
        <v>983</v>
      </c>
    </row>
    <row r="1568" spans="1:2" ht="14.25" customHeight="1">
      <c r="A1568" s="7">
        <v>17020024</v>
      </c>
      <c r="B1568" s="8" t="s">
        <v>983</v>
      </c>
    </row>
    <row r="1569" spans="1:2" ht="14.25" customHeight="1">
      <c r="A1569" s="7">
        <v>71519098</v>
      </c>
      <c r="B1569" s="8" t="s">
        <v>983</v>
      </c>
    </row>
    <row r="1570" spans="1:2" ht="14.25" customHeight="1">
      <c r="A1570" s="7">
        <v>81521055</v>
      </c>
      <c r="B1570" s="8" t="s">
        <v>983</v>
      </c>
    </row>
    <row r="1571" spans="1:2" ht="14.25" customHeight="1">
      <c r="A1571" s="7">
        <v>81521056</v>
      </c>
      <c r="B1571" s="8" t="s">
        <v>983</v>
      </c>
    </row>
    <row r="1572" spans="1:2" ht="14.25" customHeight="1">
      <c r="A1572" s="7">
        <v>81521143</v>
      </c>
      <c r="B1572" s="8" t="s">
        <v>983</v>
      </c>
    </row>
    <row r="1573" spans="1:2" ht="14.25" customHeight="1">
      <c r="A1573" s="7">
        <v>81521190</v>
      </c>
      <c r="B1573" s="8" t="s">
        <v>983</v>
      </c>
    </row>
    <row r="1574" spans="1:2" ht="14.25" customHeight="1">
      <c r="A1574" s="7">
        <v>81521303</v>
      </c>
      <c r="B1574" s="8" t="s">
        <v>983</v>
      </c>
    </row>
    <row r="1575" spans="1:2" ht="14.25" customHeight="1">
      <c r="A1575" s="7">
        <v>81521304</v>
      </c>
      <c r="B1575" s="8" t="s">
        <v>983</v>
      </c>
    </row>
    <row r="1576" spans="1:2" ht="14.25" customHeight="1">
      <c r="A1576" s="7">
        <v>81521306</v>
      </c>
      <c r="B1576" s="8" t="s">
        <v>983</v>
      </c>
    </row>
    <row r="1577" spans="1:2" ht="14.25" customHeight="1">
      <c r="A1577" s="7">
        <v>81521454</v>
      </c>
      <c r="B1577" s="8" t="s">
        <v>983</v>
      </c>
    </row>
    <row r="1578" spans="1:2" ht="14.25" customHeight="1">
      <c r="A1578" s="7">
        <v>81521568</v>
      </c>
      <c r="B1578" s="8" t="s">
        <v>983</v>
      </c>
    </row>
    <row r="1579" spans="1:2" ht="14.25" customHeight="1">
      <c r="A1579" s="7">
        <v>17020010</v>
      </c>
      <c r="B1579" s="8" t="s">
        <v>984</v>
      </c>
    </row>
    <row r="1580" spans="1:2" ht="14.25" customHeight="1">
      <c r="A1580" s="7">
        <v>17020011</v>
      </c>
      <c r="B1580" s="8" t="s">
        <v>984</v>
      </c>
    </row>
    <row r="1581" spans="1:2" ht="14.25" customHeight="1">
      <c r="A1581" s="7">
        <v>81521336</v>
      </c>
      <c r="B1581" s="8" t="s">
        <v>984</v>
      </c>
    </row>
    <row r="1582" spans="1:2" ht="14.25" customHeight="1">
      <c r="A1582" s="7">
        <v>81521337</v>
      </c>
      <c r="B1582" s="8" t="s">
        <v>984</v>
      </c>
    </row>
    <row r="1583" spans="1:2" ht="14.25" customHeight="1">
      <c r="A1583" s="7">
        <v>81521338</v>
      </c>
      <c r="B1583" s="8" t="s">
        <v>984</v>
      </c>
    </row>
    <row r="1584" spans="1:2" ht="14.25" customHeight="1">
      <c r="A1584" s="7">
        <v>81521339</v>
      </c>
      <c r="B1584" s="8" t="s">
        <v>984</v>
      </c>
    </row>
    <row r="1585" spans="1:2" ht="14.25" customHeight="1">
      <c r="A1585" s="7">
        <v>81521341</v>
      </c>
      <c r="B1585" s="8" t="s">
        <v>984</v>
      </c>
    </row>
    <row r="1586" spans="1:2" ht="14.25" customHeight="1">
      <c r="A1586" s="7">
        <v>81521342</v>
      </c>
      <c r="B1586" s="8" t="s">
        <v>984</v>
      </c>
    </row>
    <row r="1587" spans="1:2" ht="14.25" customHeight="1">
      <c r="A1587" s="7">
        <v>81521343</v>
      </c>
      <c r="B1587" s="8" t="s">
        <v>984</v>
      </c>
    </row>
    <row r="1588" spans="1:2" ht="14.25" customHeight="1">
      <c r="A1588" s="7">
        <v>8173125</v>
      </c>
      <c r="B1588" s="8" t="s">
        <v>985</v>
      </c>
    </row>
    <row r="1589" spans="1:2" ht="14.25" customHeight="1">
      <c r="A1589" s="7">
        <v>8173126</v>
      </c>
      <c r="B1589" s="8" t="s">
        <v>986</v>
      </c>
    </row>
    <row r="1590" spans="1:2" ht="14.25" customHeight="1">
      <c r="A1590" s="7">
        <v>16170014</v>
      </c>
      <c r="B1590" s="8" t="s">
        <v>987</v>
      </c>
    </row>
    <row r="1591" spans="1:2" ht="14.25" customHeight="1">
      <c r="A1591" s="7">
        <v>16170015</v>
      </c>
      <c r="B1591" s="8" t="s">
        <v>987</v>
      </c>
    </row>
    <row r="1592" spans="1:2" ht="14.25" customHeight="1">
      <c r="A1592" s="7">
        <v>16170006</v>
      </c>
      <c r="B1592" s="8" t="s">
        <v>988</v>
      </c>
    </row>
    <row r="1593" spans="1:2" ht="14.25" customHeight="1">
      <c r="A1593" s="7">
        <v>16170007</v>
      </c>
      <c r="B1593" s="8" t="s">
        <v>988</v>
      </c>
    </row>
    <row r="1594" spans="1:2" ht="14.25" customHeight="1">
      <c r="A1594" s="7">
        <v>16170008</v>
      </c>
      <c r="B1594" s="8" t="s">
        <v>988</v>
      </c>
    </row>
    <row r="1595" spans="1:2" ht="14.25" customHeight="1">
      <c r="A1595" s="7">
        <v>16170009</v>
      </c>
      <c r="B1595" s="8" t="s">
        <v>988</v>
      </c>
    </row>
    <row r="1596" spans="1:2" ht="14.25" customHeight="1">
      <c r="A1596" s="7">
        <v>8173195</v>
      </c>
      <c r="B1596" s="8" t="s">
        <v>989</v>
      </c>
    </row>
    <row r="1597" spans="1:2" ht="14.25" customHeight="1">
      <c r="A1597" s="7">
        <v>15190027</v>
      </c>
      <c r="B1597" s="8" t="s">
        <v>990</v>
      </c>
    </row>
    <row r="1598" spans="1:2" ht="14.25" customHeight="1">
      <c r="A1598" s="7">
        <v>45190001</v>
      </c>
      <c r="B1598" s="8" t="s">
        <v>990</v>
      </c>
    </row>
    <row r="1599" spans="1:2" ht="14.25" customHeight="1">
      <c r="A1599" s="7">
        <v>15190018</v>
      </c>
      <c r="B1599" s="8" t="s">
        <v>991</v>
      </c>
    </row>
    <row r="1600" spans="1:2" ht="14.25" customHeight="1">
      <c r="A1600" s="7">
        <v>15190020</v>
      </c>
      <c r="B1600" s="8" t="s">
        <v>991</v>
      </c>
    </row>
    <row r="1601" spans="1:2" ht="14.25" customHeight="1">
      <c r="A1601" s="7">
        <v>15190021</v>
      </c>
      <c r="B1601" s="8" t="s">
        <v>991</v>
      </c>
    </row>
    <row r="1602" spans="1:2" ht="14.25" customHeight="1">
      <c r="A1602" s="7">
        <v>81507094</v>
      </c>
      <c r="B1602" s="8" t="s">
        <v>992</v>
      </c>
    </row>
    <row r="1603" spans="1:2" ht="14.25" customHeight="1">
      <c r="A1603" s="7">
        <v>81521286</v>
      </c>
      <c r="B1603" s="8" t="s">
        <v>992</v>
      </c>
    </row>
    <row r="1604" spans="1:2" ht="14.25" customHeight="1">
      <c r="A1604" s="7">
        <v>81521287</v>
      </c>
      <c r="B1604" s="8" t="s">
        <v>992</v>
      </c>
    </row>
    <row r="1605" spans="1:2" ht="14.25" customHeight="1">
      <c r="A1605" s="7">
        <v>81521288</v>
      </c>
      <c r="B1605" s="8" t="s">
        <v>992</v>
      </c>
    </row>
    <row r="1606" spans="1:2" ht="14.25" customHeight="1">
      <c r="A1606" s="7">
        <v>81521291</v>
      </c>
      <c r="B1606" s="8" t="s">
        <v>992</v>
      </c>
    </row>
    <row r="1607" spans="1:2" ht="14.25" customHeight="1">
      <c r="A1607" s="7">
        <v>81521292</v>
      </c>
      <c r="B1607" s="8" t="s">
        <v>992</v>
      </c>
    </row>
    <row r="1608" spans="1:2" ht="14.25" customHeight="1">
      <c r="A1608" s="7">
        <v>81521293</v>
      </c>
      <c r="B1608" s="8" t="s">
        <v>992</v>
      </c>
    </row>
    <row r="1609" spans="1:2" ht="14.25" customHeight="1">
      <c r="A1609" s="7">
        <v>81521146</v>
      </c>
      <c r="B1609" s="8" t="s">
        <v>993</v>
      </c>
    </row>
    <row r="1610" spans="1:2" ht="14.25" customHeight="1">
      <c r="A1610" s="7">
        <v>85048059</v>
      </c>
      <c r="B1610" s="8" t="s">
        <v>993</v>
      </c>
    </row>
    <row r="1611" spans="1:2" ht="14.25" customHeight="1">
      <c r="A1611" s="7">
        <v>85048065</v>
      </c>
      <c r="B1611" s="8" t="s">
        <v>993</v>
      </c>
    </row>
    <row r="1612" spans="1:2" ht="14.25" customHeight="1">
      <c r="A1612" s="7">
        <v>85048067</v>
      </c>
      <c r="B1612" s="8" t="s">
        <v>993</v>
      </c>
    </row>
    <row r="1613" spans="1:2" ht="14.25" customHeight="1">
      <c r="A1613" s="7">
        <v>85048068</v>
      </c>
      <c r="B1613" s="8" t="s">
        <v>993</v>
      </c>
    </row>
    <row r="1614" spans="1:2" ht="14.25" customHeight="1">
      <c r="A1614" s="7">
        <v>85048069</v>
      </c>
      <c r="B1614" s="8" t="s">
        <v>993</v>
      </c>
    </row>
    <row r="1615" spans="1:2" ht="14.25" customHeight="1">
      <c r="A1615" s="7">
        <v>45190003</v>
      </c>
      <c r="B1615" s="8" t="s">
        <v>994</v>
      </c>
    </row>
    <row r="1616" spans="1:2" ht="14.25" customHeight="1">
      <c r="A1616" s="7">
        <v>45190004</v>
      </c>
      <c r="B1616" s="8" t="s">
        <v>995</v>
      </c>
    </row>
    <row r="1617" spans="1:2" ht="14.25" customHeight="1">
      <c r="A1617" s="7">
        <v>45190002</v>
      </c>
      <c r="B1617" s="8" t="s">
        <v>996</v>
      </c>
    </row>
    <row r="1618" spans="1:2" ht="14.25" customHeight="1">
      <c r="A1618" s="7">
        <v>85014054</v>
      </c>
      <c r="B1618" s="8" t="s">
        <v>997</v>
      </c>
    </row>
    <row r="1619" spans="1:2" ht="14.25" customHeight="1">
      <c r="A1619" s="7">
        <v>81521007</v>
      </c>
      <c r="B1619" s="8" t="s">
        <v>998</v>
      </c>
    </row>
    <row r="1620" spans="1:2" ht="14.25" customHeight="1">
      <c r="A1620" s="7">
        <v>81521008</v>
      </c>
      <c r="B1620" s="8" t="s">
        <v>998</v>
      </c>
    </row>
    <row r="1621" spans="1:2" ht="14.25" customHeight="1">
      <c r="A1621" s="7">
        <v>81521014</v>
      </c>
      <c r="B1621" s="8" t="s">
        <v>998</v>
      </c>
    </row>
    <row r="1622" spans="1:2" ht="14.25" customHeight="1">
      <c r="A1622" s="7">
        <v>81521493</v>
      </c>
      <c r="B1622" s="8" t="s">
        <v>999</v>
      </c>
    </row>
    <row r="1623" spans="1:2" ht="14.25" customHeight="1">
      <c r="A1623" s="7">
        <v>81521445</v>
      </c>
      <c r="B1623" s="8" t="s">
        <v>1000</v>
      </c>
    </row>
    <row r="1624" spans="1:2" ht="14.25" customHeight="1">
      <c r="A1624" s="7">
        <v>8181121</v>
      </c>
      <c r="B1624" s="8" t="s">
        <v>1001</v>
      </c>
    </row>
    <row r="1625" spans="1:2" ht="14.25" customHeight="1">
      <c r="A1625" s="7">
        <v>1732203</v>
      </c>
      <c r="B1625" s="8" t="s">
        <v>1002</v>
      </c>
    </row>
    <row r="1626" spans="1:2" ht="14.25" customHeight="1">
      <c r="A1626" s="7">
        <v>81521240</v>
      </c>
      <c r="B1626" s="8" t="s">
        <v>1003</v>
      </c>
    </row>
    <row r="1627" spans="1:2" ht="14.25" customHeight="1">
      <c r="A1627" s="7">
        <v>81521154</v>
      </c>
      <c r="B1627" s="8" t="s">
        <v>1004</v>
      </c>
    </row>
    <row r="1628" spans="1:2" ht="14.25" customHeight="1">
      <c r="A1628" s="7">
        <v>81521239</v>
      </c>
      <c r="B1628" s="8" t="s">
        <v>1004</v>
      </c>
    </row>
    <row r="1629" spans="1:2" ht="14.25" customHeight="1">
      <c r="A1629" s="7">
        <v>8173214</v>
      </c>
      <c r="B1629" s="8" t="s">
        <v>1005</v>
      </c>
    </row>
    <row r="1630" spans="1:2" ht="14.25" customHeight="1">
      <c r="A1630" s="7">
        <v>8173326</v>
      </c>
      <c r="B1630" s="8" t="s">
        <v>1005</v>
      </c>
    </row>
    <row r="1631" spans="1:2" ht="14.25" customHeight="1">
      <c r="A1631" s="7">
        <v>81521193</v>
      </c>
      <c r="B1631" s="8" t="s">
        <v>1006</v>
      </c>
    </row>
    <row r="1632" spans="1:2" ht="14.25" customHeight="1">
      <c r="A1632" s="7">
        <v>43070001</v>
      </c>
      <c r="B1632" s="8" t="s">
        <v>1007</v>
      </c>
    </row>
    <row r="1633" spans="1:2" ht="14.25" customHeight="1">
      <c r="A1633" s="7">
        <v>11522020</v>
      </c>
      <c r="B1633" s="8" t="s">
        <v>1008</v>
      </c>
    </row>
    <row r="1634" spans="1:2" ht="14.25" customHeight="1">
      <c r="A1634" s="7">
        <v>11521001</v>
      </c>
      <c r="B1634" s="8" t="s">
        <v>1009</v>
      </c>
    </row>
    <row r="1635" spans="1:2" ht="14.25" customHeight="1">
      <c r="A1635" s="7">
        <v>11521002</v>
      </c>
      <c r="B1635" s="8" t="s">
        <v>1009</v>
      </c>
    </row>
    <row r="1636" spans="1:2" ht="14.25" customHeight="1">
      <c r="A1636" s="7">
        <v>11521003</v>
      </c>
      <c r="B1636" s="8" t="s">
        <v>1009</v>
      </c>
    </row>
    <row r="1637" spans="1:2" ht="14.25" customHeight="1">
      <c r="A1637" s="7">
        <v>11521004</v>
      </c>
      <c r="B1637" s="8" t="s">
        <v>1009</v>
      </c>
    </row>
    <row r="1638" spans="1:2" ht="14.25" customHeight="1">
      <c r="A1638" s="7">
        <v>11521005</v>
      </c>
      <c r="B1638" s="8" t="s">
        <v>1009</v>
      </c>
    </row>
    <row r="1639" spans="1:2" ht="14.25" customHeight="1">
      <c r="A1639" s="7">
        <v>11521006</v>
      </c>
      <c r="B1639" s="8" t="s">
        <v>1009</v>
      </c>
    </row>
    <row r="1640" spans="1:2" ht="14.25" customHeight="1">
      <c r="A1640" s="7">
        <v>11521029</v>
      </c>
      <c r="B1640" s="8" t="s">
        <v>1010</v>
      </c>
    </row>
    <row r="1641" spans="1:2" ht="14.25" customHeight="1">
      <c r="A1641" s="7">
        <v>11521030</v>
      </c>
      <c r="B1641" s="8" t="s">
        <v>1010</v>
      </c>
    </row>
    <row r="1642" spans="1:2" ht="14.25" customHeight="1">
      <c r="A1642" s="7">
        <v>11521031</v>
      </c>
      <c r="B1642" s="8" t="s">
        <v>1010</v>
      </c>
    </row>
    <row r="1643" spans="1:2" ht="14.25" customHeight="1">
      <c r="A1643" s="7">
        <v>11521032</v>
      </c>
      <c r="B1643" s="8" t="s">
        <v>1010</v>
      </c>
    </row>
    <row r="1644" spans="1:2" ht="14.25" customHeight="1">
      <c r="A1644" s="7">
        <v>23110001</v>
      </c>
      <c r="B1644" s="8" t="s">
        <v>1011</v>
      </c>
    </row>
    <row r="1645" spans="1:2" ht="14.25" customHeight="1">
      <c r="A1645" s="7">
        <v>15014010</v>
      </c>
      <c r="B1645" s="8" t="s">
        <v>1012</v>
      </c>
    </row>
    <row r="1646" spans="1:2" ht="14.25" customHeight="1">
      <c r="A1646" s="7">
        <v>11521037</v>
      </c>
      <c r="B1646" s="8" t="s">
        <v>1013</v>
      </c>
    </row>
    <row r="1647" spans="1:2" ht="14.25" customHeight="1">
      <c r="A1647" s="7">
        <v>1173001</v>
      </c>
      <c r="B1647" s="8" t="s">
        <v>1014</v>
      </c>
    </row>
    <row r="1648" spans="1:2" ht="14.25" customHeight="1">
      <c r="A1648" s="7">
        <v>1173002</v>
      </c>
      <c r="B1648" s="8" t="s">
        <v>1014</v>
      </c>
    </row>
    <row r="1649" spans="1:2" ht="14.25" customHeight="1">
      <c r="A1649" s="7">
        <v>1173004</v>
      </c>
      <c r="B1649" s="8" t="s">
        <v>1014</v>
      </c>
    </row>
    <row r="1650" spans="1:2" ht="14.25" customHeight="1">
      <c r="A1650" s="7">
        <v>1173005</v>
      </c>
      <c r="B1650" s="8" t="s">
        <v>1014</v>
      </c>
    </row>
    <row r="1651" spans="1:2" ht="14.25" customHeight="1">
      <c r="A1651" s="7">
        <v>1173006</v>
      </c>
      <c r="B1651" s="8" t="s">
        <v>1014</v>
      </c>
    </row>
    <row r="1652" spans="1:2" ht="14.25" customHeight="1">
      <c r="A1652" s="7">
        <v>1731018</v>
      </c>
      <c r="B1652" s="8" t="s">
        <v>1014</v>
      </c>
    </row>
    <row r="1653" spans="1:2" ht="14.25" customHeight="1">
      <c r="A1653" s="7">
        <v>1173007</v>
      </c>
      <c r="B1653" s="8" t="s">
        <v>1015</v>
      </c>
    </row>
    <row r="1654" spans="1:2" ht="14.25" customHeight="1">
      <c r="A1654" s="7">
        <v>1173008</v>
      </c>
      <c r="B1654" s="8" t="s">
        <v>1015</v>
      </c>
    </row>
    <row r="1655" spans="1:2" ht="14.25" customHeight="1">
      <c r="A1655" s="7">
        <v>1173136</v>
      </c>
      <c r="B1655" s="8" t="s">
        <v>1015</v>
      </c>
    </row>
    <row r="1656" spans="1:2" ht="14.25" customHeight="1">
      <c r="A1656" s="7">
        <v>11521007</v>
      </c>
      <c r="B1656" s="8" t="s">
        <v>1016</v>
      </c>
    </row>
    <row r="1657" spans="1:2" ht="14.25" customHeight="1">
      <c r="A1657" s="7">
        <v>11521008</v>
      </c>
      <c r="B1657" s="8" t="s">
        <v>1016</v>
      </c>
    </row>
    <row r="1658" spans="1:2" ht="14.25" customHeight="1">
      <c r="A1658" s="7">
        <v>11521009</v>
      </c>
      <c r="B1658" s="8" t="s">
        <v>1016</v>
      </c>
    </row>
    <row r="1659" spans="1:2" ht="14.25" customHeight="1">
      <c r="A1659" s="7">
        <v>11521010</v>
      </c>
      <c r="B1659" s="8" t="s">
        <v>1016</v>
      </c>
    </row>
    <row r="1660" spans="1:2" ht="14.25" customHeight="1">
      <c r="A1660" s="7">
        <v>11521011</v>
      </c>
      <c r="B1660" s="8" t="s">
        <v>1016</v>
      </c>
    </row>
    <row r="1661" spans="1:2" ht="14.25" customHeight="1">
      <c r="A1661" s="7">
        <v>11521012</v>
      </c>
      <c r="B1661" s="8" t="s">
        <v>1016</v>
      </c>
    </row>
    <row r="1662" spans="1:2" ht="14.25" customHeight="1">
      <c r="A1662" s="7">
        <v>11521013</v>
      </c>
      <c r="B1662" s="8" t="s">
        <v>1016</v>
      </c>
    </row>
    <row r="1663" spans="1:2" ht="14.25" customHeight="1">
      <c r="A1663" s="7">
        <v>11521014</v>
      </c>
      <c r="B1663" s="8" t="s">
        <v>1016</v>
      </c>
    </row>
    <row r="1664" spans="1:2" ht="14.25" customHeight="1">
      <c r="A1664" s="7">
        <v>11521015</v>
      </c>
      <c r="B1664" s="8" t="s">
        <v>1016</v>
      </c>
    </row>
    <row r="1665" spans="1:2" ht="14.25" customHeight="1">
      <c r="A1665" s="7">
        <v>11521016</v>
      </c>
      <c r="B1665" s="8" t="s">
        <v>1016</v>
      </c>
    </row>
    <row r="1666" spans="1:2" ht="14.25" customHeight="1">
      <c r="A1666" s="7">
        <v>11521017</v>
      </c>
      <c r="B1666" s="8" t="s">
        <v>1016</v>
      </c>
    </row>
    <row r="1667" spans="1:2" ht="14.25" customHeight="1">
      <c r="A1667" s="7">
        <v>11521020</v>
      </c>
      <c r="B1667" s="8" t="s">
        <v>1016</v>
      </c>
    </row>
    <row r="1668" spans="1:2" ht="14.25" customHeight="1">
      <c r="A1668" s="7">
        <v>11521021</v>
      </c>
      <c r="B1668" s="8" t="s">
        <v>1016</v>
      </c>
    </row>
    <row r="1669" spans="1:2" ht="14.25" customHeight="1">
      <c r="A1669" s="7">
        <v>11521022</v>
      </c>
      <c r="B1669" s="8" t="s">
        <v>1016</v>
      </c>
    </row>
    <row r="1670" spans="1:2" ht="14.25" customHeight="1">
      <c r="A1670" s="7">
        <v>11521023</v>
      </c>
      <c r="B1670" s="8" t="s">
        <v>1016</v>
      </c>
    </row>
    <row r="1671" spans="1:2" ht="14.25" customHeight="1">
      <c r="A1671" s="7">
        <v>11521025</v>
      </c>
      <c r="B1671" s="8" t="s">
        <v>1016</v>
      </c>
    </row>
    <row r="1672" spans="1:2" ht="14.25" customHeight="1">
      <c r="A1672" s="7">
        <v>11521026</v>
      </c>
      <c r="B1672" s="8" t="s">
        <v>1016</v>
      </c>
    </row>
    <row r="1673" spans="1:2" ht="14.25" customHeight="1">
      <c r="A1673" s="7">
        <v>11521027</v>
      </c>
      <c r="B1673" s="8" t="s">
        <v>1016</v>
      </c>
    </row>
    <row r="1674" spans="1:2" ht="14.25" customHeight="1">
      <c r="A1674" s="7">
        <v>11521028</v>
      </c>
      <c r="B1674" s="8" t="s">
        <v>1016</v>
      </c>
    </row>
    <row r="1675" spans="1:2" ht="14.25" customHeight="1">
      <c r="A1675" s="7">
        <v>11521034</v>
      </c>
      <c r="B1675" s="8" t="s">
        <v>1017</v>
      </c>
    </row>
    <row r="1676" spans="1:2" ht="14.25" customHeight="1">
      <c r="A1676" s="7">
        <v>11521036</v>
      </c>
      <c r="B1676" s="8" t="s">
        <v>1017</v>
      </c>
    </row>
    <row r="1677" spans="1:2" ht="14.25" customHeight="1">
      <c r="A1677" s="7">
        <v>15010004</v>
      </c>
      <c r="B1677" s="8" t="s">
        <v>1018</v>
      </c>
    </row>
    <row r="1678" spans="1:2" ht="14.25" customHeight="1">
      <c r="A1678" s="7">
        <v>11530009</v>
      </c>
      <c r="B1678" s="8" t="s">
        <v>1019</v>
      </c>
    </row>
    <row r="1679" spans="1:2" ht="14.25" customHeight="1">
      <c r="A1679" s="7">
        <v>1159005</v>
      </c>
      <c r="B1679" s="8" t="s">
        <v>1020</v>
      </c>
    </row>
    <row r="1680" spans="1:2" ht="14.25" customHeight="1">
      <c r="A1680" s="7">
        <v>1151027</v>
      </c>
      <c r="B1680" s="8" t="s">
        <v>1021</v>
      </c>
    </row>
    <row r="1681" spans="1:2" ht="14.25" customHeight="1">
      <c r="A1681" s="7">
        <v>1151029</v>
      </c>
      <c r="B1681" s="8" t="s">
        <v>1021</v>
      </c>
    </row>
    <row r="1682" spans="1:2" ht="14.25" customHeight="1">
      <c r="A1682" s="7">
        <v>1151030</v>
      </c>
      <c r="B1682" s="8" t="s">
        <v>1021</v>
      </c>
    </row>
    <row r="1683" spans="1:2" ht="14.25" customHeight="1">
      <c r="A1683" s="7">
        <v>1159007</v>
      </c>
      <c r="B1683" s="8" t="s">
        <v>1021</v>
      </c>
    </row>
    <row r="1684" spans="1:2" ht="14.25" customHeight="1">
      <c r="A1684" s="7">
        <v>1151034</v>
      </c>
      <c r="B1684" s="8" t="s">
        <v>1022</v>
      </c>
    </row>
    <row r="1685" spans="1:2" ht="14.25" customHeight="1">
      <c r="A1685" s="7">
        <v>1173059</v>
      </c>
      <c r="B1685" s="8" t="s">
        <v>1022</v>
      </c>
    </row>
    <row r="1686" spans="1:2" ht="14.25" customHeight="1">
      <c r="A1686" s="7">
        <v>1173060</v>
      </c>
      <c r="B1686" s="8" t="s">
        <v>1022</v>
      </c>
    </row>
    <row r="1687" spans="1:2" ht="14.25" customHeight="1">
      <c r="A1687" s="7">
        <v>1173061</v>
      </c>
      <c r="B1687" s="8" t="s">
        <v>1022</v>
      </c>
    </row>
    <row r="1688" spans="1:2" ht="14.25" customHeight="1">
      <c r="A1688" s="7">
        <v>1173062</v>
      </c>
      <c r="B1688" s="8" t="s">
        <v>1022</v>
      </c>
    </row>
    <row r="1689" spans="1:2" ht="14.25" customHeight="1">
      <c r="A1689" s="7">
        <v>1173063</v>
      </c>
      <c r="B1689" s="8" t="s">
        <v>1022</v>
      </c>
    </row>
    <row r="1690" spans="1:2" ht="14.25" customHeight="1">
      <c r="A1690" s="7">
        <v>11530002</v>
      </c>
      <c r="B1690" s="8" t="s">
        <v>1023</v>
      </c>
    </row>
    <row r="1691" spans="1:2" ht="14.25" customHeight="1">
      <c r="A1691" s="7">
        <v>1173009</v>
      </c>
      <c r="B1691" s="8" t="s">
        <v>1024</v>
      </c>
    </row>
    <row r="1692" spans="1:2" ht="14.25" customHeight="1">
      <c r="A1692" s="7">
        <v>1173010</v>
      </c>
      <c r="B1692" s="8" t="s">
        <v>1024</v>
      </c>
    </row>
    <row r="1693" spans="1:2" ht="14.25" customHeight="1">
      <c r="A1693" s="7">
        <v>1173012</v>
      </c>
      <c r="B1693" s="8" t="s">
        <v>1024</v>
      </c>
    </row>
    <row r="1694" spans="1:2" ht="14.25" customHeight="1">
      <c r="A1694" s="7">
        <v>1173013</v>
      </c>
      <c r="B1694" s="8" t="s">
        <v>1024</v>
      </c>
    </row>
    <row r="1695" spans="1:2" ht="14.25" customHeight="1">
      <c r="A1695" s="7">
        <v>1173014</v>
      </c>
      <c r="B1695" s="8" t="s">
        <v>1024</v>
      </c>
    </row>
    <row r="1696" spans="1:2" ht="14.25" customHeight="1">
      <c r="A1696" s="7">
        <v>1173015</v>
      </c>
      <c r="B1696" s="8" t="s">
        <v>1024</v>
      </c>
    </row>
    <row r="1697" spans="1:2" ht="14.25" customHeight="1">
      <c r="A1697" s="7">
        <v>1173017</v>
      </c>
      <c r="B1697" s="8" t="s">
        <v>1024</v>
      </c>
    </row>
    <row r="1698" spans="1:2" ht="14.25" customHeight="1">
      <c r="A1698" s="7">
        <v>1173018</v>
      </c>
      <c r="B1698" s="8" t="s">
        <v>1024</v>
      </c>
    </row>
    <row r="1699" spans="1:2" ht="14.25" customHeight="1">
      <c r="A1699" s="7">
        <v>1173019</v>
      </c>
      <c r="B1699" s="8" t="s">
        <v>1024</v>
      </c>
    </row>
    <row r="1700" spans="1:2" ht="14.25" customHeight="1">
      <c r="A1700" s="7">
        <v>1173020</v>
      </c>
      <c r="B1700" s="8" t="s">
        <v>1024</v>
      </c>
    </row>
    <row r="1701" spans="1:2" ht="14.25" customHeight="1">
      <c r="A1701" s="7">
        <v>1173021</v>
      </c>
      <c r="B1701" s="8" t="s">
        <v>1024</v>
      </c>
    </row>
    <row r="1702" spans="1:2" ht="14.25" customHeight="1">
      <c r="A1702" s="7">
        <v>1173022</v>
      </c>
      <c r="B1702" s="8" t="s">
        <v>1024</v>
      </c>
    </row>
    <row r="1703" spans="1:2" ht="14.25" customHeight="1">
      <c r="A1703" s="7">
        <v>1173023</v>
      </c>
      <c r="B1703" s="8" t="s">
        <v>1024</v>
      </c>
    </row>
    <row r="1704" spans="1:2" ht="14.25" customHeight="1">
      <c r="A1704" s="7">
        <v>11522007</v>
      </c>
      <c r="B1704" s="8" t="s">
        <v>1024</v>
      </c>
    </row>
    <row r="1705" spans="1:2" ht="14.25" customHeight="1">
      <c r="A1705" s="7">
        <v>33090002</v>
      </c>
      <c r="B1705" s="8" t="s">
        <v>1025</v>
      </c>
    </row>
    <row r="1706" spans="1:2" ht="14.25" customHeight="1">
      <c r="A1706" s="7">
        <v>1172064</v>
      </c>
      <c r="B1706" s="8" t="s">
        <v>1026</v>
      </c>
    </row>
    <row r="1707" spans="1:2" ht="14.25" customHeight="1">
      <c r="A1707" s="7">
        <v>1172065</v>
      </c>
      <c r="B1707" s="8" t="s">
        <v>1026</v>
      </c>
    </row>
    <row r="1708" spans="1:2" ht="14.25" customHeight="1">
      <c r="A1708" s="7">
        <v>1173087</v>
      </c>
      <c r="B1708" s="8" t="s">
        <v>1026</v>
      </c>
    </row>
    <row r="1709" spans="1:2" ht="14.25" customHeight="1">
      <c r="A1709" s="7">
        <v>1173089</v>
      </c>
      <c r="B1709" s="8" t="s">
        <v>1026</v>
      </c>
    </row>
    <row r="1710" spans="1:2" ht="14.25" customHeight="1">
      <c r="A1710" s="7">
        <v>1173092</v>
      </c>
      <c r="B1710" s="8" t="s">
        <v>1026</v>
      </c>
    </row>
    <row r="1711" spans="1:2" ht="14.25" customHeight="1">
      <c r="A1711" s="7">
        <v>1173093</v>
      </c>
      <c r="B1711" s="8" t="s">
        <v>1026</v>
      </c>
    </row>
    <row r="1712" spans="1:2" ht="14.25" customHeight="1">
      <c r="A1712" s="7">
        <v>1173096</v>
      </c>
      <c r="B1712" s="8" t="s">
        <v>1027</v>
      </c>
    </row>
    <row r="1713" spans="1:2" ht="14.25" customHeight="1">
      <c r="A1713" s="7">
        <v>1173098</v>
      </c>
      <c r="B1713" s="8" t="s">
        <v>1027</v>
      </c>
    </row>
    <row r="1714" spans="1:2" ht="14.25" customHeight="1">
      <c r="A1714" s="7">
        <v>1173105</v>
      </c>
      <c r="B1714" s="8" t="s">
        <v>1027</v>
      </c>
    </row>
    <row r="1715" spans="1:2" ht="14.25" customHeight="1">
      <c r="A1715" s="7">
        <v>1173106</v>
      </c>
      <c r="B1715" s="8" t="s">
        <v>1027</v>
      </c>
    </row>
    <row r="1716" spans="1:2" ht="14.25" customHeight="1">
      <c r="A1716" s="7">
        <v>1173116</v>
      </c>
      <c r="B1716" s="8" t="s">
        <v>1027</v>
      </c>
    </row>
    <row r="1717" spans="1:2" ht="14.25" customHeight="1">
      <c r="A1717" s="7">
        <v>1173117</v>
      </c>
      <c r="B1717" s="8" t="s">
        <v>1027</v>
      </c>
    </row>
    <row r="1718" spans="1:2" ht="14.25" customHeight="1">
      <c r="A1718" s="7">
        <v>11519003</v>
      </c>
      <c r="B1718" s="8" t="s">
        <v>1027</v>
      </c>
    </row>
    <row r="1719" spans="1:2" ht="14.25" customHeight="1">
      <c r="A1719" s="7">
        <v>11519005</v>
      </c>
      <c r="B1719" s="8" t="s">
        <v>1028</v>
      </c>
    </row>
    <row r="1720" spans="1:2" ht="14.25" customHeight="1">
      <c r="A1720" s="7">
        <v>11519009</v>
      </c>
      <c r="B1720" s="8" t="s">
        <v>1028</v>
      </c>
    </row>
    <row r="1721" spans="1:2" ht="14.25" customHeight="1">
      <c r="A1721" s="7">
        <v>1177001</v>
      </c>
      <c r="B1721" s="8" t="s">
        <v>1029</v>
      </c>
    </row>
    <row r="1722" spans="1:2" ht="14.25" customHeight="1">
      <c r="A1722" s="7">
        <v>1177003</v>
      </c>
      <c r="B1722" s="8" t="s">
        <v>1029</v>
      </c>
    </row>
    <row r="1723" spans="1:2" ht="14.25" customHeight="1">
      <c r="A1723" s="7">
        <v>13100003</v>
      </c>
      <c r="B1723" s="8" t="s">
        <v>1030</v>
      </c>
    </row>
    <row r="1724" spans="1:2" ht="14.25" customHeight="1">
      <c r="A1724" s="7">
        <v>13100004</v>
      </c>
      <c r="B1724" s="8" t="s">
        <v>1030</v>
      </c>
    </row>
    <row r="1725" spans="1:2" ht="14.25" customHeight="1">
      <c r="A1725" s="7">
        <v>13100005</v>
      </c>
      <c r="B1725" s="8" t="s">
        <v>1030</v>
      </c>
    </row>
    <row r="1726" spans="1:2" ht="14.25" customHeight="1">
      <c r="A1726" s="7">
        <v>13100006</v>
      </c>
      <c r="B1726" s="8" t="s">
        <v>1030</v>
      </c>
    </row>
    <row r="1727" spans="1:2" ht="14.25" customHeight="1">
      <c r="A1727" s="7">
        <v>13100017</v>
      </c>
      <c r="B1727" s="8" t="s">
        <v>1030</v>
      </c>
    </row>
    <row r="1728" spans="1:2" ht="14.25" customHeight="1">
      <c r="A1728" s="7">
        <v>15048026</v>
      </c>
      <c r="B1728" s="8" t="s">
        <v>1030</v>
      </c>
    </row>
    <row r="1729" spans="1:2" ht="14.25" customHeight="1">
      <c r="A1729" s="7">
        <v>23100002</v>
      </c>
      <c r="B1729" s="8" t="s">
        <v>1030</v>
      </c>
    </row>
    <row r="1730" spans="1:2" ht="14.25" customHeight="1">
      <c r="A1730" s="7">
        <v>17320843</v>
      </c>
      <c r="B1730" s="8" t="s">
        <v>1031</v>
      </c>
    </row>
    <row r="1731" spans="1:2" ht="14.25" customHeight="1">
      <c r="A1731" s="7">
        <v>17320844</v>
      </c>
      <c r="B1731" s="8" t="s">
        <v>1031</v>
      </c>
    </row>
    <row r="1732" spans="1:2" ht="14.25" customHeight="1">
      <c r="A1732" s="7">
        <v>17320845</v>
      </c>
      <c r="B1732" s="8" t="s">
        <v>1031</v>
      </c>
    </row>
    <row r="1733" spans="1:2" ht="14.25" customHeight="1">
      <c r="A1733" s="7">
        <v>17320846</v>
      </c>
      <c r="B1733" s="8" t="s">
        <v>1031</v>
      </c>
    </row>
    <row r="1734" spans="1:2" ht="14.25" customHeight="1">
      <c r="A1734" s="7">
        <v>17320847</v>
      </c>
      <c r="B1734" s="8" t="s">
        <v>1031</v>
      </c>
    </row>
    <row r="1735" spans="1:2" ht="14.25" customHeight="1">
      <c r="A1735" s="7">
        <v>17320850</v>
      </c>
      <c r="B1735" s="8" t="s">
        <v>1031</v>
      </c>
    </row>
    <row r="1736" spans="1:2" ht="14.25" customHeight="1">
      <c r="A1736" s="7">
        <v>1157009</v>
      </c>
      <c r="B1736" s="8" t="s">
        <v>1032</v>
      </c>
    </row>
    <row r="1737" spans="1:2" ht="14.25" customHeight="1">
      <c r="A1737" s="7">
        <v>17320842</v>
      </c>
      <c r="B1737" s="8" t="s">
        <v>1033</v>
      </c>
    </row>
    <row r="1738" spans="1:2" ht="14.25" customHeight="1">
      <c r="A1738" s="7">
        <v>1173094</v>
      </c>
      <c r="B1738" s="8" t="s">
        <v>1034</v>
      </c>
    </row>
    <row r="1739" spans="1:2" ht="14.25" customHeight="1">
      <c r="A1739" s="7">
        <v>17320830</v>
      </c>
      <c r="B1739" s="8" t="s">
        <v>1035</v>
      </c>
    </row>
    <row r="1740" spans="1:2" ht="14.25" customHeight="1">
      <c r="A1740" s="7">
        <v>32080007</v>
      </c>
      <c r="B1740" s="8" t="s">
        <v>1036</v>
      </c>
    </row>
    <row r="1741" spans="1:2" ht="14.25" customHeight="1">
      <c r="A1741" s="7">
        <v>41521042</v>
      </c>
      <c r="B1741" s="8" t="s">
        <v>1037</v>
      </c>
    </row>
    <row r="1742" spans="1:2" ht="14.25" customHeight="1">
      <c r="A1742" s="7">
        <v>22030121</v>
      </c>
      <c r="B1742" s="8" t="s">
        <v>1038</v>
      </c>
    </row>
    <row r="1743" spans="1:2" ht="14.25" customHeight="1">
      <c r="A1743" s="7">
        <v>22080011</v>
      </c>
      <c r="B1743" s="8" t="s">
        <v>1039</v>
      </c>
    </row>
    <row r="1744" spans="1:2" ht="14.25" customHeight="1">
      <c r="A1744" s="7">
        <v>22080012</v>
      </c>
      <c r="B1744" s="8" t="s">
        <v>1039</v>
      </c>
    </row>
    <row r="1745" spans="1:2" ht="14.25" customHeight="1">
      <c r="A1745" s="7">
        <v>22080018</v>
      </c>
      <c r="B1745" s="8" t="s">
        <v>1039</v>
      </c>
    </row>
    <row r="1746" spans="1:2" ht="14.25" customHeight="1">
      <c r="A1746" s="7">
        <v>22080030</v>
      </c>
      <c r="B1746" s="8" t="s">
        <v>1039</v>
      </c>
    </row>
    <row r="1747" spans="1:2" ht="14.25" customHeight="1">
      <c r="A1747" s="7">
        <v>32080006</v>
      </c>
      <c r="B1747" s="8" t="s">
        <v>1039</v>
      </c>
    </row>
    <row r="1748" spans="1:2" ht="14.25" customHeight="1">
      <c r="A1748" s="7">
        <v>1770096</v>
      </c>
      <c r="B1748" s="8" t="s">
        <v>1040</v>
      </c>
    </row>
    <row r="1749" spans="1:2" ht="14.25" customHeight="1">
      <c r="A1749" s="7">
        <v>22080033</v>
      </c>
      <c r="B1749" s="8" t="s">
        <v>1041</v>
      </c>
    </row>
    <row r="1750" spans="1:2" ht="14.25" customHeight="1">
      <c r="A1750" s="7">
        <v>32080003</v>
      </c>
      <c r="B1750" s="8" t="s">
        <v>1041</v>
      </c>
    </row>
    <row r="1751" spans="1:2" ht="14.25" customHeight="1">
      <c r="A1751" s="7">
        <v>32030042</v>
      </c>
      <c r="B1751" s="8" t="s">
        <v>1042</v>
      </c>
    </row>
    <row r="1752" spans="1:2" ht="14.25" customHeight="1">
      <c r="A1752" s="7">
        <v>45005090</v>
      </c>
      <c r="B1752" s="8" t="s">
        <v>1042</v>
      </c>
    </row>
    <row r="1753" spans="1:2" ht="14.25" customHeight="1">
      <c r="A1753" s="7">
        <v>32080005</v>
      </c>
      <c r="B1753" s="8" t="s">
        <v>1043</v>
      </c>
    </row>
    <row r="1754" spans="1:2" ht="14.25" customHeight="1">
      <c r="A1754" s="7">
        <v>22080022</v>
      </c>
      <c r="B1754" s="8" t="s">
        <v>1044</v>
      </c>
    </row>
    <row r="1755" spans="1:2" ht="14.25" customHeight="1">
      <c r="A1755" s="7">
        <v>41521044</v>
      </c>
      <c r="B1755" s="8" t="s">
        <v>1045</v>
      </c>
    </row>
    <row r="1756" spans="1:2" ht="14.25" customHeight="1">
      <c r="A1756" s="7">
        <v>41521048</v>
      </c>
      <c r="B1756" s="8" t="s">
        <v>1045</v>
      </c>
    </row>
    <row r="1757" spans="1:2" ht="14.25" customHeight="1">
      <c r="A1757" s="7">
        <v>41521049</v>
      </c>
      <c r="B1757" s="8" t="s">
        <v>1045</v>
      </c>
    </row>
    <row r="1758" spans="1:2" ht="14.25" customHeight="1">
      <c r="A1758" s="7">
        <v>41521050</v>
      </c>
      <c r="B1758" s="8" t="s">
        <v>1045</v>
      </c>
    </row>
    <row r="1759" spans="1:2" ht="14.25" customHeight="1">
      <c r="A1759" s="7">
        <v>41521051</v>
      </c>
      <c r="B1759" s="8" t="s">
        <v>1045</v>
      </c>
    </row>
    <row r="1760" spans="1:2" ht="14.25" customHeight="1">
      <c r="A1760" s="7">
        <v>41521052</v>
      </c>
      <c r="B1760" s="8" t="s">
        <v>1045</v>
      </c>
    </row>
    <row r="1761" spans="1:2" ht="14.25" customHeight="1">
      <c r="A1761" s="7">
        <v>41521053</v>
      </c>
      <c r="B1761" s="8" t="s">
        <v>1045</v>
      </c>
    </row>
    <row r="1762" spans="1:2" ht="14.25" customHeight="1">
      <c r="A1762" s="7">
        <v>41521054</v>
      </c>
      <c r="B1762" s="8" t="s">
        <v>1045</v>
      </c>
    </row>
    <row r="1763" spans="1:2" ht="14.25" customHeight="1">
      <c r="A1763" s="7">
        <v>41521055</v>
      </c>
      <c r="B1763" s="8" t="s">
        <v>1045</v>
      </c>
    </row>
    <row r="1764" spans="1:2" ht="14.25" customHeight="1">
      <c r="A1764" s="7">
        <v>41522065</v>
      </c>
      <c r="B1764" s="8" t="s">
        <v>1046</v>
      </c>
    </row>
    <row r="1765" spans="1:2" ht="14.25" customHeight="1">
      <c r="A1765" s="7">
        <v>41521032</v>
      </c>
      <c r="B1765" s="8" t="s">
        <v>1047</v>
      </c>
    </row>
    <row r="1766" spans="1:2" ht="14.25" customHeight="1">
      <c r="A1766" s="7">
        <v>41521033</v>
      </c>
      <c r="B1766" s="8" t="s">
        <v>1047</v>
      </c>
    </row>
    <row r="1767" spans="1:2" ht="14.25" customHeight="1">
      <c r="A1767" s="7">
        <v>41521034</v>
      </c>
      <c r="B1767" s="8" t="s">
        <v>1047</v>
      </c>
    </row>
    <row r="1768" spans="1:2" ht="14.25" customHeight="1">
      <c r="A1768" s="7">
        <v>41521035</v>
      </c>
      <c r="B1768" s="8" t="s">
        <v>1047</v>
      </c>
    </row>
    <row r="1769" spans="1:2" ht="14.25" customHeight="1">
      <c r="A1769" s="7">
        <v>41521036</v>
      </c>
      <c r="B1769" s="8" t="s">
        <v>1047</v>
      </c>
    </row>
    <row r="1770" spans="1:2" ht="14.25" customHeight="1">
      <c r="A1770" s="7">
        <v>41521037</v>
      </c>
      <c r="B1770" s="8" t="s">
        <v>1047</v>
      </c>
    </row>
    <row r="1771" spans="1:2" ht="14.25" customHeight="1">
      <c r="A1771" s="7">
        <v>41521038</v>
      </c>
      <c r="B1771" s="8" t="s">
        <v>1047</v>
      </c>
    </row>
    <row r="1772" spans="1:2" ht="14.25" customHeight="1">
      <c r="A1772" s="7">
        <v>41521039</v>
      </c>
      <c r="B1772" s="8" t="s">
        <v>1047</v>
      </c>
    </row>
    <row r="1773" spans="1:2" ht="14.25" customHeight="1">
      <c r="A1773" s="7">
        <v>41521040</v>
      </c>
      <c r="B1773" s="8" t="s">
        <v>1047</v>
      </c>
    </row>
    <row r="1774" spans="1:2" ht="14.25" customHeight="1">
      <c r="A1774" s="7">
        <v>41521041</v>
      </c>
      <c r="B1774" s="8" t="s">
        <v>1047</v>
      </c>
    </row>
    <row r="1775" spans="1:2" ht="14.25" customHeight="1">
      <c r="A1775" s="7">
        <v>15048015</v>
      </c>
      <c r="B1775" s="8" t="s">
        <v>1011</v>
      </c>
    </row>
    <row r="1776" spans="1:2" ht="14.25" customHeight="1">
      <c r="A1776" s="7">
        <v>22030426</v>
      </c>
      <c r="B1776" s="8" t="s">
        <v>626</v>
      </c>
    </row>
    <row r="1777" spans="1:2" ht="14.25" customHeight="1">
      <c r="A1777" s="7">
        <v>51507013</v>
      </c>
      <c r="B1777" s="8" t="s">
        <v>761</v>
      </c>
    </row>
    <row r="1778" spans="1:2" ht="14.25" customHeight="1">
      <c r="A1778" s="7">
        <v>43080001</v>
      </c>
      <c r="B1778" s="8" t="s">
        <v>1048</v>
      </c>
    </row>
    <row r="1779" spans="1:2" ht="14.25" customHeight="1">
      <c r="A1779" s="7">
        <v>85048095</v>
      </c>
      <c r="B1779" s="8" t="s">
        <v>901</v>
      </c>
    </row>
    <row r="1780" spans="1:2" ht="14.25" customHeight="1">
      <c r="A1780" s="7">
        <v>16170054</v>
      </c>
      <c r="B1780" s="8" t="s">
        <v>1049</v>
      </c>
    </row>
    <row r="1781" spans="1:2" ht="14.25" customHeight="1">
      <c r="A1781" s="7">
        <v>22080109</v>
      </c>
      <c r="B1781" s="8" t="s">
        <v>1050</v>
      </c>
    </row>
    <row r="1782" spans="1:2" ht="14.25" customHeight="1">
      <c r="A1782" s="7">
        <v>11040022</v>
      </c>
      <c r="B1782" s="8" t="s">
        <v>727</v>
      </c>
    </row>
    <row r="1783" spans="1:2" ht="14.25" customHeight="1">
      <c r="A1783" s="7">
        <v>15690001</v>
      </c>
      <c r="B1783" s="8" t="s">
        <v>1051</v>
      </c>
    </row>
    <row r="1784" spans="1:2" ht="14.25" customHeight="1">
      <c r="A1784" s="7">
        <v>45048035</v>
      </c>
      <c r="B1784" s="8" t="s">
        <v>1045</v>
      </c>
    </row>
    <row r="1785" spans="1:2" ht="14.25" customHeight="1">
      <c r="A1785" s="7">
        <v>12060001</v>
      </c>
      <c r="B1785" s="8" t="s">
        <v>1052</v>
      </c>
    </row>
    <row r="1786" spans="1:2" ht="14.25" customHeight="1">
      <c r="A1786" s="7">
        <v>12060004</v>
      </c>
      <c r="B1786" s="8" t="s">
        <v>1052</v>
      </c>
    </row>
    <row r="1787" spans="1:2" ht="14.25" customHeight="1">
      <c r="A1787" s="7">
        <v>8173200</v>
      </c>
      <c r="B1787" s="8" t="s">
        <v>961</v>
      </c>
    </row>
    <row r="1788" spans="1:2" ht="14.25" customHeight="1">
      <c r="A1788" s="7">
        <v>900258</v>
      </c>
      <c r="B1788" s="8" t="s">
        <v>1053</v>
      </c>
    </row>
    <row r="1789" spans="1:2" ht="14.25" customHeight="1">
      <c r="A1789" s="7">
        <v>18010001</v>
      </c>
      <c r="B1789" s="8" t="s">
        <v>1054</v>
      </c>
    </row>
    <row r="1790" spans="1:2" ht="14.25" customHeight="1">
      <c r="A1790" s="7">
        <v>18010002</v>
      </c>
      <c r="B1790" s="8" t="s">
        <v>1054</v>
      </c>
    </row>
    <row r="1791" spans="1:2" ht="14.25" customHeight="1">
      <c r="A1791" s="7">
        <v>11521030</v>
      </c>
      <c r="B1791" s="8" t="s">
        <v>1010</v>
      </c>
    </row>
    <row r="1792" spans="1:2" ht="14.25" customHeight="1">
      <c r="A1792" s="7">
        <v>15048016</v>
      </c>
      <c r="B1792" s="8" t="s">
        <v>1011</v>
      </c>
    </row>
    <row r="1793" spans="1:2" ht="14.25" customHeight="1">
      <c r="A1793" s="7" t="s">
        <v>1055</v>
      </c>
      <c r="B1793" s="8" t="s">
        <v>1056</v>
      </c>
    </row>
    <row r="1794" spans="1:2">
      <c r="A1794" s="7">
        <v>23220003</v>
      </c>
      <c r="B1794" s="8" t="s">
        <v>762</v>
      </c>
    </row>
    <row r="1795" spans="1:2">
      <c r="A1795" s="7">
        <v>13150004</v>
      </c>
      <c r="B1795" s="7" t="s">
        <v>1057</v>
      </c>
    </row>
    <row r="1796" spans="1:2">
      <c r="A1796" s="31">
        <v>43150004</v>
      </c>
      <c r="B1796" s="8" t="s">
        <v>1058</v>
      </c>
    </row>
    <row r="1797" spans="1:2">
      <c r="A1797" s="21">
        <v>12060002</v>
      </c>
      <c r="B1797" s="8" t="s">
        <v>1052</v>
      </c>
    </row>
    <row r="1798" spans="1:2">
      <c r="A1798" s="21">
        <v>12060003</v>
      </c>
      <c r="B1798" s="8" t="s">
        <v>1052</v>
      </c>
    </row>
    <row r="1799" spans="1:2">
      <c r="A1799" s="7">
        <v>15730003</v>
      </c>
      <c r="B1799" s="8" t="s">
        <v>833</v>
      </c>
    </row>
    <row r="1800" spans="1:2">
      <c r="A1800" s="21">
        <v>17020053</v>
      </c>
      <c r="B1800" s="8" t="s">
        <v>984</v>
      </c>
    </row>
    <row r="1801" spans="1:2">
      <c r="A1801" s="21">
        <v>17020051</v>
      </c>
      <c r="B1801" s="8" t="s">
        <v>984</v>
      </c>
    </row>
    <row r="1802" spans="1:2">
      <c r="A1802" s="21">
        <v>51519055</v>
      </c>
      <c r="B1802" s="8" t="s">
        <v>762</v>
      </c>
    </row>
    <row r="1803" spans="1:2">
      <c r="A1803" s="21">
        <v>17020055</v>
      </c>
      <c r="B1803" s="8" t="s">
        <v>983</v>
      </c>
    </row>
    <row r="1804" spans="1:2">
      <c r="A1804" s="7">
        <v>15430003</v>
      </c>
      <c r="B1804" s="8" t="s">
        <v>1059</v>
      </c>
    </row>
    <row r="1805" spans="1:2">
      <c r="A1805" s="7">
        <v>61521065</v>
      </c>
      <c r="B1805" s="8" t="s">
        <v>1060</v>
      </c>
    </row>
    <row r="1806" spans="1:2">
      <c r="A1806" s="21">
        <v>12010015</v>
      </c>
      <c r="B1806" s="8" t="s">
        <v>1061</v>
      </c>
    </row>
    <row r="1807" spans="1:2">
      <c r="A1807" s="31">
        <v>500580579</v>
      </c>
      <c r="B1807" s="8" t="s">
        <v>1062</v>
      </c>
    </row>
    <row r="1808" spans="1:2">
      <c r="A1808" s="7"/>
      <c r="B1808" s="8"/>
    </row>
    <row r="1809" spans="1:2">
      <c r="A1809" s="7"/>
      <c r="B1809" s="8"/>
    </row>
    <row r="1810" spans="1:2">
      <c r="A1810" s="7"/>
      <c r="B1810" s="8"/>
    </row>
    <row r="1811" spans="1:2">
      <c r="A1811" s="7"/>
      <c r="B1811" s="8"/>
    </row>
    <row r="1812" spans="1:2">
      <c r="A1812" s="7"/>
      <c r="B1812" s="8"/>
    </row>
    <row r="1813" spans="1:2">
      <c r="A1813" s="7"/>
      <c r="B1813" s="8"/>
    </row>
    <row r="1814" spans="1:2">
      <c r="A1814" s="7"/>
      <c r="B1814" s="8"/>
    </row>
    <row r="1815" spans="1:2">
      <c r="A1815" s="7"/>
      <c r="B1815" s="8"/>
    </row>
    <row r="1816" spans="1:2">
      <c r="A1816" s="7"/>
      <c r="B1816" s="8"/>
    </row>
    <row r="1817" spans="1:2">
      <c r="A1817" s="7"/>
      <c r="B1817" s="8"/>
    </row>
    <row r="1818" spans="1:2">
      <c r="A1818" s="7"/>
      <c r="B1818" s="8"/>
    </row>
    <row r="1819" spans="1:2">
      <c r="A1819" s="7"/>
      <c r="B1819" s="8"/>
    </row>
    <row r="1820" spans="1:2">
      <c r="A1820" s="7"/>
      <c r="B1820" s="8"/>
    </row>
    <row r="1821" spans="1:2">
      <c r="A1821" s="7"/>
      <c r="B1821" s="8"/>
    </row>
    <row r="1822" spans="1:2">
      <c r="A1822" s="7"/>
      <c r="B1822" s="8"/>
    </row>
    <row r="1823" spans="1:2">
      <c r="A1823" s="7"/>
      <c r="B1823" s="8"/>
    </row>
    <row r="1824" spans="1:2">
      <c r="A1824" s="7"/>
      <c r="B1824" s="8"/>
    </row>
    <row r="1825" spans="1:2">
      <c r="A1825" s="7"/>
      <c r="B1825" s="8"/>
    </row>
    <row r="1826" spans="1:2">
      <c r="A1826" s="7"/>
      <c r="B1826" s="8"/>
    </row>
    <row r="1827" spans="1:2">
      <c r="A1827" s="7"/>
      <c r="B1827" s="8"/>
    </row>
    <row r="1828" spans="1:2">
      <c r="A1828" s="7"/>
      <c r="B1828" s="8"/>
    </row>
    <row r="1829" spans="1:2">
      <c r="A1829" s="7"/>
      <c r="B1829" s="8"/>
    </row>
    <row r="1830" spans="1:2">
      <c r="A1830" s="7"/>
      <c r="B1830" s="8"/>
    </row>
    <row r="1831" spans="1:2">
      <c r="A1831" s="7"/>
      <c r="B1831" s="8"/>
    </row>
    <row r="1832" spans="1:2">
      <c r="A1832" s="7"/>
      <c r="B1832" s="8"/>
    </row>
    <row r="1833" spans="1:2">
      <c r="A1833" s="7"/>
      <c r="B1833" s="8"/>
    </row>
    <row r="1834" spans="1:2">
      <c r="A1834" s="7"/>
      <c r="B1834" s="8"/>
    </row>
    <row r="1835" spans="1:2">
      <c r="A1835" s="7"/>
      <c r="B1835" s="8"/>
    </row>
    <row r="1836" spans="1:2">
      <c r="A1836" s="7"/>
      <c r="B1836" s="8"/>
    </row>
    <row r="1837" spans="1:2">
      <c r="A1837" s="7"/>
      <c r="B1837" s="8"/>
    </row>
    <row r="1838" spans="1:2">
      <c r="A1838" s="7"/>
      <c r="B1838" s="8"/>
    </row>
    <row r="1839" spans="1:2">
      <c r="A1839" s="7"/>
      <c r="B1839" s="8"/>
    </row>
    <row r="1840" spans="1:2">
      <c r="A1840" s="7"/>
      <c r="B1840" s="8"/>
    </row>
    <row r="1841" spans="1:2">
      <c r="A1841" s="7"/>
      <c r="B1841" s="8"/>
    </row>
    <row r="1842" spans="1:2">
      <c r="A1842" s="7"/>
      <c r="B1842" s="8"/>
    </row>
    <row r="1843" spans="1:2">
      <c r="A1843" s="7"/>
      <c r="B1843" s="8"/>
    </row>
    <row r="1844" spans="1:2">
      <c r="A1844" s="7"/>
      <c r="B1844" s="8"/>
    </row>
    <row r="1845" spans="1:2">
      <c r="A1845" s="7"/>
      <c r="B1845" s="8"/>
    </row>
    <row r="1846" spans="1:2">
      <c r="A1846" s="7"/>
      <c r="B1846" s="8"/>
    </row>
    <row r="1847" spans="1:2">
      <c r="A1847" s="7"/>
      <c r="B1847" s="8"/>
    </row>
    <row r="1848" spans="1:2">
      <c r="A1848" s="7"/>
      <c r="B1848" s="8"/>
    </row>
    <row r="1849" spans="1:2">
      <c r="A1849" s="7"/>
      <c r="B1849" s="8"/>
    </row>
    <row r="1850" spans="1:2">
      <c r="A1850" s="7"/>
      <c r="B1850" s="8"/>
    </row>
    <row r="1851" spans="1:2">
      <c r="A1851" s="7"/>
      <c r="B1851" s="8"/>
    </row>
    <row r="1852" spans="1:2">
      <c r="A1852" s="7"/>
      <c r="B1852" s="8"/>
    </row>
    <row r="1853" spans="1:2">
      <c r="A1853" s="7"/>
      <c r="B1853" s="8"/>
    </row>
    <row r="1854" spans="1:2">
      <c r="A1854" s="7"/>
      <c r="B1854" s="8"/>
    </row>
    <row r="1855" spans="1:2">
      <c r="A1855" s="7"/>
      <c r="B1855" s="8"/>
    </row>
    <row r="1856" spans="1:2">
      <c r="A1856" s="7"/>
      <c r="B1856" s="8"/>
    </row>
    <row r="1857" spans="1:2">
      <c r="A1857" s="7"/>
      <c r="B1857" s="8"/>
    </row>
    <row r="1858" spans="1:2">
      <c r="A1858" s="7"/>
      <c r="B1858" s="8"/>
    </row>
    <row r="1859" spans="1:2">
      <c r="A1859" s="7"/>
      <c r="B1859" s="8"/>
    </row>
    <row r="1860" spans="1:2">
      <c r="A1860" s="7"/>
      <c r="B1860" s="8"/>
    </row>
    <row r="1861" spans="1:2">
      <c r="A1861" s="7"/>
      <c r="B1861" s="8"/>
    </row>
    <row r="1862" spans="1:2">
      <c r="A1862" s="7"/>
      <c r="B1862" s="8"/>
    </row>
    <row r="1863" spans="1:2">
      <c r="A1863" s="7"/>
      <c r="B1863" s="8"/>
    </row>
    <row r="1864" spans="1:2">
      <c r="A1864" s="7"/>
      <c r="B1864" s="8"/>
    </row>
    <row r="1865" spans="1:2">
      <c r="A1865" s="7"/>
      <c r="B1865" s="8"/>
    </row>
    <row r="1866" spans="1:2">
      <c r="A1866" s="7"/>
      <c r="B1866" s="8"/>
    </row>
    <row r="1867" spans="1:2">
      <c r="A1867" s="7"/>
      <c r="B1867" s="8"/>
    </row>
    <row r="1868" spans="1:2">
      <c r="A1868" s="7"/>
      <c r="B1868" s="8"/>
    </row>
    <row r="1869" spans="1:2">
      <c r="A1869" s="7"/>
      <c r="B1869" s="8"/>
    </row>
    <row r="1870" spans="1:2">
      <c r="A1870" s="7"/>
      <c r="B1870" s="8"/>
    </row>
    <row r="1871" spans="1:2">
      <c r="A1871" s="7"/>
      <c r="B1871" s="8"/>
    </row>
    <row r="1872" spans="1:2">
      <c r="A1872" s="7"/>
      <c r="B1872" s="8"/>
    </row>
    <row r="1873" spans="1:2">
      <c r="A1873" s="7"/>
      <c r="B1873" s="8"/>
    </row>
    <row r="1874" spans="1:2">
      <c r="A1874" s="7"/>
      <c r="B1874" s="8"/>
    </row>
    <row r="1875" spans="1:2">
      <c r="A1875" s="7"/>
      <c r="B1875" s="8"/>
    </row>
    <row r="1876" spans="1:2">
      <c r="A1876" s="7"/>
      <c r="B1876" s="8"/>
    </row>
    <row r="1877" spans="1:2">
      <c r="A1877" s="7"/>
      <c r="B1877" s="8"/>
    </row>
    <row r="1878" spans="1:2">
      <c r="A1878" s="7"/>
      <c r="B1878" s="8"/>
    </row>
    <row r="1879" spans="1:2">
      <c r="A1879" s="7"/>
      <c r="B1879" s="8"/>
    </row>
    <row r="1880" spans="1:2">
      <c r="A1880" s="7"/>
      <c r="B1880" s="8"/>
    </row>
    <row r="1881" spans="1:2">
      <c r="A1881" s="7"/>
      <c r="B1881" s="8"/>
    </row>
    <row r="1882" spans="1:2">
      <c r="A1882" s="7"/>
      <c r="B1882" s="8"/>
    </row>
    <row r="1883" spans="1:2">
      <c r="A1883" s="7"/>
      <c r="B1883" s="8"/>
    </row>
    <row r="1884" spans="1:2">
      <c r="A1884" s="7"/>
      <c r="B1884" s="8"/>
    </row>
    <row r="1885" spans="1:2">
      <c r="A1885" s="7"/>
      <c r="B1885" s="8"/>
    </row>
    <row r="1886" spans="1:2">
      <c r="A1886" s="7"/>
      <c r="B1886" s="8"/>
    </row>
    <row r="1887" spans="1:2">
      <c r="A1887" s="7"/>
      <c r="B1887" s="8"/>
    </row>
    <row r="1888" spans="1:2">
      <c r="A1888" s="7"/>
      <c r="B1888" s="8"/>
    </row>
    <row r="1889" spans="1:2">
      <c r="A1889" s="7"/>
      <c r="B1889" s="8"/>
    </row>
    <row r="1890" spans="1:2">
      <c r="A1890" s="7"/>
      <c r="B1890" s="8"/>
    </row>
    <row r="1891" spans="1:2">
      <c r="A1891" s="7"/>
      <c r="B1891" s="8"/>
    </row>
    <row r="1892" spans="1:2">
      <c r="A1892" s="7"/>
      <c r="B1892" s="8"/>
    </row>
    <row r="1893" spans="1:2">
      <c r="A1893" s="7"/>
      <c r="B1893" s="8"/>
    </row>
    <row r="1894" spans="1:2">
      <c r="A1894" s="7"/>
      <c r="B1894" s="8"/>
    </row>
    <row r="1895" spans="1:2">
      <c r="A1895" s="7"/>
      <c r="B1895" s="8"/>
    </row>
    <row r="1896" spans="1:2">
      <c r="A1896" s="7"/>
      <c r="B1896" s="8"/>
    </row>
    <row r="1897" spans="1:2">
      <c r="A1897" s="7"/>
      <c r="B1897" s="8"/>
    </row>
    <row r="1898" spans="1:2">
      <c r="A1898" s="7"/>
      <c r="B1898" s="8"/>
    </row>
    <row r="1899" spans="1:2">
      <c r="A1899" s="7"/>
      <c r="B1899" s="8"/>
    </row>
    <row r="1900" spans="1:2">
      <c r="A1900" s="7"/>
      <c r="B1900" s="8"/>
    </row>
    <row r="1901" spans="1:2">
      <c r="A1901" s="7"/>
      <c r="B1901" s="8"/>
    </row>
    <row r="1902" spans="1:2">
      <c r="A1902" s="7"/>
      <c r="B1902" s="8"/>
    </row>
    <row r="1903" spans="1:2">
      <c r="A1903" s="7"/>
      <c r="B1903" s="8"/>
    </row>
    <row r="1904" spans="1:2">
      <c r="A1904" s="7"/>
      <c r="B1904" s="8"/>
    </row>
    <row r="1905" spans="1:2">
      <c r="A1905" s="7"/>
      <c r="B1905" s="8"/>
    </row>
    <row r="1906" spans="1:2">
      <c r="A1906" s="7"/>
      <c r="B1906" s="8"/>
    </row>
    <row r="1907" spans="1:2">
      <c r="A1907" s="7"/>
      <c r="B1907" s="8"/>
    </row>
    <row r="1908" spans="1:2">
      <c r="A1908" s="7"/>
      <c r="B1908" s="8"/>
    </row>
    <row r="1909" spans="1:2">
      <c r="A1909" s="7"/>
      <c r="B1909" s="8"/>
    </row>
    <row r="1910" spans="1:2">
      <c r="A1910" s="7"/>
      <c r="B1910" s="8"/>
    </row>
    <row r="1911" spans="1:2">
      <c r="A1911" s="7"/>
      <c r="B1911" s="8"/>
    </row>
    <row r="1912" spans="1:2">
      <c r="A1912" s="7"/>
      <c r="B1912" s="8"/>
    </row>
    <row r="1913" spans="1:2">
      <c r="A1913" s="7"/>
      <c r="B1913" s="8"/>
    </row>
    <row r="1914" spans="1:2">
      <c r="A1914" s="7"/>
      <c r="B1914" s="8"/>
    </row>
    <row r="1915" spans="1:2">
      <c r="A1915" s="7"/>
      <c r="B1915" s="8"/>
    </row>
    <row r="1916" spans="1:2">
      <c r="A1916" s="7"/>
      <c r="B1916" s="8"/>
    </row>
    <row r="1917" spans="1:2">
      <c r="A1917" s="7"/>
      <c r="B1917" s="8"/>
    </row>
    <row r="1918" spans="1:2">
      <c r="A1918" s="7"/>
      <c r="B1918" s="8"/>
    </row>
    <row r="1919" spans="1:2">
      <c r="A1919" s="7"/>
      <c r="B1919" s="8"/>
    </row>
    <row r="1920" spans="1:2">
      <c r="A1920" s="7"/>
      <c r="B1920" s="8"/>
    </row>
    <row r="1921" spans="1:2">
      <c r="A1921" s="7"/>
      <c r="B1921" s="8"/>
    </row>
    <row r="1922" spans="1:2">
      <c r="A1922" s="7"/>
      <c r="B1922" s="8"/>
    </row>
    <row r="1923" spans="1:2">
      <c r="A1923" s="7"/>
      <c r="B1923" s="8"/>
    </row>
    <row r="1924" spans="1:2">
      <c r="A1924" s="7"/>
      <c r="B1924" s="8"/>
    </row>
    <row r="1925" spans="1:2">
      <c r="A1925" s="7"/>
      <c r="B1925" s="8"/>
    </row>
    <row r="1926" spans="1:2">
      <c r="A1926" s="7"/>
      <c r="B1926" s="8"/>
    </row>
    <row r="1927" spans="1:2">
      <c r="A1927" s="7"/>
      <c r="B1927" s="8"/>
    </row>
    <row r="1928" spans="1:2">
      <c r="A1928" s="7"/>
      <c r="B1928" s="8"/>
    </row>
    <row r="1929" spans="1:2">
      <c r="A1929" s="7"/>
      <c r="B1929" s="8"/>
    </row>
    <row r="1930" spans="1:2">
      <c r="A1930" s="7"/>
      <c r="B1930" s="8"/>
    </row>
    <row r="1931" spans="1:2">
      <c r="A1931" s="7"/>
      <c r="B1931" s="8"/>
    </row>
    <row r="1932" spans="1:2">
      <c r="A1932" s="7"/>
      <c r="B1932" s="8"/>
    </row>
    <row r="1933" spans="1:2">
      <c r="A1933" s="7"/>
      <c r="B1933" s="8"/>
    </row>
    <row r="1934" spans="1:2">
      <c r="A1934" s="7"/>
      <c r="B1934" s="8"/>
    </row>
    <row r="1935" spans="1:2">
      <c r="A1935" s="7"/>
      <c r="B1935" s="8"/>
    </row>
    <row r="1936" spans="1:2">
      <c r="A1936" s="7"/>
      <c r="B1936" s="8"/>
    </row>
    <row r="1937" spans="1:2">
      <c r="A1937" s="7"/>
      <c r="B1937" s="8"/>
    </row>
    <row r="1938" spans="1:2">
      <c r="A1938" s="7"/>
      <c r="B1938" s="8"/>
    </row>
    <row r="1939" spans="1:2">
      <c r="A1939" s="7"/>
      <c r="B1939" s="8"/>
    </row>
    <row r="1940" spans="1:2">
      <c r="A1940" s="7"/>
      <c r="B1940" s="8"/>
    </row>
    <row r="1941" spans="1:2">
      <c r="A1941" s="7"/>
      <c r="B1941" s="8"/>
    </row>
    <row r="1942" spans="1:2">
      <c r="A1942" s="7"/>
      <c r="B1942" s="8"/>
    </row>
    <row r="1943" spans="1:2">
      <c r="A1943" s="7"/>
      <c r="B1943" s="8"/>
    </row>
    <row r="1944" spans="1:2">
      <c r="A1944" s="7"/>
      <c r="B1944" s="8"/>
    </row>
    <row r="1945" spans="1:2">
      <c r="A1945" s="7"/>
      <c r="B1945" s="8"/>
    </row>
    <row r="1946" spans="1:2">
      <c r="A1946" s="7"/>
      <c r="B1946" s="8"/>
    </row>
    <row r="1947" spans="1:2">
      <c r="A1947" s="7"/>
      <c r="B1947" s="8"/>
    </row>
    <row r="1948" spans="1:2">
      <c r="A1948" s="7"/>
      <c r="B1948" s="8"/>
    </row>
    <row r="1949" spans="1:2">
      <c r="A1949" s="7"/>
      <c r="B1949" s="8"/>
    </row>
    <row r="1950" spans="1:2">
      <c r="A1950" s="7"/>
      <c r="B1950" s="8"/>
    </row>
    <row r="1951" spans="1:2">
      <c r="A1951" s="7"/>
      <c r="B1951" s="8"/>
    </row>
    <row r="1952" spans="1:2">
      <c r="A1952" s="7"/>
      <c r="B1952" s="8"/>
    </row>
    <row r="1953" spans="1:2">
      <c r="A1953" s="7"/>
      <c r="B1953" s="8"/>
    </row>
    <row r="1954" spans="1:2">
      <c r="A1954" s="7"/>
      <c r="B1954" s="8"/>
    </row>
    <row r="1955" spans="1:2">
      <c r="A1955" s="7"/>
      <c r="B1955" s="8"/>
    </row>
    <row r="1956" spans="1:2">
      <c r="A1956" s="7"/>
      <c r="B1956" s="8"/>
    </row>
    <row r="1957" spans="1:2">
      <c r="A1957" s="7"/>
      <c r="B1957" s="8"/>
    </row>
    <row r="1958" spans="1:2">
      <c r="A1958" s="7"/>
      <c r="B1958" s="8"/>
    </row>
    <row r="1959" spans="1:2">
      <c r="A1959" s="7"/>
      <c r="B1959" s="8"/>
    </row>
    <row r="1960" spans="1:2">
      <c r="A1960" s="7"/>
      <c r="B1960" s="8"/>
    </row>
    <row r="1961" spans="1:2">
      <c r="A1961" s="7"/>
      <c r="B1961" s="8"/>
    </row>
    <row r="1962" spans="1:2">
      <c r="A1962" s="7"/>
      <c r="B1962" s="8"/>
    </row>
    <row r="1963" spans="1:2">
      <c r="A1963" s="7"/>
      <c r="B1963" s="8"/>
    </row>
    <row r="1964" spans="1:2">
      <c r="A1964" s="7"/>
      <c r="B1964" s="8"/>
    </row>
    <row r="1965" spans="1:2">
      <c r="A1965" s="7"/>
      <c r="B1965" s="8"/>
    </row>
    <row r="1966" spans="1:2">
      <c r="A1966" s="7"/>
      <c r="B1966" s="8"/>
    </row>
    <row r="1967" spans="1:2">
      <c r="A1967" s="7"/>
      <c r="B1967" s="8"/>
    </row>
    <row r="1968" spans="1:2">
      <c r="A1968" s="7"/>
      <c r="B1968" s="8"/>
    </row>
    <row r="1969" spans="1:2">
      <c r="A1969" s="7"/>
      <c r="B1969" s="8"/>
    </row>
    <row r="1970" spans="1:2">
      <c r="A1970" s="7"/>
      <c r="B1970" s="8"/>
    </row>
    <row r="1971" spans="1:2">
      <c r="A1971" s="7"/>
      <c r="B1971" s="8"/>
    </row>
    <row r="1972" spans="1:2">
      <c r="A1972" s="7"/>
      <c r="B1972" s="8"/>
    </row>
    <row r="1973" spans="1:2">
      <c r="A1973" s="7"/>
      <c r="B1973" s="8"/>
    </row>
    <row r="1974" spans="1:2">
      <c r="A1974" s="7"/>
      <c r="B1974" s="8"/>
    </row>
    <row r="1975" spans="1:2">
      <c r="A1975" s="7"/>
      <c r="B1975" s="8"/>
    </row>
    <row r="1976" spans="1:2">
      <c r="A1976" s="7"/>
      <c r="B1976" s="8"/>
    </row>
    <row r="1977" spans="1:2">
      <c r="A1977" s="7"/>
      <c r="B1977" s="8"/>
    </row>
    <row r="1978" spans="1:2">
      <c r="A1978" s="7"/>
      <c r="B1978" s="8"/>
    </row>
    <row r="1979" spans="1:2">
      <c r="A1979" s="7"/>
      <c r="B1979" s="8"/>
    </row>
    <row r="1980" spans="1:2">
      <c r="A1980" s="7"/>
      <c r="B1980" s="8"/>
    </row>
    <row r="1981" spans="1:2">
      <c r="A1981" s="7"/>
      <c r="B1981" s="8"/>
    </row>
    <row r="1982" spans="1:2">
      <c r="A1982" s="7"/>
      <c r="B1982" s="8"/>
    </row>
    <row r="1983" spans="1:2">
      <c r="A1983" s="7"/>
      <c r="B1983" s="8"/>
    </row>
    <row r="1984" spans="1:2">
      <c r="A1984" s="7"/>
      <c r="B1984" s="8"/>
    </row>
    <row r="1985" spans="1:2">
      <c r="A1985" s="7"/>
      <c r="B1985" s="8"/>
    </row>
    <row r="1986" spans="1:2">
      <c r="A1986" s="7"/>
      <c r="B1986" s="8"/>
    </row>
    <row r="1987" spans="1:2">
      <c r="A1987" s="7"/>
      <c r="B1987" s="8"/>
    </row>
    <row r="1988" spans="1:2">
      <c r="A1988" s="7"/>
      <c r="B1988" s="8"/>
    </row>
    <row r="1989" spans="1:2">
      <c r="A1989" s="7"/>
      <c r="B1989" s="8"/>
    </row>
    <row r="1990" spans="1:2">
      <c r="A1990" s="7"/>
      <c r="B1990" s="8"/>
    </row>
    <row r="1991" spans="1:2">
      <c r="A1991" s="7"/>
      <c r="B1991" s="8"/>
    </row>
    <row r="1992" spans="1:2">
      <c r="A1992" s="7"/>
      <c r="B1992" s="8"/>
    </row>
    <row r="1993" spans="1:2">
      <c r="A1993" s="7"/>
      <c r="B1993" s="8"/>
    </row>
    <row r="1994" spans="1:2">
      <c r="A1994" s="7"/>
      <c r="B1994" s="8"/>
    </row>
    <row r="1995" spans="1:2">
      <c r="A1995" s="7"/>
      <c r="B1995" s="8"/>
    </row>
    <row r="1996" spans="1:2">
      <c r="A1996" s="7"/>
      <c r="B1996" s="8"/>
    </row>
    <row r="1997" spans="1:2">
      <c r="A1997" s="7"/>
      <c r="B1997" s="8"/>
    </row>
    <row r="1998" spans="1:2">
      <c r="A1998" s="7"/>
      <c r="B1998" s="8"/>
    </row>
    <row r="1999" spans="1:2">
      <c r="A1999" s="7"/>
      <c r="B1999" s="8"/>
    </row>
    <row r="2000" spans="1:2">
      <c r="A2000" s="7"/>
      <c r="B2000" s="8"/>
    </row>
    <row r="2001" spans="1:2">
      <c r="A2001" s="7"/>
      <c r="B2001" s="8"/>
    </row>
    <row r="2002" spans="1:2">
      <c r="A2002" s="7"/>
      <c r="B2002" s="8"/>
    </row>
    <row r="2003" spans="1:2">
      <c r="A2003" s="7"/>
      <c r="B2003" s="8"/>
    </row>
    <row r="2004" spans="1:2">
      <c r="A2004" s="7"/>
      <c r="B2004" s="8"/>
    </row>
    <row r="2005" spans="1:2">
      <c r="A2005" s="7"/>
      <c r="B2005" s="8"/>
    </row>
    <row r="2006" spans="1:2">
      <c r="A2006" s="7"/>
      <c r="B2006" s="8"/>
    </row>
    <row r="2007" spans="1:2">
      <c r="A2007" s="7"/>
      <c r="B2007" s="8"/>
    </row>
    <row r="2008" spans="1:2">
      <c r="A2008" s="7"/>
      <c r="B2008" s="8"/>
    </row>
    <row r="2009" spans="1:2">
      <c r="A2009" s="7"/>
      <c r="B2009" s="8"/>
    </row>
    <row r="2010" spans="1:2">
      <c r="A2010" s="7"/>
      <c r="B2010" s="8"/>
    </row>
    <row r="2011" spans="1:2">
      <c r="A2011" s="7"/>
      <c r="B2011" s="8"/>
    </row>
    <row r="2012" spans="1:2">
      <c r="A2012" s="7"/>
      <c r="B2012" s="8"/>
    </row>
    <row r="2013" spans="1:2">
      <c r="A2013" s="7"/>
      <c r="B2013" s="8"/>
    </row>
    <row r="2014" spans="1:2">
      <c r="A2014" s="7"/>
      <c r="B2014" s="8"/>
    </row>
    <row r="2015" spans="1:2">
      <c r="A2015" s="7"/>
      <c r="B2015" s="8"/>
    </row>
    <row r="2016" spans="1:2">
      <c r="A2016" s="7"/>
      <c r="B2016" s="8"/>
    </row>
    <row r="2017" spans="1:2">
      <c r="A2017" s="7"/>
      <c r="B2017" s="8"/>
    </row>
    <row r="2018" spans="1:2">
      <c r="A2018" s="7"/>
      <c r="B2018" s="8"/>
    </row>
    <row r="2019" spans="1:2">
      <c r="A2019" s="7"/>
      <c r="B2019" s="8"/>
    </row>
    <row r="2020" spans="1:2">
      <c r="A2020" s="7"/>
      <c r="B2020" s="8"/>
    </row>
    <row r="2021" spans="1:2">
      <c r="A2021" s="7"/>
      <c r="B2021" s="8"/>
    </row>
    <row r="2022" spans="1:2">
      <c r="A2022" s="7"/>
      <c r="B2022" s="8"/>
    </row>
    <row r="2023" spans="1:2">
      <c r="A2023" s="7"/>
      <c r="B2023" s="8"/>
    </row>
    <row r="2024" spans="1:2">
      <c r="A2024" s="7"/>
      <c r="B2024" s="8"/>
    </row>
    <row r="2025" spans="1:2">
      <c r="A2025" s="7"/>
      <c r="B2025" s="8"/>
    </row>
    <row r="2026" spans="1:2">
      <c r="A2026" s="7"/>
      <c r="B2026" s="8"/>
    </row>
    <row r="2027" spans="1:2">
      <c r="A2027" s="7"/>
      <c r="B2027" s="8"/>
    </row>
    <row r="2028" spans="1:2">
      <c r="A2028" s="7"/>
      <c r="B2028" s="8"/>
    </row>
    <row r="2029" spans="1:2">
      <c r="A2029" s="7"/>
      <c r="B2029" s="8"/>
    </row>
    <row r="2030" spans="1:2">
      <c r="A2030" s="7"/>
      <c r="B2030" s="8"/>
    </row>
    <row r="2031" spans="1:2">
      <c r="A2031" s="7"/>
      <c r="B2031" s="8"/>
    </row>
    <row r="2032" spans="1:2">
      <c r="A2032" s="7"/>
      <c r="B2032" s="8"/>
    </row>
    <row r="2033" spans="1:2">
      <c r="A2033" s="7"/>
      <c r="B2033" s="8"/>
    </row>
    <row r="2034" spans="1:2">
      <c r="A2034" s="7"/>
      <c r="B2034" s="8"/>
    </row>
    <row r="2035" spans="1:2">
      <c r="A2035" s="7"/>
      <c r="B2035" s="8"/>
    </row>
    <row r="2036" spans="1:2">
      <c r="A2036" s="7"/>
      <c r="B2036" s="8"/>
    </row>
    <row r="2037" spans="1:2">
      <c r="A2037" s="7"/>
      <c r="B2037" s="8"/>
    </row>
    <row r="2038" spans="1:2">
      <c r="A2038" s="7"/>
      <c r="B2038" s="8"/>
    </row>
    <row r="2039" spans="1:2">
      <c r="A2039" s="7"/>
      <c r="B2039" s="8"/>
    </row>
    <row r="2040" spans="1:2">
      <c r="A2040" s="7"/>
      <c r="B2040" s="8"/>
    </row>
    <row r="2041" spans="1:2">
      <c r="A2041" s="7"/>
      <c r="B2041" s="8"/>
    </row>
    <row r="2042" spans="1:2">
      <c r="A2042" s="7"/>
      <c r="B2042" s="8"/>
    </row>
    <row r="2043" spans="1:2">
      <c r="A2043" s="7"/>
      <c r="B2043" s="8"/>
    </row>
    <row r="2044" spans="1:2">
      <c r="A2044" s="7"/>
      <c r="B2044" s="8"/>
    </row>
    <row r="2045" spans="1:2">
      <c r="A2045" s="7"/>
      <c r="B2045" s="8"/>
    </row>
    <row r="2046" spans="1:2">
      <c r="A2046" s="7"/>
      <c r="B2046" s="8"/>
    </row>
    <row r="2047" spans="1:2">
      <c r="A2047" s="7"/>
      <c r="B2047" s="8"/>
    </row>
    <row r="2048" spans="1:2">
      <c r="A2048" s="7"/>
      <c r="B2048" s="8"/>
    </row>
    <row r="2049" spans="1:2">
      <c r="A2049" s="7"/>
      <c r="B2049" s="8"/>
    </row>
    <row r="2050" spans="1:2">
      <c r="A2050" s="7"/>
      <c r="B2050" s="8"/>
    </row>
    <row r="2051" spans="1:2">
      <c r="A2051" s="7"/>
      <c r="B2051" s="8"/>
    </row>
    <row r="2052" spans="1:2">
      <c r="A2052" s="7"/>
      <c r="B2052" s="8"/>
    </row>
    <row r="2053" spans="1:2">
      <c r="A2053" s="7"/>
      <c r="B2053" s="8"/>
    </row>
    <row r="2054" spans="1:2">
      <c r="A2054" s="7"/>
      <c r="B2054" s="8"/>
    </row>
    <row r="2055" spans="1:2">
      <c r="A2055" s="7"/>
      <c r="B2055" s="8"/>
    </row>
    <row r="2056" spans="1:2">
      <c r="A2056" s="7"/>
      <c r="B2056" s="8"/>
    </row>
    <row r="2057" spans="1:2">
      <c r="A2057" s="7"/>
      <c r="B2057" s="8"/>
    </row>
    <row r="2058" spans="1:2">
      <c r="A2058" s="7"/>
      <c r="B2058" s="8"/>
    </row>
    <row r="2059" spans="1:2">
      <c r="A2059" s="7"/>
      <c r="B2059" s="8"/>
    </row>
    <row r="2060" spans="1:2">
      <c r="A2060" s="7"/>
      <c r="B2060" s="8"/>
    </row>
    <row r="2061" spans="1:2">
      <c r="A2061" s="7"/>
      <c r="B2061" s="8"/>
    </row>
    <row r="2062" spans="1:2">
      <c r="A2062" s="7"/>
      <c r="B2062" s="8"/>
    </row>
    <row r="2063" spans="1:2">
      <c r="A2063" s="7"/>
      <c r="B2063" s="8"/>
    </row>
    <row r="2064" spans="1:2">
      <c r="A2064" s="7"/>
      <c r="B2064" s="8"/>
    </row>
    <row r="2065" spans="1:2">
      <c r="A2065" s="7"/>
      <c r="B2065" s="8"/>
    </row>
    <row r="2066" spans="1:2">
      <c r="A2066" s="7"/>
      <c r="B2066" s="8"/>
    </row>
    <row r="2067" spans="1:2">
      <c r="A2067" s="7"/>
      <c r="B2067" s="8"/>
    </row>
    <row r="2068" spans="1:2">
      <c r="A2068" s="7"/>
      <c r="B2068" s="8"/>
    </row>
    <row r="2069" spans="1:2">
      <c r="A2069" s="7"/>
      <c r="B2069" s="8"/>
    </row>
    <row r="2070" spans="1:2">
      <c r="A2070" s="7"/>
      <c r="B2070" s="8"/>
    </row>
    <row r="2071" spans="1:2">
      <c r="A2071" s="7"/>
      <c r="B2071" s="8"/>
    </row>
    <row r="2072" spans="1:2">
      <c r="A2072" s="7"/>
      <c r="B2072" s="8"/>
    </row>
    <row r="2073" spans="1:2">
      <c r="A2073" s="7"/>
      <c r="B2073" s="8"/>
    </row>
    <row r="2074" spans="1:2">
      <c r="A2074" s="7"/>
      <c r="B2074" s="8"/>
    </row>
    <row r="2075" spans="1:2">
      <c r="A2075" s="7"/>
      <c r="B2075" s="8"/>
    </row>
    <row r="2076" spans="1:2">
      <c r="A2076" s="7"/>
      <c r="B2076" s="8"/>
    </row>
    <row r="2077" spans="1:2">
      <c r="A2077" s="7"/>
      <c r="B2077" s="8"/>
    </row>
    <row r="2078" spans="1:2">
      <c r="A2078" s="7"/>
      <c r="B2078" s="8"/>
    </row>
    <row r="2079" spans="1:2">
      <c r="A2079" s="7"/>
      <c r="B2079" s="8"/>
    </row>
    <row r="2080" spans="1:2">
      <c r="A2080" s="7"/>
      <c r="B2080" s="8"/>
    </row>
    <row r="2081" spans="1:2">
      <c r="A2081" s="7"/>
      <c r="B2081" s="8"/>
    </row>
    <row r="2082" spans="1:2">
      <c r="A2082" s="7"/>
      <c r="B2082" s="8"/>
    </row>
    <row r="2083" spans="1:2">
      <c r="A2083" s="7"/>
      <c r="B2083" s="8"/>
    </row>
    <row r="2084" spans="1:2">
      <c r="A2084" s="7"/>
      <c r="B2084" s="8"/>
    </row>
    <row r="2085" spans="1:2">
      <c r="A2085" s="7"/>
      <c r="B2085" s="8"/>
    </row>
    <row r="2086" spans="1:2">
      <c r="A2086" s="7"/>
      <c r="B2086" s="8"/>
    </row>
    <row r="2087" spans="1:2">
      <c r="A2087" s="7"/>
      <c r="B2087" s="8"/>
    </row>
    <row r="2088" spans="1:2">
      <c r="A2088" s="7"/>
      <c r="B2088" s="8"/>
    </row>
    <row r="2089" spans="1:2">
      <c r="A2089" s="7"/>
      <c r="B2089" s="8"/>
    </row>
    <row r="2090" spans="1:2">
      <c r="A2090" s="7"/>
      <c r="B2090" s="8"/>
    </row>
    <row r="2091" spans="1:2">
      <c r="A2091" s="7"/>
      <c r="B2091" s="8"/>
    </row>
    <row r="2092" spans="1:2">
      <c r="A2092" s="7"/>
      <c r="B2092" s="8"/>
    </row>
    <row r="2093" spans="1:2">
      <c r="A2093" s="7"/>
      <c r="B2093" s="8"/>
    </row>
    <row r="2094" spans="1:2">
      <c r="A2094" s="7"/>
      <c r="B2094" s="8"/>
    </row>
    <row r="2095" spans="1:2">
      <c r="A2095" s="7"/>
      <c r="B2095" s="8"/>
    </row>
    <row r="2096" spans="1:2">
      <c r="A2096" s="7"/>
      <c r="B2096" s="8"/>
    </row>
    <row r="2097" spans="1:2">
      <c r="A2097" s="7"/>
      <c r="B2097" s="8"/>
    </row>
    <row r="2098" spans="1:2">
      <c r="A2098" s="7"/>
      <c r="B2098" s="8"/>
    </row>
    <row r="2099" spans="1:2">
      <c r="A2099" s="7"/>
      <c r="B2099" s="8"/>
    </row>
    <row r="2100" spans="1:2">
      <c r="A2100" s="7"/>
      <c r="B2100" s="8"/>
    </row>
    <row r="2101" spans="1:2">
      <c r="A2101" s="7"/>
      <c r="B2101" s="8"/>
    </row>
    <row r="2102" spans="1:2">
      <c r="A2102" s="7"/>
      <c r="B2102" s="8"/>
    </row>
    <row r="2103" spans="1:2">
      <c r="A2103" s="7"/>
      <c r="B2103" s="8"/>
    </row>
    <row r="2104" spans="1:2">
      <c r="A2104" s="7"/>
      <c r="B2104" s="8"/>
    </row>
    <row r="2105" spans="1:2">
      <c r="A2105" s="7"/>
      <c r="B2105" s="8"/>
    </row>
    <row r="2106" spans="1:2">
      <c r="A2106" s="7"/>
      <c r="B2106" s="8"/>
    </row>
    <row r="2107" spans="1:2">
      <c r="A2107" s="7"/>
      <c r="B2107" s="8"/>
    </row>
    <row r="2108" spans="1:2">
      <c r="A2108" s="7"/>
      <c r="B2108" s="8"/>
    </row>
    <row r="2109" spans="1:2">
      <c r="A2109" s="7"/>
      <c r="B2109" s="8"/>
    </row>
    <row r="2110" spans="1:2">
      <c r="A2110" s="7"/>
      <c r="B2110" s="8"/>
    </row>
    <row r="2111" spans="1:2">
      <c r="A2111" s="7"/>
      <c r="B2111" s="8"/>
    </row>
    <row r="2112" spans="1:2">
      <c r="A2112" s="7"/>
      <c r="B2112" s="8"/>
    </row>
    <row r="2113" spans="1:2">
      <c r="A2113" s="7"/>
      <c r="B2113" s="8"/>
    </row>
    <row r="2114" spans="1:2">
      <c r="A2114" s="7"/>
      <c r="B2114" s="8"/>
    </row>
    <row r="2115" spans="1:2">
      <c r="A2115" s="7"/>
      <c r="B2115" s="8"/>
    </row>
    <row r="2116" spans="1:2">
      <c r="A2116" s="7"/>
      <c r="B2116" s="8"/>
    </row>
    <row r="2117" spans="1:2">
      <c r="A2117" s="7"/>
      <c r="B2117" s="8"/>
    </row>
    <row r="2118" spans="1:2">
      <c r="A2118" s="7"/>
      <c r="B2118" s="8"/>
    </row>
    <row r="2119" spans="1:2">
      <c r="A2119" s="7"/>
      <c r="B2119" s="8"/>
    </row>
    <row r="2120" spans="1:2">
      <c r="A2120" s="7"/>
      <c r="B2120" s="8"/>
    </row>
    <row r="2121" spans="1:2">
      <c r="A2121" s="7"/>
      <c r="B2121" s="8"/>
    </row>
    <row r="2122" spans="1:2">
      <c r="A2122" s="7"/>
      <c r="B2122" s="8"/>
    </row>
    <row r="2123" spans="1:2">
      <c r="A2123" s="7"/>
      <c r="B2123" s="8"/>
    </row>
    <row r="2124" spans="1:2">
      <c r="A2124" s="7"/>
      <c r="B2124" s="8"/>
    </row>
    <row r="2125" spans="1:2">
      <c r="A2125" s="7"/>
      <c r="B2125" s="8"/>
    </row>
    <row r="2126" spans="1:2">
      <c r="A2126" s="7"/>
      <c r="B2126" s="8"/>
    </row>
    <row r="2127" spans="1:2">
      <c r="A2127" s="7"/>
      <c r="B2127" s="8"/>
    </row>
    <row r="2128" spans="1:2">
      <c r="A2128" s="7"/>
      <c r="B2128" s="8"/>
    </row>
    <row r="2129" spans="1:2">
      <c r="A2129" s="7"/>
      <c r="B2129" s="8"/>
    </row>
    <row r="2130" spans="1:2">
      <c r="A2130" s="7"/>
      <c r="B2130" s="8"/>
    </row>
    <row r="2131" spans="1:2">
      <c r="A2131" s="7"/>
      <c r="B2131" s="8"/>
    </row>
    <row r="2132" spans="1:2">
      <c r="A2132" s="7"/>
      <c r="B2132" s="8"/>
    </row>
    <row r="2133" spans="1:2">
      <c r="A2133" s="7"/>
      <c r="B2133" s="8"/>
    </row>
    <row r="2134" spans="1:2">
      <c r="A2134" s="7"/>
      <c r="B2134" s="8"/>
    </row>
    <row r="2135" spans="1:2">
      <c r="A2135" s="7"/>
      <c r="B2135" s="8"/>
    </row>
    <row r="2136" spans="1:2">
      <c r="A2136" s="7"/>
      <c r="B2136" s="8"/>
    </row>
    <row r="2137" spans="1:2">
      <c r="A2137" s="7"/>
      <c r="B2137" s="8"/>
    </row>
    <row r="2138" spans="1:2">
      <c r="A2138" s="7"/>
      <c r="B2138" s="8"/>
    </row>
    <row r="2139" spans="1:2">
      <c r="A2139" s="7"/>
      <c r="B2139" s="8"/>
    </row>
    <row r="2140" spans="1:2">
      <c r="A2140" s="7"/>
      <c r="B2140" s="8"/>
    </row>
    <row r="2141" spans="1:2">
      <c r="A2141" s="7"/>
      <c r="B2141" s="8"/>
    </row>
    <row r="2142" spans="1:2">
      <c r="A2142" s="7"/>
      <c r="B2142" s="8"/>
    </row>
    <row r="2143" spans="1:2">
      <c r="A2143" s="7"/>
      <c r="B2143" s="8"/>
    </row>
    <row r="2144" spans="1:2">
      <c r="A2144" s="7"/>
      <c r="B2144" s="8"/>
    </row>
    <row r="2145" spans="1:2">
      <c r="A2145" s="7"/>
      <c r="B2145" s="8"/>
    </row>
    <row r="2146" spans="1:2">
      <c r="A2146" s="7"/>
      <c r="B2146" s="8"/>
    </row>
    <row r="2147" spans="1:2">
      <c r="A2147" s="7"/>
      <c r="B2147" s="8"/>
    </row>
    <row r="2148" spans="1:2">
      <c r="A2148" s="7"/>
      <c r="B2148" s="8"/>
    </row>
    <row r="2149" spans="1:2">
      <c r="A2149" s="7"/>
      <c r="B2149" s="8"/>
    </row>
    <row r="2150" spans="1:2">
      <c r="A2150" s="7"/>
      <c r="B2150" s="8"/>
    </row>
    <row r="2151" spans="1:2">
      <c r="A2151" s="7"/>
      <c r="B2151" s="8"/>
    </row>
    <row r="2152" spans="1:2">
      <c r="A2152" s="7"/>
      <c r="B2152" s="8"/>
    </row>
    <row r="2153" spans="1:2">
      <c r="A2153" s="7"/>
      <c r="B2153" s="8"/>
    </row>
    <row r="2154" spans="1:2">
      <c r="A2154" s="7"/>
      <c r="B2154" s="8"/>
    </row>
    <row r="2155" spans="1:2">
      <c r="A2155" s="7"/>
      <c r="B2155" s="8"/>
    </row>
    <row r="2156" spans="1:2">
      <c r="A2156" s="7"/>
      <c r="B2156" s="8"/>
    </row>
    <row r="2157" spans="1:2">
      <c r="A2157" s="7"/>
      <c r="B2157" s="8"/>
    </row>
    <row r="2158" spans="1:2">
      <c r="A2158" s="7"/>
      <c r="B2158" s="8"/>
    </row>
    <row r="2159" spans="1:2">
      <c r="A2159" s="7"/>
      <c r="B2159" s="8"/>
    </row>
    <row r="2160" spans="1:2">
      <c r="A2160" s="7"/>
      <c r="B2160" s="8"/>
    </row>
    <row r="2161" spans="1:2">
      <c r="A2161" s="7"/>
      <c r="B2161" s="8"/>
    </row>
    <row r="2162" spans="1:2">
      <c r="A2162" s="7"/>
      <c r="B2162" s="8"/>
    </row>
    <row r="2163" spans="1:2">
      <c r="A2163" s="7"/>
      <c r="B2163" s="8"/>
    </row>
    <row r="2164" spans="1:2">
      <c r="A2164" s="7"/>
      <c r="B2164" s="8"/>
    </row>
    <row r="2165" spans="1:2">
      <c r="A2165" s="7"/>
      <c r="B2165" s="8"/>
    </row>
    <row r="2166" spans="1:2">
      <c r="A2166" s="7"/>
      <c r="B2166" s="8"/>
    </row>
    <row r="2167" spans="1:2">
      <c r="A2167" s="7"/>
      <c r="B2167" s="8"/>
    </row>
    <row r="2168" spans="1:2">
      <c r="A2168" s="7"/>
      <c r="B2168" s="8"/>
    </row>
    <row r="2169" spans="1:2">
      <c r="A2169" s="7"/>
      <c r="B2169" s="8"/>
    </row>
    <row r="2170" spans="1:2">
      <c r="A2170" s="7"/>
      <c r="B2170" s="8"/>
    </row>
    <row r="2171" spans="1:2">
      <c r="A2171" s="7"/>
      <c r="B2171" s="8"/>
    </row>
    <row r="2172" spans="1:2">
      <c r="A2172" s="7"/>
      <c r="B2172" s="8"/>
    </row>
    <row r="2173" spans="1:2">
      <c r="A2173" s="7"/>
      <c r="B2173" s="8"/>
    </row>
    <row r="2174" spans="1:2">
      <c r="A2174" s="7"/>
      <c r="B2174" s="8"/>
    </row>
    <row r="2175" spans="1:2">
      <c r="A2175" s="7"/>
      <c r="B2175" s="8"/>
    </row>
    <row r="2176" spans="1:2">
      <c r="A2176" s="7"/>
      <c r="B2176" s="8"/>
    </row>
    <row r="2177" spans="1:2">
      <c r="A2177" s="7"/>
      <c r="B2177" s="8"/>
    </row>
    <row r="2178" spans="1:2">
      <c r="A2178" s="7"/>
      <c r="B2178" s="8"/>
    </row>
    <row r="2179" spans="1:2">
      <c r="A2179" s="7"/>
      <c r="B2179" s="8"/>
    </row>
    <row r="2180" spans="1:2">
      <c r="A2180" s="7"/>
      <c r="B2180" s="8"/>
    </row>
    <row r="2181" spans="1:2">
      <c r="A2181" s="7"/>
      <c r="B2181" s="8"/>
    </row>
    <row r="2182" spans="1:2">
      <c r="A2182" s="7"/>
      <c r="B2182" s="8"/>
    </row>
    <row r="2183" spans="1:2">
      <c r="A2183" s="7"/>
      <c r="B2183" s="8"/>
    </row>
    <row r="2184" spans="1:2">
      <c r="A2184" s="7"/>
      <c r="B2184" s="8"/>
    </row>
    <row r="2185" spans="1:2">
      <c r="A2185" s="7"/>
      <c r="B2185" s="8"/>
    </row>
    <row r="2186" spans="1:2">
      <c r="A2186" s="7"/>
      <c r="B2186" s="8"/>
    </row>
    <row r="2187" spans="1:2">
      <c r="A2187" s="7"/>
      <c r="B2187" s="8"/>
    </row>
    <row r="2188" spans="1:2">
      <c r="A2188" s="7"/>
      <c r="B2188" s="8"/>
    </row>
    <row r="2189" spans="1:2">
      <c r="A2189" s="7"/>
      <c r="B2189" s="8"/>
    </row>
    <row r="2190" spans="1:2">
      <c r="A2190" s="7"/>
      <c r="B2190" s="8"/>
    </row>
    <row r="2191" spans="1:2">
      <c r="A2191" s="7"/>
      <c r="B2191" s="8"/>
    </row>
    <row r="2192" spans="1:2">
      <c r="A2192" s="7"/>
      <c r="B2192" s="8"/>
    </row>
    <row r="2193" spans="1:2">
      <c r="A2193" s="7"/>
      <c r="B2193" s="8"/>
    </row>
    <row r="2194" spans="1:2">
      <c r="A2194" s="7"/>
      <c r="B2194" s="8"/>
    </row>
    <row r="2195" spans="1:2">
      <c r="A2195" s="7"/>
      <c r="B2195" s="8"/>
    </row>
    <row r="2196" spans="1:2">
      <c r="A2196" s="7"/>
      <c r="B2196" s="8"/>
    </row>
    <row r="2197" spans="1:2">
      <c r="A2197" s="7"/>
      <c r="B2197" s="8"/>
    </row>
    <row r="2198" spans="1:2">
      <c r="A2198" s="7"/>
      <c r="B2198" s="8"/>
    </row>
    <row r="2199" spans="1:2">
      <c r="A2199" s="7"/>
      <c r="B2199" s="8"/>
    </row>
    <row r="2200" spans="1:2">
      <c r="A2200" s="7"/>
      <c r="B2200" s="8"/>
    </row>
    <row r="2201" spans="1:2">
      <c r="A2201" s="7"/>
      <c r="B2201" s="8"/>
    </row>
    <row r="2202" spans="1:2">
      <c r="A2202" s="7"/>
      <c r="B2202" s="8"/>
    </row>
    <row r="2203" spans="1:2">
      <c r="A2203" s="7"/>
      <c r="B2203" s="8"/>
    </row>
    <row r="2204" spans="1:2">
      <c r="A2204" s="7"/>
      <c r="B2204" s="8"/>
    </row>
    <row r="2205" spans="1:2">
      <c r="A2205" s="7"/>
      <c r="B2205" s="8"/>
    </row>
    <row r="2206" spans="1:2">
      <c r="A2206" s="7"/>
      <c r="B2206" s="8"/>
    </row>
    <row r="2207" spans="1:2">
      <c r="A2207" s="7"/>
      <c r="B2207" s="8"/>
    </row>
    <row r="2208" spans="1:2">
      <c r="A2208" s="7"/>
      <c r="B2208" s="8"/>
    </row>
    <row r="2209" spans="1:2">
      <c r="A2209" s="7"/>
      <c r="B2209" s="8"/>
    </row>
    <row r="2210" spans="1:2">
      <c r="A2210" s="7"/>
      <c r="B2210" s="8"/>
    </row>
    <row r="2211" spans="1:2">
      <c r="A2211" s="7"/>
      <c r="B2211" s="8"/>
    </row>
    <row r="2212" spans="1:2">
      <c r="A2212" s="7"/>
      <c r="B2212" s="8"/>
    </row>
    <row r="2213" spans="1:2">
      <c r="A2213" s="7"/>
      <c r="B2213" s="8"/>
    </row>
    <row r="2214" spans="1:2">
      <c r="A2214" s="7"/>
      <c r="B2214" s="8"/>
    </row>
    <row r="2215" spans="1:2">
      <c r="A2215" s="7"/>
      <c r="B2215" s="8"/>
    </row>
    <row r="2216" spans="1:2">
      <c r="A2216" s="7"/>
      <c r="B2216" s="8"/>
    </row>
    <row r="2217" spans="1:2">
      <c r="A2217" s="7"/>
      <c r="B2217" s="8"/>
    </row>
    <row r="2218" spans="1:2">
      <c r="A2218" s="7"/>
      <c r="B2218" s="8"/>
    </row>
    <row r="2219" spans="1:2">
      <c r="A2219" s="7"/>
      <c r="B2219" s="8"/>
    </row>
    <row r="2220" spans="1:2">
      <c r="A2220" s="7"/>
      <c r="B2220" s="8"/>
    </row>
    <row r="2221" spans="1:2">
      <c r="A2221" s="7"/>
      <c r="B2221" s="8"/>
    </row>
    <row r="2222" spans="1:2">
      <c r="A2222" s="7"/>
      <c r="B2222" s="8"/>
    </row>
    <row r="2223" spans="1:2">
      <c r="A2223" s="7"/>
      <c r="B2223" s="8"/>
    </row>
    <row r="2224" spans="1:2">
      <c r="A2224" s="7"/>
      <c r="B2224" s="8"/>
    </row>
    <row r="2225" spans="1:2">
      <c r="A2225" s="7"/>
      <c r="B2225" s="8"/>
    </row>
    <row r="2226" spans="1:2">
      <c r="A2226" s="7"/>
      <c r="B2226" s="8"/>
    </row>
    <row r="2227" spans="1:2">
      <c r="A2227" s="7"/>
      <c r="B2227" s="8"/>
    </row>
    <row r="2228" spans="1:2">
      <c r="A2228" s="7"/>
      <c r="B2228" s="8"/>
    </row>
    <row r="2229" spans="1:2">
      <c r="A2229" s="7"/>
      <c r="B2229" s="8"/>
    </row>
    <row r="2230" spans="1:2">
      <c r="A2230" s="7"/>
      <c r="B2230" s="8"/>
    </row>
    <row r="2231" spans="1:2">
      <c r="A2231" s="7"/>
      <c r="B2231" s="8"/>
    </row>
    <row r="2232" spans="1:2">
      <c r="A2232" s="7"/>
      <c r="B2232" s="8"/>
    </row>
    <row r="2233" spans="1:2">
      <c r="A2233" s="7"/>
      <c r="B2233" s="8"/>
    </row>
    <row r="2234" spans="1:2">
      <c r="A2234" s="7"/>
      <c r="B2234" s="8"/>
    </row>
    <row r="2235" spans="1:2">
      <c r="A2235" s="7"/>
      <c r="B2235" s="8"/>
    </row>
    <row r="2236" spans="1:2">
      <c r="A2236" s="7"/>
      <c r="B2236" s="8"/>
    </row>
    <row r="2237" spans="1:2">
      <c r="A2237" s="7"/>
      <c r="B2237" s="8"/>
    </row>
    <row r="2238" spans="1:2">
      <c r="A2238" s="7"/>
      <c r="B2238" s="8"/>
    </row>
    <row r="2239" spans="1:2">
      <c r="A2239" s="7"/>
      <c r="B2239" s="8"/>
    </row>
    <row r="2240" spans="1:2">
      <c r="A2240" s="7"/>
      <c r="B2240" s="8"/>
    </row>
    <row r="2241" spans="1:2">
      <c r="A2241" s="7"/>
      <c r="B2241" s="8"/>
    </row>
    <row r="2242" spans="1:2">
      <c r="A2242" s="7"/>
      <c r="B2242" s="8"/>
    </row>
    <row r="2243" spans="1:2">
      <c r="A2243" s="7"/>
      <c r="B2243" s="8"/>
    </row>
    <row r="2244" spans="1:2">
      <c r="A2244" s="7"/>
      <c r="B2244" s="8"/>
    </row>
    <row r="2245" spans="1:2">
      <c r="A2245" s="7"/>
      <c r="B2245" s="8"/>
    </row>
    <row r="2246" spans="1:2">
      <c r="A2246" s="7"/>
      <c r="B2246" s="8"/>
    </row>
    <row r="2247" spans="1:2">
      <c r="A2247" s="7"/>
      <c r="B2247" s="8"/>
    </row>
    <row r="2248" spans="1:2">
      <c r="A2248" s="7"/>
      <c r="B2248" s="8"/>
    </row>
    <row r="2249" spans="1:2">
      <c r="A2249" s="7"/>
      <c r="B2249" s="8"/>
    </row>
    <row r="2250" spans="1:2">
      <c r="A2250" s="7"/>
      <c r="B2250" s="8"/>
    </row>
    <row r="2251" spans="1:2">
      <c r="A2251" s="7"/>
      <c r="B2251" s="8"/>
    </row>
    <row r="2252" spans="1:2">
      <c r="A2252" s="7"/>
      <c r="B2252" s="8"/>
    </row>
    <row r="2253" spans="1:2">
      <c r="A2253" s="7"/>
      <c r="B2253" s="8"/>
    </row>
    <row r="2254" spans="1:2">
      <c r="A2254" s="7"/>
      <c r="B2254" s="8"/>
    </row>
    <row r="2255" spans="1:2">
      <c r="A2255" s="7"/>
      <c r="B2255" s="8"/>
    </row>
    <row r="2256" spans="1:2">
      <c r="A2256" s="7"/>
      <c r="B2256" s="8"/>
    </row>
    <row r="2257" spans="1:2">
      <c r="A2257" s="7"/>
      <c r="B2257" s="8"/>
    </row>
    <row r="2258" spans="1:2">
      <c r="A2258" s="7"/>
      <c r="B2258" s="8"/>
    </row>
    <row r="2259" spans="1:2">
      <c r="A2259" s="7"/>
      <c r="B2259" s="8"/>
    </row>
    <row r="2260" spans="1:2">
      <c r="A2260" s="7"/>
      <c r="B2260" s="8"/>
    </row>
    <row r="2261" spans="1:2">
      <c r="A2261" s="7"/>
      <c r="B2261" s="8"/>
    </row>
    <row r="2262" spans="1:2">
      <c r="A2262" s="7"/>
      <c r="B2262" s="8"/>
    </row>
    <row r="2263" spans="1:2">
      <c r="A2263" s="7"/>
      <c r="B2263" s="8"/>
    </row>
    <row r="2264" spans="1:2">
      <c r="A2264" s="7"/>
      <c r="B2264" s="8"/>
    </row>
    <row r="2265" spans="1:2">
      <c r="A2265" s="7"/>
      <c r="B2265" s="8"/>
    </row>
    <row r="2266" spans="1:2">
      <c r="A2266" s="7"/>
      <c r="B2266" s="8"/>
    </row>
    <row r="2267" spans="1:2">
      <c r="A2267" s="7"/>
      <c r="B2267" s="8"/>
    </row>
    <row r="2268" spans="1:2">
      <c r="A2268" s="7"/>
      <c r="B2268" s="8"/>
    </row>
    <row r="2269" spans="1:2">
      <c r="A2269" s="7"/>
      <c r="B2269" s="8"/>
    </row>
    <row r="2270" spans="1:2">
      <c r="A2270" s="7"/>
      <c r="B2270" s="8"/>
    </row>
    <row r="2271" spans="1:2">
      <c r="A2271" s="7"/>
      <c r="B2271" s="8"/>
    </row>
    <row r="2272" spans="1:2">
      <c r="A2272" s="7"/>
      <c r="B2272" s="8"/>
    </row>
    <row r="2273" spans="1:2">
      <c r="A2273" s="7"/>
      <c r="B2273" s="8"/>
    </row>
    <row r="2274" spans="1:2">
      <c r="A2274" s="7"/>
      <c r="B2274" s="8"/>
    </row>
    <row r="2275" spans="1:2">
      <c r="A2275" s="7"/>
      <c r="B2275" s="8"/>
    </row>
    <row r="2276" spans="1:2">
      <c r="A2276" s="7"/>
      <c r="B2276" s="8"/>
    </row>
    <row r="2277" spans="1:2">
      <c r="A2277" s="7"/>
      <c r="B2277" s="8"/>
    </row>
    <row r="2278" spans="1:2">
      <c r="A2278" s="7"/>
      <c r="B2278" s="8"/>
    </row>
    <row r="2279" spans="1:2">
      <c r="A2279" s="7"/>
      <c r="B2279" s="8"/>
    </row>
    <row r="2280" spans="1:2">
      <c r="A2280" s="7"/>
      <c r="B2280" s="8"/>
    </row>
    <row r="2281" spans="1:2">
      <c r="A2281" s="7"/>
      <c r="B2281" s="8"/>
    </row>
    <row r="2282" spans="1:2">
      <c r="A2282" s="7"/>
      <c r="B2282" s="8"/>
    </row>
    <row r="2283" spans="1:2">
      <c r="A2283" s="7"/>
      <c r="B2283" s="8"/>
    </row>
    <row r="2284" spans="1:2">
      <c r="A2284" s="7"/>
      <c r="B2284" s="8"/>
    </row>
    <row r="2285" spans="1:2">
      <c r="A2285" s="7"/>
      <c r="B2285" s="8"/>
    </row>
    <row r="2286" spans="1:2">
      <c r="A2286" s="7"/>
      <c r="B2286" s="8"/>
    </row>
    <row r="2287" spans="1:2">
      <c r="A2287" s="7"/>
      <c r="B2287" s="8"/>
    </row>
    <row r="2288" spans="1:2">
      <c r="A2288" s="7"/>
      <c r="B2288" s="8"/>
    </row>
    <row r="2289" spans="1:2">
      <c r="A2289" s="7"/>
      <c r="B2289" s="8"/>
    </row>
    <row r="2290" spans="1:2">
      <c r="A2290" s="7"/>
      <c r="B2290" s="8"/>
    </row>
    <row r="2291" spans="1:2">
      <c r="A2291" s="7"/>
      <c r="B2291" s="8"/>
    </row>
    <row r="2292" spans="1:2">
      <c r="A2292" s="7"/>
      <c r="B2292" s="8"/>
    </row>
    <row r="2293" spans="1:2">
      <c r="A2293" s="7"/>
      <c r="B2293" s="8"/>
    </row>
    <row r="2294" spans="1:2">
      <c r="A2294" s="7"/>
      <c r="B2294" s="8"/>
    </row>
    <row r="2295" spans="1:2">
      <c r="A2295" s="7"/>
      <c r="B2295" s="8"/>
    </row>
    <row r="2296" spans="1:2">
      <c r="A2296" s="7"/>
      <c r="B2296" s="8"/>
    </row>
    <row r="2297" spans="1:2">
      <c r="A2297" s="7"/>
      <c r="B2297" s="8"/>
    </row>
    <row r="2298" spans="1:2">
      <c r="A2298" s="7"/>
      <c r="B2298" s="8"/>
    </row>
    <row r="2299" spans="1:2">
      <c r="A2299" s="7"/>
      <c r="B2299" s="8"/>
    </row>
    <row r="2300" spans="1:2">
      <c r="A2300" s="7"/>
      <c r="B2300" s="8"/>
    </row>
    <row r="2301" spans="1:2">
      <c r="A2301" s="7"/>
      <c r="B2301" s="8"/>
    </row>
    <row r="2302" spans="1:2">
      <c r="A2302" s="7"/>
      <c r="B2302" s="8"/>
    </row>
    <row r="2303" spans="1:2">
      <c r="A2303" s="7"/>
      <c r="B2303" s="8"/>
    </row>
    <row r="2304" spans="1:2">
      <c r="A2304" s="7"/>
      <c r="B2304" s="8"/>
    </row>
    <row r="2305" spans="1:2">
      <c r="A2305" s="7"/>
      <c r="B2305" s="8"/>
    </row>
    <row r="2306" spans="1:2">
      <c r="A2306" s="7"/>
      <c r="B2306" s="8"/>
    </row>
    <row r="2307" spans="1:2">
      <c r="A2307" s="7"/>
      <c r="B2307" s="8"/>
    </row>
    <row r="2308" spans="1:2">
      <c r="A2308" s="7"/>
      <c r="B2308" s="8"/>
    </row>
    <row r="2309" spans="1:2">
      <c r="A2309" s="7"/>
      <c r="B2309" s="8"/>
    </row>
    <row r="2310" spans="1:2">
      <c r="A2310" s="7"/>
      <c r="B2310" s="8"/>
    </row>
    <row r="2311" spans="1:2">
      <c r="A2311" s="7"/>
      <c r="B2311" s="8"/>
    </row>
    <row r="2312" spans="1:2">
      <c r="A2312" s="7"/>
      <c r="B2312" s="8"/>
    </row>
    <row r="2313" spans="1:2">
      <c r="A2313" s="7"/>
      <c r="B2313" s="8"/>
    </row>
    <row r="2314" spans="1:2">
      <c r="A2314" s="7"/>
      <c r="B2314" s="8"/>
    </row>
    <row r="2315" spans="1:2">
      <c r="A2315" s="7"/>
      <c r="B2315" s="8"/>
    </row>
    <row r="2316" spans="1:2">
      <c r="A2316" s="7"/>
      <c r="B2316" s="8"/>
    </row>
    <row r="2317" spans="1:2">
      <c r="A2317" s="7"/>
      <c r="B2317" s="8"/>
    </row>
    <row r="2318" spans="1:2">
      <c r="A2318" s="7"/>
      <c r="B2318" s="8"/>
    </row>
    <row r="2319" spans="1:2">
      <c r="A2319" s="7"/>
      <c r="B2319" s="8"/>
    </row>
    <row r="2320" spans="1:2">
      <c r="A2320" s="7"/>
      <c r="B2320" s="8"/>
    </row>
    <row r="2321" spans="1:2">
      <c r="A2321" s="7"/>
      <c r="B2321" s="8"/>
    </row>
    <row r="2322" spans="1:2">
      <c r="A2322" s="7"/>
      <c r="B2322" s="8"/>
    </row>
    <row r="2323" spans="1:2">
      <c r="A2323" s="7"/>
      <c r="B2323" s="8"/>
    </row>
    <row r="2324" spans="1:2">
      <c r="A2324" s="7"/>
      <c r="B2324" s="8"/>
    </row>
    <row r="2325" spans="1:2">
      <c r="A2325" s="7"/>
      <c r="B2325" s="8"/>
    </row>
    <row r="2326" spans="1:2">
      <c r="A2326" s="7"/>
      <c r="B2326" s="8"/>
    </row>
    <row r="2327" spans="1:2">
      <c r="A2327" s="7"/>
      <c r="B2327" s="8"/>
    </row>
    <row r="2328" spans="1:2">
      <c r="A2328" s="7"/>
      <c r="B2328" s="8"/>
    </row>
    <row r="2329" spans="1:2">
      <c r="A2329" s="7"/>
      <c r="B2329" s="8"/>
    </row>
    <row r="2330" spans="1:2">
      <c r="A2330" s="7"/>
      <c r="B2330" s="8"/>
    </row>
    <row r="2331" spans="1:2">
      <c r="A2331" s="7"/>
      <c r="B2331" s="8"/>
    </row>
    <row r="2332" spans="1:2">
      <c r="A2332" s="7"/>
      <c r="B2332" s="8"/>
    </row>
    <row r="2333" spans="1:2">
      <c r="A2333" s="7"/>
      <c r="B2333" s="8"/>
    </row>
    <row r="2334" spans="1:2">
      <c r="A2334" s="7"/>
      <c r="B2334" s="8"/>
    </row>
    <row r="2335" spans="1:2">
      <c r="A2335" s="7"/>
      <c r="B2335" s="8"/>
    </row>
    <row r="2336" spans="1:2">
      <c r="A2336" s="7"/>
      <c r="B2336" s="8"/>
    </row>
    <row r="2337" spans="1:2">
      <c r="A2337" s="7"/>
      <c r="B2337" s="8"/>
    </row>
    <row r="2338" spans="1:2">
      <c r="A2338" s="7"/>
      <c r="B2338" s="8"/>
    </row>
    <row r="2339" spans="1:2">
      <c r="A2339" s="7"/>
      <c r="B2339" s="8"/>
    </row>
    <row r="2340" spans="1:2">
      <c r="A2340" s="7"/>
      <c r="B2340" s="8"/>
    </row>
    <row r="2341" spans="1:2">
      <c r="A2341" s="7"/>
      <c r="B2341" s="8"/>
    </row>
    <row r="2342" spans="1:2">
      <c r="A2342" s="7"/>
      <c r="B2342" s="8"/>
    </row>
    <row r="2343" spans="1:2">
      <c r="A2343" s="7"/>
      <c r="B2343" s="8"/>
    </row>
    <row r="2344" spans="1:2">
      <c r="A2344" s="7"/>
      <c r="B2344" s="8"/>
    </row>
    <row r="2345" spans="1:2">
      <c r="A2345" s="7"/>
      <c r="B2345" s="8"/>
    </row>
    <row r="2346" spans="1:2">
      <c r="A2346" s="7"/>
      <c r="B2346" s="8"/>
    </row>
    <row r="2347" spans="1:2">
      <c r="A2347" s="7"/>
      <c r="B2347" s="8"/>
    </row>
    <row r="2348" spans="1:2">
      <c r="A2348" s="7"/>
      <c r="B2348" s="8"/>
    </row>
    <row r="2349" spans="1:2">
      <c r="A2349" s="7"/>
      <c r="B2349" s="8"/>
    </row>
    <row r="2350" spans="1:2">
      <c r="A2350" s="7"/>
      <c r="B2350" s="8"/>
    </row>
    <row r="2351" spans="1:2">
      <c r="A2351" s="7"/>
      <c r="B2351" s="8"/>
    </row>
    <row r="2352" spans="1:2">
      <c r="A2352" s="7"/>
      <c r="B2352" s="8"/>
    </row>
    <row r="2353" spans="1:2">
      <c r="A2353" s="7"/>
      <c r="B2353" s="8"/>
    </row>
    <row r="2354" spans="1:2">
      <c r="A2354" s="7"/>
      <c r="B2354" s="8"/>
    </row>
    <row r="2355" spans="1:2">
      <c r="A2355" s="7"/>
      <c r="B2355" s="8"/>
    </row>
    <row r="2356" spans="1:2">
      <c r="A2356" s="7"/>
      <c r="B2356" s="8"/>
    </row>
    <row r="2357" spans="1:2">
      <c r="A2357" s="7"/>
      <c r="B2357" s="8"/>
    </row>
    <row r="2358" spans="1:2">
      <c r="A2358" s="7"/>
      <c r="B2358" s="8"/>
    </row>
    <row r="2359" spans="1:2">
      <c r="A2359" s="7"/>
      <c r="B2359" s="8"/>
    </row>
    <row r="2360" spans="1:2">
      <c r="A2360" s="7"/>
      <c r="B2360" s="8"/>
    </row>
    <row r="2361" spans="1:2">
      <c r="A2361" s="7"/>
      <c r="B2361" s="8"/>
    </row>
    <row r="2362" spans="1:2">
      <c r="A2362" s="7"/>
      <c r="B2362" s="8"/>
    </row>
    <row r="2363" spans="1:2">
      <c r="A2363" s="7"/>
      <c r="B2363" s="8"/>
    </row>
    <row r="2364" spans="1:2">
      <c r="A2364" s="7"/>
      <c r="B2364" s="8"/>
    </row>
    <row r="2365" spans="1:2">
      <c r="A2365" s="7"/>
      <c r="B2365" s="8"/>
    </row>
    <row r="2366" spans="1:2">
      <c r="A2366" s="7"/>
      <c r="B2366" s="8"/>
    </row>
    <row r="2367" spans="1:2">
      <c r="A2367" s="7"/>
      <c r="B2367" s="8"/>
    </row>
    <row r="2368" spans="1:2">
      <c r="A2368" s="7"/>
      <c r="B2368" s="8"/>
    </row>
    <row r="2369" spans="1:2">
      <c r="A2369" s="7"/>
      <c r="B2369" s="8"/>
    </row>
    <row r="2370" spans="1:2">
      <c r="A2370" s="7"/>
      <c r="B2370" s="8"/>
    </row>
    <row r="2371" spans="1:2">
      <c r="A2371" s="7"/>
      <c r="B2371" s="8"/>
    </row>
    <row r="2372" spans="1:2">
      <c r="A2372" s="7"/>
      <c r="B2372" s="8"/>
    </row>
    <row r="2373" spans="1:2">
      <c r="A2373" s="7"/>
      <c r="B2373" s="8"/>
    </row>
    <row r="2374" spans="1:2">
      <c r="A2374" s="7"/>
      <c r="B2374" s="8"/>
    </row>
    <row r="2375" spans="1:2">
      <c r="A2375" s="7"/>
      <c r="B2375" s="8"/>
    </row>
    <row r="2376" spans="1:2">
      <c r="A2376" s="7"/>
      <c r="B2376" s="8"/>
    </row>
    <row r="2377" spans="1:2">
      <c r="A2377" s="7"/>
      <c r="B2377" s="8"/>
    </row>
    <row r="2378" spans="1:2">
      <c r="A2378" s="7"/>
      <c r="B2378" s="8"/>
    </row>
    <row r="2379" spans="1:2">
      <c r="A2379" s="7"/>
      <c r="B2379" s="8"/>
    </row>
    <row r="2380" spans="1:2">
      <c r="A2380" s="7"/>
      <c r="B2380" s="8"/>
    </row>
    <row r="2381" spans="1:2">
      <c r="A2381" s="7"/>
      <c r="B2381" s="8"/>
    </row>
    <row r="2382" spans="1:2">
      <c r="A2382" s="7"/>
      <c r="B2382" s="8"/>
    </row>
    <row r="2383" spans="1:2">
      <c r="A2383" s="7"/>
      <c r="B2383" s="8"/>
    </row>
    <row r="2384" spans="1:2">
      <c r="A2384" s="7"/>
      <c r="B2384" s="8"/>
    </row>
    <row r="2385" spans="1:2">
      <c r="A2385" s="7"/>
      <c r="B2385" s="8"/>
    </row>
    <row r="2386" spans="1:2">
      <c r="A2386" s="7"/>
      <c r="B2386" s="8"/>
    </row>
    <row r="2387" spans="1:2">
      <c r="A2387" s="7"/>
      <c r="B2387" s="8"/>
    </row>
    <row r="2388" spans="1:2">
      <c r="A2388" s="7"/>
      <c r="B2388" s="8"/>
    </row>
    <row r="2389" spans="1:2">
      <c r="A2389" s="7"/>
      <c r="B2389" s="8"/>
    </row>
    <row r="2390" spans="1:2">
      <c r="A2390" s="7"/>
      <c r="B2390" s="8"/>
    </row>
    <row r="2391" spans="1:2">
      <c r="A2391" s="7"/>
      <c r="B2391" s="8"/>
    </row>
    <row r="2392" spans="1:2">
      <c r="A2392" s="7"/>
      <c r="B2392" s="8"/>
    </row>
    <row r="2393" spans="1:2">
      <c r="A2393" s="7"/>
      <c r="B2393" s="8"/>
    </row>
    <row r="2394" spans="1:2">
      <c r="A2394" s="7"/>
      <c r="B2394" s="8"/>
    </row>
    <row r="2395" spans="1:2">
      <c r="A2395" s="7"/>
      <c r="B2395" s="8"/>
    </row>
    <row r="2396" spans="1:2">
      <c r="A2396" s="7"/>
      <c r="B2396" s="8"/>
    </row>
    <row r="2397" spans="1:2">
      <c r="A2397" s="7"/>
      <c r="B2397" s="8"/>
    </row>
    <row r="2398" spans="1:2">
      <c r="A2398" s="7"/>
      <c r="B2398" s="8"/>
    </row>
    <row r="2399" spans="1:2">
      <c r="A2399" s="7"/>
      <c r="B2399" s="8"/>
    </row>
    <row r="2400" spans="1:2">
      <c r="A2400" s="7"/>
      <c r="B2400" s="8"/>
    </row>
    <row r="2401" spans="1:2">
      <c r="A2401" s="7"/>
      <c r="B2401" s="8"/>
    </row>
    <row r="2402" spans="1:2">
      <c r="A2402" s="7"/>
      <c r="B2402" s="8"/>
    </row>
    <row r="2403" spans="1:2">
      <c r="A2403" s="7"/>
      <c r="B2403" s="8"/>
    </row>
    <row r="2404" spans="1:2">
      <c r="A2404" s="7"/>
      <c r="B2404" s="8"/>
    </row>
    <row r="2405" spans="1:2">
      <c r="A2405" s="7"/>
      <c r="B2405" s="8"/>
    </row>
    <row r="2406" spans="1:2">
      <c r="A2406" s="7"/>
      <c r="B2406" s="8"/>
    </row>
    <row r="2407" spans="1:2">
      <c r="A2407" s="7"/>
      <c r="B2407" s="8"/>
    </row>
    <row r="2408" spans="1:2">
      <c r="A2408" s="7"/>
      <c r="B2408" s="8"/>
    </row>
    <row r="2409" spans="1:2">
      <c r="A2409" s="7"/>
      <c r="B2409" s="8"/>
    </row>
    <row r="2410" spans="1:2">
      <c r="A2410" s="7"/>
      <c r="B2410" s="8"/>
    </row>
    <row r="2411" spans="1:2">
      <c r="A2411" s="7"/>
      <c r="B2411" s="8"/>
    </row>
    <row r="2412" spans="1:2">
      <c r="A2412" s="7"/>
      <c r="B2412" s="8"/>
    </row>
    <row r="2413" spans="1:2">
      <c r="A2413" s="7"/>
      <c r="B2413" s="8"/>
    </row>
    <row r="2414" spans="1:2">
      <c r="A2414" s="7"/>
      <c r="B2414" s="8"/>
    </row>
    <row r="2415" spans="1:2">
      <c r="A2415" s="7"/>
      <c r="B2415" s="8"/>
    </row>
    <row r="2416" spans="1:2">
      <c r="A2416" s="7"/>
      <c r="B2416" s="8"/>
    </row>
    <row r="2417" spans="1:2">
      <c r="A2417" s="7"/>
      <c r="B2417" s="8"/>
    </row>
    <row r="2418" spans="1:2">
      <c r="A2418" s="7"/>
      <c r="B2418" s="8"/>
    </row>
    <row r="2419" spans="1:2">
      <c r="A2419" s="7"/>
      <c r="B2419" s="8"/>
    </row>
    <row r="2420" spans="1:2">
      <c r="A2420" s="7"/>
      <c r="B2420" s="8"/>
    </row>
    <row r="2421" spans="1:2">
      <c r="A2421" s="7"/>
      <c r="B2421" s="8"/>
    </row>
    <row r="2422" spans="1:2">
      <c r="A2422" s="7"/>
      <c r="B2422" s="8"/>
    </row>
    <row r="2423" spans="1:2">
      <c r="A2423" s="7"/>
      <c r="B2423" s="8"/>
    </row>
    <row r="2424" spans="1:2">
      <c r="A2424" s="7"/>
      <c r="B2424" s="8"/>
    </row>
    <row r="2425" spans="1:2">
      <c r="A2425" s="7"/>
      <c r="B2425" s="8"/>
    </row>
    <row r="2426" spans="1:2">
      <c r="A2426" s="7"/>
      <c r="B2426" s="8"/>
    </row>
    <row r="2427" spans="1:2">
      <c r="A2427" s="7"/>
      <c r="B2427" s="8"/>
    </row>
    <row r="2428" spans="1:2">
      <c r="A2428" s="7"/>
      <c r="B2428" s="8"/>
    </row>
    <row r="2429" spans="1:2">
      <c r="A2429" s="7"/>
      <c r="B2429" s="8"/>
    </row>
    <row r="2430" spans="1:2">
      <c r="A2430" s="7"/>
      <c r="B2430" s="8"/>
    </row>
    <row r="2431" spans="1:2">
      <c r="A2431" s="7"/>
      <c r="B2431" s="8"/>
    </row>
    <row r="2432" spans="1:2">
      <c r="A2432" s="7"/>
      <c r="B2432" s="8"/>
    </row>
    <row r="2433" spans="1:2">
      <c r="A2433" s="7"/>
      <c r="B2433" s="8"/>
    </row>
    <row r="2434" spans="1:2">
      <c r="A2434" s="7"/>
      <c r="B2434" s="8"/>
    </row>
    <row r="2435" spans="1:2">
      <c r="A2435" s="7"/>
      <c r="B2435" s="8"/>
    </row>
    <row r="2436" spans="1:2">
      <c r="A2436" s="7"/>
      <c r="B2436" s="8"/>
    </row>
    <row r="2437" spans="1:2">
      <c r="A2437" s="7"/>
      <c r="B2437" s="8"/>
    </row>
    <row r="2438" spans="1:2">
      <c r="A2438" s="7"/>
      <c r="B2438" s="8"/>
    </row>
    <row r="2439" spans="1:2">
      <c r="A2439" s="7"/>
      <c r="B2439" s="8"/>
    </row>
    <row r="2440" spans="1:2">
      <c r="A2440" s="7"/>
      <c r="B2440" s="8"/>
    </row>
    <row r="2441" spans="1:2">
      <c r="A2441" s="7"/>
      <c r="B2441" s="8"/>
    </row>
    <row r="2442" spans="1:2">
      <c r="A2442" s="7"/>
      <c r="B2442" s="8"/>
    </row>
    <row r="2443" spans="1:2">
      <c r="A2443" s="7"/>
      <c r="B2443" s="8"/>
    </row>
    <row r="2444" spans="1:2">
      <c r="A2444" s="7"/>
      <c r="B2444" s="8"/>
    </row>
    <row r="2445" spans="1:2">
      <c r="A2445" s="7"/>
      <c r="B2445" s="8"/>
    </row>
    <row r="2446" spans="1:2">
      <c r="A2446" s="7"/>
      <c r="B2446" s="8"/>
    </row>
    <row r="2447" spans="1:2">
      <c r="A2447" s="7"/>
      <c r="B2447" s="8"/>
    </row>
    <row r="2448" spans="1:2">
      <c r="A2448" s="7"/>
      <c r="B2448" s="8"/>
    </row>
    <row r="2449" spans="1:2">
      <c r="A2449" s="7"/>
      <c r="B2449" s="8"/>
    </row>
    <row r="2450" spans="1:2">
      <c r="A2450" s="7"/>
      <c r="B2450" s="8"/>
    </row>
    <row r="2451" spans="1:2">
      <c r="A2451" s="7"/>
      <c r="B2451" s="8"/>
    </row>
    <row r="2452" spans="1:2">
      <c r="A2452" s="7"/>
      <c r="B2452" s="8"/>
    </row>
    <row r="2453" spans="1:2">
      <c r="A2453" s="7"/>
      <c r="B2453" s="8"/>
    </row>
    <row r="2454" spans="1:2">
      <c r="A2454" s="7"/>
      <c r="B2454" s="8"/>
    </row>
    <row r="2455" spans="1:2">
      <c r="A2455" s="7"/>
      <c r="B2455" s="8"/>
    </row>
    <row r="2456" spans="1:2">
      <c r="A2456" s="7"/>
      <c r="B2456" s="8"/>
    </row>
    <row r="2457" spans="1:2">
      <c r="A2457" s="7"/>
      <c r="B2457" s="8"/>
    </row>
    <row r="2458" spans="1:2">
      <c r="A2458" s="7"/>
      <c r="B2458" s="8"/>
    </row>
    <row r="2459" spans="1:2">
      <c r="A2459" s="7"/>
      <c r="B2459" s="8"/>
    </row>
    <row r="2460" spans="1:2">
      <c r="A2460" s="7"/>
      <c r="B2460" s="8"/>
    </row>
    <row r="2461" spans="1:2">
      <c r="A2461" s="7"/>
      <c r="B2461" s="8"/>
    </row>
    <row r="2462" spans="1:2">
      <c r="A2462" s="7"/>
      <c r="B2462" s="8"/>
    </row>
    <row r="2463" spans="1:2">
      <c r="A2463" s="7"/>
      <c r="B2463" s="8"/>
    </row>
    <row r="2464" spans="1:2">
      <c r="A2464" s="7"/>
      <c r="B2464" s="8"/>
    </row>
    <row r="2465" spans="1:2">
      <c r="A2465" s="7"/>
      <c r="B2465" s="8"/>
    </row>
    <row r="2466" spans="1:2">
      <c r="A2466" s="7"/>
      <c r="B2466" s="8"/>
    </row>
    <row r="2467" spans="1:2">
      <c r="A2467" s="7"/>
      <c r="B2467" s="8"/>
    </row>
    <row r="2468" spans="1:2">
      <c r="A2468" s="7"/>
      <c r="B2468" s="8"/>
    </row>
    <row r="2469" spans="1:2">
      <c r="A2469" s="7"/>
      <c r="B2469" s="8"/>
    </row>
    <row r="2470" spans="1:2">
      <c r="A2470" s="7"/>
      <c r="B2470" s="8"/>
    </row>
    <row r="2471" spans="1:2">
      <c r="A2471" s="7"/>
      <c r="B2471" s="8"/>
    </row>
    <row r="2472" spans="1:2">
      <c r="A2472" s="7"/>
      <c r="B2472" s="8"/>
    </row>
    <row r="2473" spans="1:2">
      <c r="A2473" s="7"/>
      <c r="B2473" s="8"/>
    </row>
    <row r="2474" spans="1:2">
      <c r="A2474" s="7"/>
      <c r="B2474" s="8"/>
    </row>
    <row r="2475" spans="1:2">
      <c r="A2475" s="7"/>
      <c r="B2475" s="8"/>
    </row>
    <row r="2476" spans="1:2">
      <c r="A2476" s="7"/>
      <c r="B2476" s="8"/>
    </row>
    <row r="2477" spans="1:2">
      <c r="A2477" s="7"/>
      <c r="B2477" s="8"/>
    </row>
    <row r="2478" spans="1:2">
      <c r="A2478" s="7"/>
      <c r="B2478" s="8"/>
    </row>
    <row r="2479" spans="1:2">
      <c r="A2479" s="7"/>
      <c r="B2479" s="8"/>
    </row>
    <row r="2480" spans="1:2">
      <c r="A2480" s="7"/>
      <c r="B2480" s="8"/>
    </row>
    <row r="2481" spans="1:2">
      <c r="A2481" s="7"/>
      <c r="B2481" s="8"/>
    </row>
    <row r="2482" spans="1:2">
      <c r="A2482" s="7"/>
      <c r="B2482" s="8"/>
    </row>
    <row r="2483" spans="1:2">
      <c r="A2483" s="7"/>
      <c r="B2483" s="8"/>
    </row>
    <row r="2484" spans="1:2">
      <c r="A2484" s="7"/>
      <c r="B2484" s="8"/>
    </row>
    <row r="2485" spans="1:2">
      <c r="A2485" s="7"/>
      <c r="B2485" s="8"/>
    </row>
    <row r="2486" spans="1:2">
      <c r="A2486" s="7"/>
      <c r="B2486" s="8"/>
    </row>
    <row r="2487" spans="1:2">
      <c r="A2487" s="7"/>
      <c r="B2487" s="8"/>
    </row>
    <row r="2488" spans="1:2">
      <c r="A2488" s="7"/>
      <c r="B2488" s="8"/>
    </row>
    <row r="2489" spans="1:2">
      <c r="A2489" s="7"/>
      <c r="B2489" s="8"/>
    </row>
    <row r="2490" spans="1:2">
      <c r="A2490" s="7"/>
      <c r="B2490" s="8"/>
    </row>
    <row r="2491" spans="1:2">
      <c r="A2491" s="7"/>
      <c r="B2491" s="8"/>
    </row>
    <row r="2492" spans="1:2">
      <c r="A2492" s="7"/>
      <c r="B2492" s="8"/>
    </row>
    <row r="2493" spans="1:2">
      <c r="A2493" s="7"/>
      <c r="B2493" s="8"/>
    </row>
    <row r="2494" spans="1:2">
      <c r="A2494" s="7"/>
      <c r="B2494" s="8"/>
    </row>
    <row r="2495" spans="1:2">
      <c r="A2495" s="7"/>
      <c r="B2495" s="8"/>
    </row>
    <row r="2496" spans="1:2">
      <c r="A2496" s="7"/>
      <c r="B2496" s="8"/>
    </row>
    <row r="2497" spans="1:2">
      <c r="A2497" s="7"/>
      <c r="B2497" s="8"/>
    </row>
    <row r="2498" spans="1:2">
      <c r="A2498" s="7"/>
      <c r="B2498" s="8"/>
    </row>
    <row r="2499" spans="1:2">
      <c r="A2499" s="7"/>
      <c r="B2499" s="8"/>
    </row>
    <row r="2500" spans="1:2">
      <c r="A2500" s="7"/>
      <c r="B2500" s="8"/>
    </row>
    <row r="2501" spans="1:2">
      <c r="A2501" s="7"/>
      <c r="B2501" s="8"/>
    </row>
    <row r="2502" spans="1:2">
      <c r="A2502" s="7"/>
      <c r="B2502" s="8"/>
    </row>
    <row r="2503" spans="1:2">
      <c r="A2503" s="7"/>
      <c r="B2503" s="8"/>
    </row>
    <row r="2504" spans="1:2">
      <c r="A2504" s="7"/>
      <c r="B2504" s="8"/>
    </row>
    <row r="2505" spans="1:2">
      <c r="A2505" s="7"/>
      <c r="B2505" s="8"/>
    </row>
    <row r="2506" spans="1:2">
      <c r="A2506" s="7"/>
      <c r="B2506" s="8"/>
    </row>
    <row r="2507" spans="1:2">
      <c r="A2507" s="7"/>
      <c r="B2507" s="8"/>
    </row>
    <row r="2508" spans="1:2">
      <c r="A2508" s="7"/>
      <c r="B2508" s="8"/>
    </row>
    <row r="2509" spans="1:2">
      <c r="A2509" s="7"/>
      <c r="B2509" s="8"/>
    </row>
    <row r="2510" spans="1:2">
      <c r="A2510" s="7"/>
      <c r="B2510" s="8"/>
    </row>
    <row r="2511" spans="1:2">
      <c r="A2511" s="7"/>
      <c r="B2511" s="8"/>
    </row>
    <row r="2512" spans="1:2">
      <c r="A2512" s="7"/>
      <c r="B2512" s="8"/>
    </row>
    <row r="2513" spans="1:2">
      <c r="A2513" s="7"/>
      <c r="B2513" s="8"/>
    </row>
    <row r="2514" spans="1:2">
      <c r="A2514" s="7"/>
      <c r="B2514" s="8"/>
    </row>
    <row r="2515" spans="1:2">
      <c r="A2515" s="7"/>
      <c r="B2515" s="8"/>
    </row>
    <row r="2516" spans="1:2">
      <c r="A2516" s="7"/>
      <c r="B2516" s="8"/>
    </row>
    <row r="2517" spans="1:2">
      <c r="A2517" s="7"/>
      <c r="B2517" s="8"/>
    </row>
    <row r="2518" spans="1:2">
      <c r="A2518" s="7"/>
      <c r="B2518" s="8"/>
    </row>
    <row r="2519" spans="1:2">
      <c r="A2519" s="7"/>
      <c r="B2519" s="8"/>
    </row>
    <row r="2520" spans="1:2">
      <c r="A2520" s="7"/>
      <c r="B2520" s="8"/>
    </row>
    <row r="2521" spans="1:2">
      <c r="A2521" s="7"/>
      <c r="B2521" s="8"/>
    </row>
    <row r="2522" spans="1:2">
      <c r="A2522" s="7"/>
      <c r="B2522" s="8"/>
    </row>
    <row r="2523" spans="1:2">
      <c r="A2523" s="7"/>
      <c r="B2523" s="8"/>
    </row>
    <row r="2524" spans="1:2">
      <c r="A2524" s="7"/>
      <c r="B2524" s="8"/>
    </row>
    <row r="2525" spans="1:2">
      <c r="A2525" s="7"/>
      <c r="B2525" s="8"/>
    </row>
    <row r="2526" spans="1:2">
      <c r="A2526" s="7"/>
      <c r="B2526" s="8"/>
    </row>
    <row r="2527" spans="1:2">
      <c r="A2527" s="7"/>
      <c r="B2527" s="8"/>
    </row>
    <row r="2528" spans="1:2">
      <c r="A2528" s="7"/>
      <c r="B2528" s="8"/>
    </row>
    <row r="2529" spans="1:2">
      <c r="A2529" s="7"/>
      <c r="B2529" s="8"/>
    </row>
    <row r="2530" spans="1:2">
      <c r="A2530" s="7"/>
      <c r="B2530" s="8"/>
    </row>
    <row r="2531" spans="1:2">
      <c r="A2531" s="7"/>
      <c r="B2531" s="8"/>
    </row>
    <row r="2532" spans="1:2">
      <c r="A2532" s="7"/>
      <c r="B2532" s="8"/>
    </row>
    <row r="2533" spans="1:2">
      <c r="A2533" s="7"/>
      <c r="B2533" s="8"/>
    </row>
    <row r="2534" spans="1:2">
      <c r="A2534" s="7"/>
      <c r="B2534" s="8"/>
    </row>
    <row r="2535" spans="1:2">
      <c r="A2535" s="7"/>
      <c r="B2535" s="8"/>
    </row>
    <row r="2536" spans="1:2">
      <c r="A2536" s="7"/>
      <c r="B2536" s="8"/>
    </row>
    <row r="2537" spans="1:2">
      <c r="A2537" s="7"/>
      <c r="B2537" s="8"/>
    </row>
    <row r="2538" spans="1:2">
      <c r="A2538" s="7"/>
      <c r="B2538" s="8"/>
    </row>
    <row r="2539" spans="1:2">
      <c r="A2539" s="7"/>
      <c r="B2539" s="8"/>
    </row>
    <row r="2540" spans="1:2">
      <c r="A2540" s="7"/>
      <c r="B2540" s="8"/>
    </row>
    <row r="2541" spans="1:2">
      <c r="A2541" s="7"/>
      <c r="B2541" s="8"/>
    </row>
    <row r="2542" spans="1:2">
      <c r="A2542" s="7"/>
      <c r="B2542" s="8"/>
    </row>
    <row r="2543" spans="1:2">
      <c r="A2543" s="7"/>
      <c r="B2543" s="8"/>
    </row>
    <row r="2544" spans="1:2">
      <c r="A2544" s="7"/>
      <c r="B2544" s="8"/>
    </row>
    <row r="2545" spans="1:2">
      <c r="A2545" s="7"/>
      <c r="B2545" s="8"/>
    </row>
    <row r="2546" spans="1:2">
      <c r="A2546" s="7"/>
      <c r="B2546" s="8"/>
    </row>
    <row r="2547" spans="1:2">
      <c r="A2547" s="7"/>
      <c r="B2547" s="8"/>
    </row>
    <row r="2548" spans="1:2">
      <c r="A2548" s="7"/>
      <c r="B2548" s="8"/>
    </row>
    <row r="2549" spans="1:2">
      <c r="A2549" s="7"/>
      <c r="B2549" s="8"/>
    </row>
    <row r="2550" spans="1:2">
      <c r="A2550" s="7"/>
      <c r="B2550" s="8"/>
    </row>
    <row r="2551" spans="1:2">
      <c r="A2551" s="7"/>
      <c r="B2551" s="8"/>
    </row>
    <row r="2552" spans="1:2">
      <c r="A2552" s="7"/>
      <c r="B2552" s="8"/>
    </row>
    <row r="2553" spans="1:2">
      <c r="A2553" s="7"/>
      <c r="B2553" s="8"/>
    </row>
    <row r="2554" spans="1:2">
      <c r="A2554" s="7"/>
      <c r="B2554" s="8"/>
    </row>
    <row r="2555" spans="1:2">
      <c r="A2555" s="7"/>
      <c r="B2555" s="8"/>
    </row>
    <row r="2556" spans="1:2">
      <c r="A2556" s="7"/>
      <c r="B2556" s="8"/>
    </row>
    <row r="2557" spans="1:2">
      <c r="A2557" s="7"/>
      <c r="B2557" s="8"/>
    </row>
    <row r="2558" spans="1:2">
      <c r="A2558" s="7"/>
      <c r="B2558" s="8"/>
    </row>
    <row r="2559" spans="1:2">
      <c r="A2559" s="7"/>
      <c r="B2559" s="8"/>
    </row>
    <row r="2560" spans="1:2">
      <c r="A2560" s="7"/>
      <c r="B2560" s="8"/>
    </row>
    <row r="2561" spans="1:2">
      <c r="A2561" s="7"/>
      <c r="B2561" s="8"/>
    </row>
    <row r="2562" spans="1:2">
      <c r="A2562" s="7"/>
      <c r="B2562" s="8"/>
    </row>
    <row r="2563" spans="1:2">
      <c r="A2563" s="7"/>
      <c r="B2563" s="8"/>
    </row>
    <row r="2564" spans="1:2">
      <c r="A2564" s="7"/>
      <c r="B2564" s="8"/>
    </row>
    <row r="2565" spans="1:2">
      <c r="A2565" s="7"/>
      <c r="B2565" s="8"/>
    </row>
    <row r="2566" spans="1:2">
      <c r="A2566" s="7"/>
      <c r="B2566" s="8"/>
    </row>
    <row r="2567" spans="1:2">
      <c r="A2567" s="7"/>
      <c r="B2567" s="8"/>
    </row>
    <row r="2568" spans="1:2">
      <c r="A2568" s="7"/>
      <c r="B2568" s="8"/>
    </row>
    <row r="2569" spans="1:2">
      <c r="A2569" s="7"/>
      <c r="B2569" s="8"/>
    </row>
    <row r="2570" spans="1:2">
      <c r="A2570" s="7"/>
      <c r="B2570" s="8"/>
    </row>
    <row r="2571" spans="1:2">
      <c r="A2571" s="7"/>
      <c r="B2571" s="8"/>
    </row>
    <row r="2572" spans="1:2">
      <c r="A2572" s="7"/>
      <c r="B2572" s="8"/>
    </row>
    <row r="2573" spans="1:2">
      <c r="A2573" s="7"/>
      <c r="B2573" s="8"/>
    </row>
    <row r="2574" spans="1:2">
      <c r="A2574" s="7"/>
      <c r="B2574" s="8"/>
    </row>
    <row r="2575" spans="1:2">
      <c r="A2575" s="7"/>
      <c r="B2575" s="8"/>
    </row>
    <row r="2576" spans="1:2">
      <c r="A2576" s="7"/>
      <c r="B2576" s="8"/>
    </row>
    <row r="2577" spans="1:2">
      <c r="A2577" s="7"/>
      <c r="B2577" s="8"/>
    </row>
    <row r="2578" spans="1:2">
      <c r="A2578" s="7"/>
      <c r="B2578" s="8"/>
    </row>
    <row r="2579" spans="1:2">
      <c r="A2579" s="7"/>
      <c r="B2579" s="8"/>
    </row>
    <row r="2580" spans="1:2">
      <c r="A2580" s="7"/>
      <c r="B2580" s="8"/>
    </row>
    <row r="2581" spans="1:2">
      <c r="A2581" s="7"/>
      <c r="B2581" s="8"/>
    </row>
    <row r="2582" spans="1:2">
      <c r="A2582" s="7"/>
      <c r="B2582" s="8"/>
    </row>
    <row r="2583" spans="1:2">
      <c r="A2583" s="7"/>
      <c r="B2583" s="8"/>
    </row>
    <row r="2584" spans="1:2">
      <c r="A2584" s="7"/>
      <c r="B2584" s="8"/>
    </row>
    <row r="2585" spans="1:2">
      <c r="A2585" s="7"/>
      <c r="B2585" s="8"/>
    </row>
    <row r="2586" spans="1:2">
      <c r="A2586" s="7"/>
      <c r="B2586" s="8"/>
    </row>
    <row r="2587" spans="1:2">
      <c r="A2587" s="7"/>
      <c r="B2587" s="8"/>
    </row>
    <row r="2588" spans="1:2">
      <c r="A2588" s="7"/>
      <c r="B2588" s="8"/>
    </row>
    <row r="2589" spans="1:2">
      <c r="A2589" s="7"/>
      <c r="B2589" s="8"/>
    </row>
    <row r="2590" spans="1:2">
      <c r="A2590" s="7"/>
      <c r="B2590" s="8"/>
    </row>
    <row r="2591" spans="1:2">
      <c r="A2591" s="7"/>
      <c r="B2591" s="8"/>
    </row>
    <row r="2592" spans="1:2">
      <c r="A2592" s="7"/>
      <c r="B2592" s="8"/>
    </row>
    <row r="2593" spans="1:2">
      <c r="A2593" s="7"/>
      <c r="B2593" s="8"/>
    </row>
    <row r="2594" spans="1:2">
      <c r="A2594" s="7"/>
      <c r="B2594" s="8"/>
    </row>
    <row r="2595" spans="1:2">
      <c r="A2595" s="7"/>
      <c r="B2595" s="8"/>
    </row>
    <row r="2596" spans="1:2">
      <c r="A2596" s="7"/>
      <c r="B2596" s="8"/>
    </row>
    <row r="2597" spans="1:2">
      <c r="A2597" s="7"/>
      <c r="B2597" s="8"/>
    </row>
    <row r="2598" spans="1:2">
      <c r="A2598" s="7"/>
      <c r="B2598" s="8"/>
    </row>
    <row r="2599" spans="1:2">
      <c r="A2599" s="7"/>
      <c r="B2599" s="8"/>
    </row>
    <row r="2600" spans="1:2">
      <c r="A2600" s="7"/>
      <c r="B2600" s="8"/>
    </row>
    <row r="2601" spans="1:2">
      <c r="A2601" s="7"/>
      <c r="B2601" s="8"/>
    </row>
    <row r="2602" spans="1:2">
      <c r="A2602" s="7"/>
      <c r="B2602" s="8"/>
    </row>
    <row r="2603" spans="1:2">
      <c r="A2603" s="7"/>
      <c r="B2603" s="8"/>
    </row>
    <row r="2604" spans="1:2">
      <c r="A2604" s="7"/>
      <c r="B2604" s="8"/>
    </row>
    <row r="2605" spans="1:2">
      <c r="A2605" s="7"/>
      <c r="B2605" s="8"/>
    </row>
    <row r="2606" spans="1:2">
      <c r="A2606" s="7"/>
      <c r="B2606" s="8"/>
    </row>
    <row r="2607" spans="1:2">
      <c r="A2607" s="7"/>
      <c r="B2607" s="8"/>
    </row>
    <row r="2608" spans="1:2">
      <c r="A2608" s="7"/>
      <c r="B2608" s="8"/>
    </row>
    <row r="2609" spans="1:2">
      <c r="A2609" s="7"/>
      <c r="B2609" s="8"/>
    </row>
    <row r="2610" spans="1:2">
      <c r="A2610" s="7"/>
      <c r="B2610" s="8"/>
    </row>
    <row r="2611" spans="1:2">
      <c r="A2611" s="7"/>
      <c r="B2611" s="8"/>
    </row>
    <row r="2612" spans="1:2">
      <c r="A2612" s="7"/>
      <c r="B2612" s="8"/>
    </row>
    <row r="2613" spans="1:2">
      <c r="A2613" s="7"/>
      <c r="B2613" s="8"/>
    </row>
    <row r="2614" spans="1:2">
      <c r="A2614" s="7"/>
      <c r="B2614" s="8"/>
    </row>
    <row r="2615" spans="1:2">
      <c r="A2615" s="7"/>
      <c r="B2615" s="8"/>
    </row>
    <row r="2616" spans="1:2">
      <c r="A2616" s="7"/>
      <c r="B2616" s="8"/>
    </row>
    <row r="2617" spans="1:2">
      <c r="A2617" s="7"/>
      <c r="B2617" s="8"/>
    </row>
    <row r="2618" spans="1:2">
      <c r="A2618" s="7"/>
      <c r="B2618" s="8"/>
    </row>
    <row r="2619" spans="1:2">
      <c r="A2619" s="7"/>
      <c r="B2619" s="8"/>
    </row>
    <row r="2620" spans="1:2">
      <c r="A2620" s="7"/>
      <c r="B2620" s="8"/>
    </row>
    <row r="2621" spans="1:2">
      <c r="A2621" s="7"/>
      <c r="B2621" s="8"/>
    </row>
    <row r="2622" spans="1:2">
      <c r="A2622" s="7"/>
      <c r="B2622" s="8"/>
    </row>
    <row r="2623" spans="1:2">
      <c r="A2623" s="7"/>
      <c r="B2623" s="8"/>
    </row>
    <row r="2624" spans="1:2">
      <c r="A2624" s="7"/>
      <c r="B2624" s="8"/>
    </row>
    <row r="2625" spans="1:2">
      <c r="A2625" s="7"/>
      <c r="B2625" s="8"/>
    </row>
    <row r="2626" spans="1:2">
      <c r="A2626" s="7"/>
      <c r="B2626" s="8"/>
    </row>
    <row r="2627" spans="1:2">
      <c r="A2627" s="7"/>
      <c r="B2627" s="8"/>
    </row>
    <row r="2628" spans="1:2">
      <c r="A2628" s="7"/>
      <c r="B2628" s="8"/>
    </row>
    <row r="2629" spans="1:2">
      <c r="A2629" s="7"/>
      <c r="B2629" s="8"/>
    </row>
    <row r="2630" spans="1:2">
      <c r="A2630" s="7"/>
      <c r="B2630" s="8"/>
    </row>
    <row r="2631" spans="1:2">
      <c r="A2631" s="7"/>
      <c r="B2631" s="8"/>
    </row>
    <row r="2632" spans="1:2">
      <c r="A2632" s="7"/>
      <c r="B2632" s="8"/>
    </row>
    <row r="2633" spans="1:2">
      <c r="A2633" s="7"/>
      <c r="B2633" s="8"/>
    </row>
    <row r="2634" spans="1:2">
      <c r="A2634" s="7"/>
      <c r="B2634" s="8"/>
    </row>
    <row r="2635" spans="1:2">
      <c r="A2635" s="7"/>
      <c r="B2635" s="8"/>
    </row>
    <row r="2636" spans="1:2">
      <c r="A2636" s="7"/>
      <c r="B2636" s="8"/>
    </row>
    <row r="2637" spans="1:2">
      <c r="A2637" s="7"/>
      <c r="B2637" s="8"/>
    </row>
    <row r="2638" spans="1:2">
      <c r="A2638" s="7"/>
      <c r="B2638" s="8"/>
    </row>
    <row r="2639" spans="1:2">
      <c r="A2639" s="7"/>
      <c r="B2639" s="8"/>
    </row>
    <row r="2640" spans="1:2">
      <c r="A2640" s="7"/>
      <c r="B2640" s="8"/>
    </row>
    <row r="2641" spans="1:2">
      <c r="A2641" s="7"/>
      <c r="B2641" s="8"/>
    </row>
    <row r="2642" spans="1:2">
      <c r="A2642" s="7"/>
      <c r="B2642" s="8"/>
    </row>
    <row r="2643" spans="1:2">
      <c r="A2643" s="7"/>
      <c r="B2643" s="8"/>
    </row>
    <row r="2644" spans="1:2">
      <c r="A2644" s="7"/>
      <c r="B2644" s="8"/>
    </row>
    <row r="2645" spans="1:2">
      <c r="A2645" s="7"/>
      <c r="B2645" s="8"/>
    </row>
    <row r="2646" spans="1:2">
      <c r="A2646" s="7"/>
      <c r="B2646" s="8"/>
    </row>
    <row r="2647" spans="1:2">
      <c r="A2647" s="7"/>
      <c r="B2647" s="8"/>
    </row>
    <row r="2648" spans="1:2">
      <c r="A2648" s="7"/>
      <c r="B2648" s="8"/>
    </row>
    <row r="2649" spans="1:2">
      <c r="A2649" s="7"/>
      <c r="B2649" s="8"/>
    </row>
    <row r="2650" spans="1:2">
      <c r="A2650" s="7"/>
      <c r="B2650" s="8"/>
    </row>
    <row r="2651" spans="1:2">
      <c r="A2651" s="7"/>
      <c r="B2651" s="8"/>
    </row>
    <row r="2652" spans="1:2">
      <c r="A2652" s="7"/>
      <c r="B2652" s="8"/>
    </row>
    <row r="2653" spans="1:2">
      <c r="A2653" s="7"/>
      <c r="B2653" s="8"/>
    </row>
    <row r="2654" spans="1:2">
      <c r="A2654" s="7"/>
      <c r="B2654" s="8"/>
    </row>
    <row r="2655" spans="1:2">
      <c r="A2655" s="7"/>
      <c r="B2655" s="8"/>
    </row>
    <row r="2656" spans="1:2">
      <c r="A2656" s="7"/>
      <c r="B2656" s="8"/>
    </row>
    <row r="2657" spans="1:2">
      <c r="A2657" s="7"/>
      <c r="B2657" s="8"/>
    </row>
    <row r="2658" spans="1:2">
      <c r="A2658" s="7"/>
      <c r="B2658" s="8"/>
    </row>
    <row r="2659" spans="1:2">
      <c r="A2659" s="7"/>
      <c r="B2659" s="8"/>
    </row>
    <row r="2660" spans="1:2">
      <c r="A2660" s="7"/>
      <c r="B2660" s="8"/>
    </row>
    <row r="2661" spans="1:2">
      <c r="A2661" s="7"/>
      <c r="B2661" s="8"/>
    </row>
    <row r="2662" spans="1:2">
      <c r="A2662" s="7"/>
      <c r="B2662" s="8"/>
    </row>
    <row r="2663" spans="1:2">
      <c r="A2663" s="7"/>
      <c r="B2663" s="8"/>
    </row>
    <row r="2664" spans="1:2">
      <c r="A2664" s="7"/>
      <c r="B2664" s="8"/>
    </row>
    <row r="2665" spans="1:2">
      <c r="A2665" s="7"/>
      <c r="B2665" s="8"/>
    </row>
    <row r="2666" spans="1:2">
      <c r="A2666" s="7"/>
      <c r="B2666" s="8"/>
    </row>
    <row r="2667" spans="1:2">
      <c r="A2667" s="7"/>
      <c r="B2667" s="8"/>
    </row>
    <row r="2668" spans="1:2">
      <c r="A2668" s="7"/>
      <c r="B2668" s="8"/>
    </row>
    <row r="2669" spans="1:2">
      <c r="A2669" s="7"/>
      <c r="B2669" s="8"/>
    </row>
    <row r="2670" spans="1:2">
      <c r="A2670" s="7"/>
      <c r="B2670" s="8"/>
    </row>
    <row r="2671" spans="1:2">
      <c r="A2671" s="7"/>
      <c r="B2671" s="8"/>
    </row>
    <row r="2672" spans="1:2">
      <c r="A2672" s="7"/>
      <c r="B2672" s="8"/>
    </row>
    <row r="2673" spans="1:2">
      <c r="A2673" s="7"/>
      <c r="B2673" s="8"/>
    </row>
    <row r="2674" spans="1:2">
      <c r="A2674" s="7"/>
      <c r="B2674" s="8"/>
    </row>
    <row r="2675" spans="1:2">
      <c r="A2675" s="7"/>
      <c r="B2675" s="8"/>
    </row>
    <row r="2676" spans="1:2">
      <c r="A2676" s="7"/>
      <c r="B2676" s="8"/>
    </row>
    <row r="2677" spans="1:2">
      <c r="A2677" s="7"/>
      <c r="B2677" s="8"/>
    </row>
    <row r="2678" spans="1:2">
      <c r="A2678" s="7"/>
      <c r="B2678" s="8"/>
    </row>
    <row r="2679" spans="1:2">
      <c r="A2679" s="7"/>
      <c r="B2679" s="8"/>
    </row>
    <row r="2680" spans="1:2">
      <c r="A2680" s="7"/>
      <c r="B2680" s="8"/>
    </row>
    <row r="2681" spans="1:2">
      <c r="A2681" s="7"/>
      <c r="B2681" s="8"/>
    </row>
    <row r="2682" spans="1:2">
      <c r="A2682" s="7"/>
      <c r="B2682" s="8"/>
    </row>
    <row r="2683" spans="1:2">
      <c r="A2683" s="7"/>
      <c r="B2683" s="8"/>
    </row>
    <row r="2684" spans="1:2">
      <c r="A2684" s="7"/>
      <c r="B2684" s="8"/>
    </row>
    <row r="2685" spans="1:2">
      <c r="A2685" s="7"/>
      <c r="B2685" s="8"/>
    </row>
    <row r="2686" spans="1:2">
      <c r="A2686" s="7"/>
      <c r="B2686" s="8"/>
    </row>
    <row r="2687" spans="1:2">
      <c r="A2687" s="7"/>
      <c r="B2687" s="8"/>
    </row>
    <row r="2688" spans="1:2">
      <c r="A2688" s="7"/>
      <c r="B2688" s="8"/>
    </row>
    <row r="2689" spans="1:2">
      <c r="A2689" s="7"/>
      <c r="B2689" s="8"/>
    </row>
    <row r="2690" spans="1:2">
      <c r="A2690" s="7"/>
      <c r="B2690" s="8"/>
    </row>
    <row r="2691" spans="1:2">
      <c r="A2691" s="7"/>
      <c r="B2691" s="8"/>
    </row>
    <row r="2692" spans="1:2">
      <c r="A2692" s="7"/>
      <c r="B2692" s="8"/>
    </row>
    <row r="2693" spans="1:2">
      <c r="A2693" s="7"/>
      <c r="B2693" s="8"/>
    </row>
    <row r="2694" spans="1:2">
      <c r="A2694" s="7"/>
      <c r="B2694" s="8"/>
    </row>
    <row r="2695" spans="1:2">
      <c r="A2695" s="7"/>
      <c r="B2695" s="8"/>
    </row>
    <row r="2696" spans="1:2">
      <c r="A2696" s="7"/>
      <c r="B2696" s="8"/>
    </row>
    <row r="2697" spans="1:2">
      <c r="A2697" s="7"/>
      <c r="B2697" s="8"/>
    </row>
    <row r="2698" spans="1:2">
      <c r="A2698" s="7"/>
      <c r="B2698" s="8"/>
    </row>
    <row r="2699" spans="1:2">
      <c r="A2699" s="7"/>
      <c r="B2699" s="8"/>
    </row>
    <row r="2700" spans="1:2">
      <c r="A2700" s="7"/>
      <c r="B2700" s="8"/>
    </row>
    <row r="2701" spans="1:2">
      <c r="A2701" s="7"/>
      <c r="B2701" s="8"/>
    </row>
    <row r="2702" spans="1:2">
      <c r="A2702" s="7"/>
      <c r="B2702" s="8"/>
    </row>
    <row r="2703" spans="1:2">
      <c r="A2703" s="7"/>
      <c r="B2703" s="8"/>
    </row>
    <row r="2704" spans="1:2">
      <c r="A2704" s="7"/>
      <c r="B2704" s="8"/>
    </row>
    <row r="2705" spans="1:2">
      <c r="A2705" s="7"/>
      <c r="B2705" s="8"/>
    </row>
    <row r="2706" spans="1:2">
      <c r="A2706" s="7"/>
      <c r="B2706" s="8"/>
    </row>
    <row r="2707" spans="1:2">
      <c r="A2707" s="7"/>
      <c r="B2707" s="8"/>
    </row>
    <row r="2708" spans="1:2">
      <c r="A2708" s="7"/>
      <c r="B2708" s="8"/>
    </row>
    <row r="2709" spans="1:2">
      <c r="A2709" s="7"/>
      <c r="B2709" s="8"/>
    </row>
    <row r="2710" spans="1:2">
      <c r="A2710" s="7"/>
      <c r="B2710" s="8"/>
    </row>
    <row r="2711" spans="1:2">
      <c r="A2711" s="7"/>
      <c r="B2711" s="8"/>
    </row>
    <row r="2712" spans="1:2">
      <c r="A2712" s="7"/>
      <c r="B2712" s="8"/>
    </row>
    <row r="2713" spans="1:2">
      <c r="A2713" s="7"/>
      <c r="B2713" s="8"/>
    </row>
    <row r="2714" spans="1:2">
      <c r="A2714" s="7"/>
      <c r="B2714" s="8"/>
    </row>
    <row r="2715" spans="1:2">
      <c r="A2715" s="7"/>
      <c r="B2715" s="8"/>
    </row>
    <row r="2716" spans="1:2">
      <c r="A2716" s="7"/>
      <c r="B2716" s="8"/>
    </row>
    <row r="2717" spans="1:2">
      <c r="A2717" s="7"/>
      <c r="B2717" s="8"/>
    </row>
    <row r="2718" spans="1:2">
      <c r="A2718" s="7"/>
      <c r="B2718" s="8"/>
    </row>
    <row r="2719" spans="1:2">
      <c r="A2719" s="7"/>
      <c r="B2719" s="8"/>
    </row>
    <row r="2720" spans="1:2">
      <c r="A2720" s="7"/>
      <c r="B2720" s="8"/>
    </row>
    <row r="2721" spans="1:2">
      <c r="A2721" s="7"/>
      <c r="B2721" s="8"/>
    </row>
    <row r="2722" spans="1:2">
      <c r="A2722" s="7"/>
      <c r="B2722" s="8"/>
    </row>
    <row r="2723" spans="1:2">
      <c r="A2723" s="7"/>
      <c r="B2723" s="8"/>
    </row>
    <row r="2724" spans="1:2">
      <c r="A2724" s="7"/>
      <c r="B2724" s="8"/>
    </row>
    <row r="2725" spans="1:2">
      <c r="A2725" s="7"/>
      <c r="B2725" s="8"/>
    </row>
    <row r="2726" spans="1:2">
      <c r="A2726" s="7"/>
      <c r="B2726" s="8"/>
    </row>
    <row r="2727" spans="1:2">
      <c r="A2727" s="7"/>
      <c r="B2727" s="8"/>
    </row>
    <row r="2728" spans="1:2">
      <c r="A2728" s="7"/>
      <c r="B2728" s="8"/>
    </row>
    <row r="2729" spans="1:2">
      <c r="A2729" s="7"/>
      <c r="B2729" s="8"/>
    </row>
    <row r="2730" spans="1:2">
      <c r="A2730" s="7"/>
      <c r="B2730" s="8"/>
    </row>
    <row r="2731" spans="1:2">
      <c r="A2731" s="7"/>
      <c r="B2731" s="8"/>
    </row>
    <row r="2732" spans="1:2">
      <c r="A2732" s="7"/>
      <c r="B2732" s="8"/>
    </row>
    <row r="2733" spans="1:2">
      <c r="A2733" s="7"/>
      <c r="B2733" s="8"/>
    </row>
    <row r="2734" spans="1:2">
      <c r="A2734" s="7"/>
      <c r="B2734" s="8"/>
    </row>
    <row r="2735" spans="1:2">
      <c r="A2735" s="7"/>
      <c r="B2735" s="8"/>
    </row>
    <row r="2736" spans="1:2">
      <c r="A2736" s="7"/>
      <c r="B2736" s="8"/>
    </row>
    <row r="2737" spans="1:2">
      <c r="A2737" s="7"/>
      <c r="B2737" s="8"/>
    </row>
    <row r="2738" spans="1:2">
      <c r="A2738" s="7"/>
      <c r="B2738" s="8"/>
    </row>
    <row r="2739" spans="1:2">
      <c r="A2739" s="7"/>
      <c r="B2739" s="8"/>
    </row>
    <row r="2740" spans="1:2">
      <c r="A2740" s="7"/>
      <c r="B2740" s="8"/>
    </row>
    <row r="2741" spans="1:2">
      <c r="A2741" s="7"/>
      <c r="B2741" s="8"/>
    </row>
    <row r="2742" spans="1:2">
      <c r="A2742" s="7"/>
      <c r="B2742" s="8"/>
    </row>
    <row r="2743" spans="1:2">
      <c r="A2743" s="7"/>
      <c r="B2743" s="8"/>
    </row>
    <row r="2744" spans="1:2">
      <c r="A2744" s="7"/>
      <c r="B2744" s="8"/>
    </row>
    <row r="2745" spans="1:2">
      <c r="A2745" s="7"/>
      <c r="B2745" s="8"/>
    </row>
    <row r="2746" spans="1:2">
      <c r="A2746" s="7"/>
      <c r="B2746" s="8"/>
    </row>
    <row r="2747" spans="1:2">
      <c r="A2747" s="7"/>
      <c r="B2747" s="8"/>
    </row>
    <row r="2748" spans="1:2">
      <c r="A2748" s="7"/>
      <c r="B2748" s="8"/>
    </row>
    <row r="2749" spans="1:2">
      <c r="A2749" s="7"/>
      <c r="B2749" s="8"/>
    </row>
    <row r="2750" spans="1:2">
      <c r="A2750" s="7"/>
      <c r="B2750" s="8"/>
    </row>
    <row r="2751" spans="1:2">
      <c r="A2751" s="7"/>
      <c r="B2751" s="8"/>
    </row>
    <row r="2752" spans="1:2">
      <c r="A2752" s="7"/>
      <c r="B2752" s="8"/>
    </row>
    <row r="2753" spans="1:2">
      <c r="A2753" s="7"/>
      <c r="B2753" s="8"/>
    </row>
    <row r="2754" spans="1:2">
      <c r="A2754" s="7"/>
      <c r="B2754" s="8"/>
    </row>
    <row r="2755" spans="1:2">
      <c r="A2755" s="7"/>
      <c r="B2755" s="8"/>
    </row>
    <row r="2756" spans="1:2">
      <c r="A2756" s="7"/>
      <c r="B2756" s="8"/>
    </row>
    <row r="2757" spans="1:2">
      <c r="A2757" s="7"/>
      <c r="B2757" s="8"/>
    </row>
    <row r="2758" spans="1:2">
      <c r="A2758" s="7"/>
      <c r="B2758" s="8"/>
    </row>
    <row r="2759" spans="1:2">
      <c r="A2759" s="7"/>
      <c r="B2759" s="8"/>
    </row>
    <row r="2760" spans="1:2">
      <c r="A2760" s="7"/>
      <c r="B2760" s="8"/>
    </row>
    <row r="2761" spans="1:2">
      <c r="A2761" s="7"/>
      <c r="B2761" s="8"/>
    </row>
    <row r="2762" spans="1:2">
      <c r="A2762" s="7"/>
      <c r="B2762" s="8"/>
    </row>
    <row r="2763" spans="1:2">
      <c r="A2763" s="7"/>
      <c r="B2763" s="8"/>
    </row>
    <row r="2764" spans="1:2">
      <c r="A2764" s="7"/>
      <c r="B2764" s="8"/>
    </row>
    <row r="2765" spans="1:2">
      <c r="A2765" s="7"/>
      <c r="B2765" s="8"/>
    </row>
    <row r="2766" spans="1:2">
      <c r="A2766" s="7"/>
      <c r="B2766" s="8"/>
    </row>
    <row r="2767" spans="1:2">
      <c r="A2767" s="7"/>
      <c r="B2767" s="8"/>
    </row>
    <row r="2768" spans="1:2">
      <c r="A2768" s="7"/>
      <c r="B2768" s="8"/>
    </row>
    <row r="2769" spans="1:2">
      <c r="A2769" s="7"/>
      <c r="B2769" s="8"/>
    </row>
    <row r="2770" spans="1:2">
      <c r="A2770" s="7"/>
      <c r="B2770" s="8"/>
    </row>
    <row r="2771" spans="1:2">
      <c r="A2771" s="7"/>
      <c r="B2771" s="8"/>
    </row>
    <row r="2772" spans="1:2">
      <c r="A2772" s="7"/>
      <c r="B2772" s="8"/>
    </row>
    <row r="2773" spans="1:2">
      <c r="A2773" s="7"/>
      <c r="B2773" s="8"/>
    </row>
    <row r="2774" spans="1:2">
      <c r="A2774" s="7"/>
      <c r="B2774" s="8"/>
    </row>
    <row r="2775" spans="1:2">
      <c r="A2775" s="7"/>
      <c r="B2775" s="8"/>
    </row>
    <row r="2776" spans="1:2">
      <c r="A2776" s="7"/>
      <c r="B2776" s="8"/>
    </row>
    <row r="2777" spans="1:2">
      <c r="A2777" s="7"/>
      <c r="B2777" s="8"/>
    </row>
    <row r="2778" spans="1:2">
      <c r="A2778" s="7"/>
      <c r="B2778" s="8"/>
    </row>
    <row r="2779" spans="1:2">
      <c r="A2779" s="7"/>
      <c r="B2779" s="8"/>
    </row>
    <row r="2780" spans="1:2">
      <c r="A2780" s="7"/>
      <c r="B2780" s="8"/>
    </row>
    <row r="2781" spans="1:2">
      <c r="A2781" s="7"/>
      <c r="B2781" s="8"/>
    </row>
    <row r="2782" spans="1:2">
      <c r="A2782" s="7"/>
      <c r="B2782" s="8"/>
    </row>
    <row r="2783" spans="1:2">
      <c r="A2783" s="7"/>
      <c r="B2783" s="8"/>
    </row>
    <row r="2784" spans="1:2">
      <c r="A2784" s="7"/>
      <c r="B2784" s="8"/>
    </row>
    <row r="2785" spans="1:2">
      <c r="A2785" s="7"/>
      <c r="B2785" s="8"/>
    </row>
    <row r="2786" spans="1:2">
      <c r="A2786" s="7"/>
      <c r="B2786" s="8"/>
    </row>
    <row r="2787" spans="1:2">
      <c r="A2787" s="7"/>
      <c r="B2787" s="8"/>
    </row>
    <row r="2788" spans="1:2">
      <c r="A2788" s="7"/>
      <c r="B2788" s="8"/>
    </row>
    <row r="2789" spans="1:2">
      <c r="A2789" s="7"/>
      <c r="B2789" s="8"/>
    </row>
    <row r="2790" spans="1:2">
      <c r="A2790" s="7"/>
      <c r="B2790" s="8"/>
    </row>
    <row r="2791" spans="1:2">
      <c r="A2791" s="7"/>
      <c r="B2791" s="8"/>
    </row>
    <row r="2792" spans="1:2">
      <c r="A2792" s="7"/>
      <c r="B2792" s="8"/>
    </row>
    <row r="2793" spans="1:2">
      <c r="A2793" s="7"/>
      <c r="B2793" s="8"/>
    </row>
    <row r="2794" spans="1:2">
      <c r="A2794" s="7"/>
      <c r="B2794" s="8"/>
    </row>
    <row r="2795" spans="1:2">
      <c r="A2795" s="7"/>
      <c r="B2795" s="8"/>
    </row>
    <row r="2796" spans="1:2">
      <c r="A2796" s="7"/>
      <c r="B2796" s="8"/>
    </row>
    <row r="2797" spans="1:2">
      <c r="A2797" s="7"/>
      <c r="B2797" s="8"/>
    </row>
    <row r="2798" spans="1:2">
      <c r="A2798" s="7"/>
      <c r="B2798" s="8"/>
    </row>
    <row r="2799" spans="1:2">
      <c r="A2799" s="7"/>
      <c r="B2799" s="8"/>
    </row>
    <row r="2800" spans="1:2">
      <c r="A2800" s="7"/>
      <c r="B2800" s="8"/>
    </row>
    <row r="2801" spans="1:2">
      <c r="A2801" s="7"/>
      <c r="B2801" s="8"/>
    </row>
    <row r="2802" spans="1:2">
      <c r="A2802" s="7"/>
      <c r="B2802" s="8"/>
    </row>
    <row r="2803" spans="1:2">
      <c r="A2803" s="7"/>
      <c r="B2803" s="8"/>
    </row>
    <row r="2804" spans="1:2">
      <c r="A2804" s="7"/>
      <c r="B2804" s="8"/>
    </row>
    <row r="2805" spans="1:2">
      <c r="A2805" s="7"/>
      <c r="B2805" s="8"/>
    </row>
    <row r="2806" spans="1:2">
      <c r="A2806" s="7"/>
      <c r="B2806" s="8"/>
    </row>
    <row r="2807" spans="1:2">
      <c r="A2807" s="7"/>
      <c r="B2807" s="8"/>
    </row>
    <row r="2808" spans="1:2">
      <c r="A2808" s="7"/>
      <c r="B2808" s="8"/>
    </row>
    <row r="2809" spans="1:2">
      <c r="A2809" s="7"/>
      <c r="B2809" s="8"/>
    </row>
    <row r="2810" spans="1:2">
      <c r="A2810" s="7"/>
      <c r="B2810" s="8"/>
    </row>
    <row r="2811" spans="1:2">
      <c r="A2811" s="7"/>
      <c r="B2811" s="8"/>
    </row>
    <row r="2812" spans="1:2">
      <c r="A2812" s="7"/>
      <c r="B2812" s="8"/>
    </row>
    <row r="2813" spans="1:2">
      <c r="A2813" s="7"/>
      <c r="B2813" s="8"/>
    </row>
    <row r="2814" spans="1:2">
      <c r="A2814" s="7"/>
      <c r="B2814" s="8"/>
    </row>
    <row r="2815" spans="1:2">
      <c r="A2815" s="7"/>
      <c r="B2815" s="8"/>
    </row>
    <row r="2816" spans="1:2">
      <c r="A2816" s="7"/>
      <c r="B2816" s="8"/>
    </row>
    <row r="2817" spans="1:2">
      <c r="A2817" s="7"/>
      <c r="B2817" s="8"/>
    </row>
    <row r="2818" spans="1:2">
      <c r="A2818" s="7"/>
      <c r="B2818" s="8"/>
    </row>
    <row r="2819" spans="1:2">
      <c r="A2819" s="7"/>
      <c r="B2819" s="8"/>
    </row>
    <row r="2820" spans="1:2">
      <c r="A2820" s="7"/>
      <c r="B2820" s="8"/>
    </row>
    <row r="2821" spans="1:2">
      <c r="A2821" s="7"/>
      <c r="B2821" s="8"/>
    </row>
    <row r="2822" spans="1:2">
      <c r="A2822" s="7"/>
      <c r="B2822" s="8"/>
    </row>
    <row r="2823" spans="1:2">
      <c r="A2823" s="7"/>
      <c r="B2823" s="8"/>
    </row>
    <row r="2824" spans="1:2">
      <c r="A2824" s="7"/>
      <c r="B2824" s="8"/>
    </row>
    <row r="2825" spans="1:2">
      <c r="A2825" s="7"/>
      <c r="B2825" s="8"/>
    </row>
    <row r="2826" spans="1:2">
      <c r="A2826" s="7"/>
      <c r="B2826" s="8"/>
    </row>
    <row r="2827" spans="1:2">
      <c r="A2827" s="7"/>
      <c r="B2827" s="8"/>
    </row>
    <row r="2828" spans="1:2">
      <c r="A2828" s="7"/>
      <c r="B2828" s="8"/>
    </row>
    <row r="2829" spans="1:2">
      <c r="A2829" s="7"/>
      <c r="B2829" s="8"/>
    </row>
    <row r="2830" spans="1:2">
      <c r="A2830" s="7"/>
      <c r="B2830" s="8"/>
    </row>
    <row r="2831" spans="1:2">
      <c r="A2831" s="7"/>
      <c r="B2831" s="8"/>
    </row>
    <row r="2832" spans="1:2">
      <c r="A2832" s="7"/>
      <c r="B2832" s="8"/>
    </row>
    <row r="2833" spans="1:2">
      <c r="A2833" s="7"/>
      <c r="B2833" s="8"/>
    </row>
    <row r="2834" spans="1:2">
      <c r="A2834" s="7"/>
      <c r="B2834" s="8"/>
    </row>
    <row r="2835" spans="1:2">
      <c r="A2835" s="7"/>
      <c r="B2835" s="8"/>
    </row>
    <row r="2836" spans="1:2">
      <c r="A2836" s="7"/>
      <c r="B2836" s="8"/>
    </row>
    <row r="2837" spans="1:2">
      <c r="A2837" s="7"/>
      <c r="B2837" s="8"/>
    </row>
    <row r="2838" spans="1:2">
      <c r="A2838" s="7"/>
      <c r="B2838" s="8"/>
    </row>
    <row r="2839" spans="1:2">
      <c r="A2839" s="7"/>
      <c r="B2839" s="8"/>
    </row>
    <row r="2840" spans="1:2">
      <c r="A2840" s="7"/>
      <c r="B2840" s="8"/>
    </row>
    <row r="2841" spans="1:2">
      <c r="A2841" s="7"/>
      <c r="B2841" s="8"/>
    </row>
    <row r="2842" spans="1:2">
      <c r="A2842" s="7"/>
      <c r="B2842" s="8"/>
    </row>
    <row r="2843" spans="1:2">
      <c r="A2843" s="7"/>
      <c r="B2843" s="8"/>
    </row>
    <row r="2844" spans="1:2">
      <c r="A2844" s="7"/>
      <c r="B2844" s="8"/>
    </row>
    <row r="2845" spans="1:2">
      <c r="A2845" s="7"/>
      <c r="B2845" s="8"/>
    </row>
    <row r="2846" spans="1:2">
      <c r="A2846" s="7"/>
      <c r="B2846" s="8"/>
    </row>
    <row r="2847" spans="1:2">
      <c r="A2847" s="7"/>
      <c r="B2847" s="8"/>
    </row>
    <row r="2848" spans="1:2">
      <c r="A2848" s="7"/>
      <c r="B2848" s="8"/>
    </row>
    <row r="2849" spans="1:2">
      <c r="A2849" s="7"/>
      <c r="B2849" s="8"/>
    </row>
    <row r="2850" spans="1:2">
      <c r="A2850" s="7"/>
      <c r="B2850" s="8"/>
    </row>
    <row r="2851" spans="1:2">
      <c r="A2851" s="7"/>
      <c r="B2851" s="8"/>
    </row>
    <row r="2852" spans="1:2">
      <c r="A2852" s="7"/>
      <c r="B2852" s="8"/>
    </row>
    <row r="2853" spans="1:2">
      <c r="A2853" s="7"/>
      <c r="B2853" s="8"/>
    </row>
    <row r="2854" spans="1:2">
      <c r="A2854" s="7"/>
      <c r="B2854" s="8"/>
    </row>
    <row r="2855" spans="1:2">
      <c r="A2855" s="7"/>
      <c r="B2855" s="8"/>
    </row>
    <row r="2856" spans="1:2">
      <c r="A2856" s="7"/>
      <c r="B2856" s="8"/>
    </row>
    <row r="2857" spans="1:2">
      <c r="A2857" s="7"/>
      <c r="B2857" s="8"/>
    </row>
    <row r="2858" spans="1:2">
      <c r="A2858" s="7"/>
      <c r="B2858" s="8"/>
    </row>
    <row r="2859" spans="1:2">
      <c r="A2859" s="7"/>
      <c r="B2859" s="8"/>
    </row>
    <row r="2860" spans="1:2">
      <c r="A2860" s="7"/>
      <c r="B2860" s="8"/>
    </row>
    <row r="2861" spans="1:2">
      <c r="A2861" s="7"/>
      <c r="B2861" s="8"/>
    </row>
    <row r="2862" spans="1:2">
      <c r="A2862" s="7"/>
      <c r="B2862" s="8"/>
    </row>
    <row r="2863" spans="1:2">
      <c r="A2863" s="7"/>
      <c r="B2863" s="8"/>
    </row>
    <row r="2864" spans="1:2">
      <c r="A2864" s="7"/>
      <c r="B2864" s="8"/>
    </row>
    <row r="2865" spans="1:2">
      <c r="A2865" s="7"/>
      <c r="B2865" s="8"/>
    </row>
    <row r="2866" spans="1:2">
      <c r="A2866" s="7"/>
      <c r="B2866" s="8"/>
    </row>
    <row r="2867" spans="1:2">
      <c r="A2867" s="7"/>
      <c r="B2867" s="8"/>
    </row>
    <row r="2868" spans="1:2">
      <c r="A2868" s="7"/>
      <c r="B2868" s="8"/>
    </row>
    <row r="2869" spans="1:2">
      <c r="A2869" s="7"/>
      <c r="B2869" s="8"/>
    </row>
    <row r="2870" spans="1:2">
      <c r="A2870" s="7"/>
      <c r="B2870" s="8"/>
    </row>
    <row r="2871" spans="1:2">
      <c r="A2871" s="7"/>
      <c r="B2871" s="8"/>
    </row>
    <row r="2872" spans="1:2">
      <c r="A2872" s="7"/>
      <c r="B2872" s="8"/>
    </row>
    <row r="2873" spans="1:2">
      <c r="A2873" s="7"/>
      <c r="B2873" s="8"/>
    </row>
    <row r="2874" spans="1:2">
      <c r="A2874" s="7"/>
      <c r="B2874" s="8"/>
    </row>
    <row r="2875" spans="1:2">
      <c r="A2875" s="7"/>
      <c r="B2875" s="8"/>
    </row>
    <row r="2876" spans="1:2">
      <c r="A2876" s="7"/>
      <c r="B2876" s="8"/>
    </row>
    <row r="2877" spans="1:2">
      <c r="A2877" s="7"/>
      <c r="B2877" s="8"/>
    </row>
    <row r="2878" spans="1:2">
      <c r="A2878" s="7"/>
      <c r="B2878" s="8"/>
    </row>
    <row r="2879" spans="1:2">
      <c r="A2879" s="7"/>
      <c r="B2879" s="8"/>
    </row>
    <row r="2880" spans="1:2">
      <c r="A2880" s="7"/>
      <c r="B2880" s="8"/>
    </row>
    <row r="2881" spans="1:2">
      <c r="A2881" s="7"/>
      <c r="B2881" s="8"/>
    </row>
    <row r="2882" spans="1:2">
      <c r="A2882" s="7"/>
      <c r="B2882" s="8"/>
    </row>
    <row r="2883" spans="1:2">
      <c r="A2883" s="7"/>
      <c r="B2883" s="8"/>
    </row>
    <row r="2884" spans="1:2">
      <c r="A2884" s="7"/>
      <c r="B2884" s="8"/>
    </row>
    <row r="2885" spans="1:2">
      <c r="A2885" s="7"/>
      <c r="B2885" s="8"/>
    </row>
    <row r="2886" spans="1:2">
      <c r="A2886" s="7"/>
      <c r="B2886" s="8"/>
    </row>
    <row r="2887" spans="1:2">
      <c r="A2887" s="7"/>
      <c r="B2887" s="8"/>
    </row>
    <row r="2888" spans="1:2">
      <c r="A2888" s="7"/>
      <c r="B2888" s="8"/>
    </row>
    <row r="2889" spans="1:2">
      <c r="A2889" s="7"/>
      <c r="B2889" s="8"/>
    </row>
    <row r="2890" spans="1:2">
      <c r="A2890" s="7"/>
      <c r="B2890" s="8"/>
    </row>
    <row r="2891" spans="1:2">
      <c r="A2891" s="7"/>
      <c r="B2891" s="8"/>
    </row>
    <row r="2892" spans="1:2">
      <c r="A2892" s="7"/>
      <c r="B2892" s="8"/>
    </row>
    <row r="2893" spans="1:2">
      <c r="A2893" s="7"/>
      <c r="B2893" s="8"/>
    </row>
    <row r="2894" spans="1:2">
      <c r="A2894" s="7"/>
      <c r="B2894" s="8"/>
    </row>
    <row r="2895" spans="1:2">
      <c r="A2895" s="7"/>
      <c r="B2895" s="8"/>
    </row>
    <row r="2896" spans="1:2">
      <c r="A2896" s="7"/>
      <c r="B2896" s="8"/>
    </row>
    <row r="2897" spans="1:2">
      <c r="A2897" s="7"/>
      <c r="B2897" s="8"/>
    </row>
    <row r="2898" spans="1:2">
      <c r="A2898" s="7"/>
      <c r="B2898" s="8"/>
    </row>
    <row r="2899" spans="1:2">
      <c r="A2899" s="7"/>
      <c r="B2899" s="8"/>
    </row>
    <row r="2900" spans="1:2">
      <c r="A2900" s="7"/>
      <c r="B2900" s="8"/>
    </row>
    <row r="2901" spans="1:2">
      <c r="A2901" s="7"/>
      <c r="B2901" s="8"/>
    </row>
    <row r="2902" spans="1:2">
      <c r="A2902" s="7"/>
      <c r="B2902" s="8"/>
    </row>
    <row r="2903" spans="1:2">
      <c r="A2903" s="7"/>
      <c r="B2903" s="8"/>
    </row>
    <row r="2904" spans="1:2">
      <c r="A2904" s="7"/>
      <c r="B2904" s="8"/>
    </row>
    <row r="2905" spans="1:2">
      <c r="A2905" s="7"/>
      <c r="B2905" s="8"/>
    </row>
    <row r="2906" spans="1:2">
      <c r="A2906" s="7"/>
      <c r="B2906" s="8"/>
    </row>
    <row r="2907" spans="1:2">
      <c r="A2907" s="7"/>
      <c r="B2907" s="8"/>
    </row>
    <row r="2908" spans="1:2">
      <c r="A2908" s="7"/>
      <c r="B2908" s="8"/>
    </row>
    <row r="2909" spans="1:2">
      <c r="A2909" s="7"/>
      <c r="B2909" s="8"/>
    </row>
    <row r="2910" spans="1:2">
      <c r="A2910" s="7"/>
      <c r="B2910" s="8"/>
    </row>
    <row r="2911" spans="1:2">
      <c r="A2911" s="7"/>
      <c r="B2911" s="8"/>
    </row>
    <row r="2912" spans="1:2">
      <c r="A2912" s="7"/>
      <c r="B2912" s="8"/>
    </row>
    <row r="2913" spans="1:2">
      <c r="A2913" s="7"/>
      <c r="B2913" s="8"/>
    </row>
    <row r="2914" spans="1:2">
      <c r="A2914" s="7"/>
      <c r="B2914" s="8"/>
    </row>
    <row r="2915" spans="1:2">
      <c r="A2915" s="7"/>
      <c r="B2915" s="8"/>
    </row>
    <row r="2916" spans="1:2">
      <c r="A2916" s="7"/>
      <c r="B2916" s="8"/>
    </row>
    <row r="2917" spans="1:2">
      <c r="A2917" s="7"/>
      <c r="B2917" s="8"/>
    </row>
    <row r="2918" spans="1:2">
      <c r="A2918" s="7"/>
      <c r="B2918" s="8"/>
    </row>
    <row r="2919" spans="1:2">
      <c r="A2919" s="7"/>
      <c r="B2919" s="8"/>
    </row>
    <row r="2920" spans="1:2">
      <c r="A2920" s="7"/>
      <c r="B2920" s="8"/>
    </row>
    <row r="2921" spans="1:2">
      <c r="A2921" s="7"/>
      <c r="B2921" s="8"/>
    </row>
    <row r="2922" spans="1:2">
      <c r="A2922" s="7"/>
      <c r="B2922" s="8"/>
    </row>
    <row r="2923" spans="1:2">
      <c r="A2923" s="7"/>
      <c r="B2923" s="8"/>
    </row>
    <row r="2924" spans="1:2">
      <c r="A2924" s="7"/>
      <c r="B2924" s="8"/>
    </row>
    <row r="2925" spans="1:2">
      <c r="A2925" s="7"/>
      <c r="B2925" s="8"/>
    </row>
    <row r="2926" spans="1:2">
      <c r="A2926" s="7"/>
      <c r="B2926" s="8"/>
    </row>
    <row r="2927" spans="1:2">
      <c r="A2927" s="7"/>
      <c r="B2927" s="8"/>
    </row>
    <row r="2928" spans="1:2">
      <c r="A2928" s="7"/>
      <c r="B2928" s="8"/>
    </row>
    <row r="2929" spans="1:2">
      <c r="A2929" s="7"/>
      <c r="B2929" s="8"/>
    </row>
    <row r="2930" spans="1:2">
      <c r="A2930" s="7"/>
      <c r="B2930" s="8"/>
    </row>
    <row r="2931" spans="1:2">
      <c r="A2931" s="7"/>
      <c r="B2931" s="8"/>
    </row>
    <row r="2932" spans="1:2">
      <c r="A2932" s="7"/>
      <c r="B2932" s="8"/>
    </row>
    <row r="2933" spans="1:2">
      <c r="A2933" s="7"/>
      <c r="B2933" s="8"/>
    </row>
    <row r="2934" spans="1:2">
      <c r="A2934" s="7"/>
      <c r="B2934" s="8"/>
    </row>
    <row r="2935" spans="1:2">
      <c r="A2935" s="7"/>
      <c r="B2935" s="8"/>
    </row>
    <row r="2936" spans="1:2">
      <c r="A2936" s="7"/>
      <c r="B2936" s="8"/>
    </row>
    <row r="2937" spans="1:2">
      <c r="A2937" s="7"/>
      <c r="B2937" s="8"/>
    </row>
    <row r="2938" spans="1:2">
      <c r="A2938" s="7"/>
      <c r="B2938" s="8"/>
    </row>
    <row r="2939" spans="1:2">
      <c r="A2939" s="7"/>
      <c r="B2939" s="8"/>
    </row>
    <row r="2940" spans="1:2">
      <c r="A2940" s="7"/>
      <c r="B2940" s="8"/>
    </row>
    <row r="2941" spans="1:2">
      <c r="A2941" s="7"/>
      <c r="B2941" s="8"/>
    </row>
    <row r="2942" spans="1:2">
      <c r="A2942" s="7"/>
      <c r="B2942" s="8"/>
    </row>
    <row r="2943" spans="1:2">
      <c r="A2943" s="7"/>
      <c r="B2943" s="8"/>
    </row>
    <row r="2944" spans="1:2">
      <c r="A2944" s="7"/>
      <c r="B2944" s="8"/>
    </row>
    <row r="2945" spans="1:2">
      <c r="A2945" s="7"/>
      <c r="B2945" s="8"/>
    </row>
    <row r="2946" spans="1:2">
      <c r="A2946" s="7"/>
      <c r="B2946" s="8"/>
    </row>
    <row r="2947" spans="1:2">
      <c r="A2947" s="7"/>
      <c r="B2947" s="8"/>
    </row>
    <row r="2948" spans="1:2">
      <c r="A2948" s="7"/>
      <c r="B2948" s="8"/>
    </row>
    <row r="2949" spans="1:2">
      <c r="A2949" s="7"/>
      <c r="B2949" s="8"/>
    </row>
    <row r="2950" spans="1:2">
      <c r="A2950" s="7"/>
      <c r="B2950" s="8"/>
    </row>
    <row r="2951" spans="1:2">
      <c r="A2951" s="7"/>
      <c r="B2951" s="8"/>
    </row>
    <row r="2952" spans="1:2">
      <c r="A2952" s="7"/>
      <c r="B2952" s="8"/>
    </row>
    <row r="2953" spans="1:2">
      <c r="A2953" s="7"/>
      <c r="B2953" s="8"/>
    </row>
    <row r="2954" spans="1:2">
      <c r="A2954" s="7"/>
      <c r="B2954" s="8"/>
    </row>
    <row r="2955" spans="1:2">
      <c r="A2955" s="7"/>
      <c r="B2955" s="8"/>
    </row>
    <row r="2956" spans="1:2">
      <c r="A2956" s="7"/>
      <c r="B2956" s="8"/>
    </row>
    <row r="2957" spans="1:2">
      <c r="A2957" s="7"/>
      <c r="B2957" s="8"/>
    </row>
    <row r="2958" spans="1:2">
      <c r="A2958" s="7"/>
      <c r="B2958" s="8"/>
    </row>
    <row r="2959" spans="1:2">
      <c r="A2959" s="7"/>
      <c r="B2959" s="8"/>
    </row>
    <row r="2960" spans="1:2">
      <c r="A2960" s="7"/>
      <c r="B2960" s="8"/>
    </row>
    <row r="2961" spans="1:2">
      <c r="A2961" s="7"/>
      <c r="B2961" s="8"/>
    </row>
    <row r="2962" spans="1:2">
      <c r="A2962" s="7"/>
      <c r="B2962" s="8"/>
    </row>
    <row r="2963" spans="1:2">
      <c r="A2963" s="7"/>
      <c r="B2963" s="8"/>
    </row>
    <row r="2964" spans="1:2">
      <c r="A2964" s="7"/>
      <c r="B2964" s="8"/>
    </row>
    <row r="2965" spans="1:2">
      <c r="A2965" s="7"/>
      <c r="B2965" s="8"/>
    </row>
    <row r="2966" spans="1:2">
      <c r="A2966" s="7"/>
      <c r="B2966" s="8"/>
    </row>
    <row r="2967" spans="1:2">
      <c r="A2967" s="7"/>
      <c r="B2967" s="8"/>
    </row>
    <row r="2968" spans="1:2">
      <c r="A2968" s="7"/>
      <c r="B2968" s="8"/>
    </row>
    <row r="2969" spans="1:2">
      <c r="A2969" s="7"/>
      <c r="B2969" s="8"/>
    </row>
    <row r="2970" spans="1:2">
      <c r="A2970" s="7"/>
      <c r="B2970" s="8"/>
    </row>
    <row r="2971" spans="1:2">
      <c r="A2971" s="7"/>
      <c r="B2971" s="8"/>
    </row>
    <row r="2972" spans="1:2">
      <c r="A2972" s="7"/>
      <c r="B2972" s="8"/>
    </row>
    <row r="2973" spans="1:2">
      <c r="A2973" s="7"/>
      <c r="B2973" s="8"/>
    </row>
    <row r="2974" spans="1:2">
      <c r="A2974" s="7"/>
      <c r="B2974" s="8"/>
    </row>
    <row r="2975" spans="1:2">
      <c r="A2975" s="7"/>
      <c r="B2975" s="8"/>
    </row>
    <row r="2976" spans="1:2">
      <c r="A2976" s="7"/>
      <c r="B2976" s="8"/>
    </row>
    <row r="2977" spans="1:2">
      <c r="A2977" s="7"/>
      <c r="B2977" s="8"/>
    </row>
    <row r="2978" spans="1:2">
      <c r="A2978" s="7"/>
      <c r="B2978" s="8"/>
    </row>
    <row r="2979" spans="1:2">
      <c r="A2979" s="7"/>
      <c r="B2979" s="8"/>
    </row>
    <row r="2980" spans="1:2">
      <c r="A2980" s="7"/>
      <c r="B2980" s="8"/>
    </row>
    <row r="2981" spans="1:2">
      <c r="A2981" s="7"/>
      <c r="B2981" s="8"/>
    </row>
    <row r="2982" spans="1:2">
      <c r="A2982" s="7"/>
      <c r="B2982" s="8"/>
    </row>
    <row r="2983" spans="1:2">
      <c r="A2983" s="7"/>
      <c r="B2983" s="8"/>
    </row>
    <row r="2984" spans="1:2">
      <c r="A2984" s="7"/>
      <c r="B2984" s="8"/>
    </row>
    <row r="2985" spans="1:2">
      <c r="A2985" s="7"/>
      <c r="B2985" s="8"/>
    </row>
    <row r="2986" spans="1:2">
      <c r="A2986" s="7"/>
      <c r="B2986" s="8"/>
    </row>
    <row r="2987" spans="1:2">
      <c r="A2987" s="7"/>
      <c r="B2987" s="8"/>
    </row>
    <row r="2988" spans="1:2">
      <c r="A2988" s="7"/>
      <c r="B2988" s="8"/>
    </row>
    <row r="2989" spans="1:2">
      <c r="A2989" s="7"/>
      <c r="B2989" s="8"/>
    </row>
    <row r="2990" spans="1:2">
      <c r="A2990" s="7"/>
      <c r="B2990" s="8"/>
    </row>
    <row r="2991" spans="1:2">
      <c r="A2991" s="7"/>
      <c r="B2991" s="8"/>
    </row>
    <row r="2992" spans="1:2">
      <c r="A2992" s="7"/>
      <c r="B2992" s="8"/>
    </row>
    <row r="2993" spans="1:2">
      <c r="A2993" s="7"/>
      <c r="B2993" s="8"/>
    </row>
    <row r="2994" spans="1:2">
      <c r="A2994" s="7"/>
      <c r="B2994" s="8"/>
    </row>
    <row r="2995" spans="1:2">
      <c r="A2995" s="7"/>
      <c r="B2995" s="8"/>
    </row>
    <row r="2996" spans="1:2">
      <c r="A2996" s="7"/>
      <c r="B2996" s="8"/>
    </row>
    <row r="2997" spans="1:2">
      <c r="A2997" s="7"/>
      <c r="B2997" s="8"/>
    </row>
    <row r="2998" spans="1:2">
      <c r="A2998" s="7"/>
      <c r="B2998" s="8"/>
    </row>
    <row r="2999" spans="1:2">
      <c r="A2999" s="7"/>
      <c r="B2999" s="8"/>
    </row>
    <row r="3000" spans="1:2">
      <c r="A3000" s="7"/>
      <c r="B3000" s="8"/>
    </row>
    <row r="3001" spans="1:2">
      <c r="A3001" s="7"/>
      <c r="B3001" s="8"/>
    </row>
    <row r="3002" spans="1:2">
      <c r="A3002" s="7"/>
      <c r="B3002" s="8"/>
    </row>
    <row r="3003" spans="1:2">
      <c r="A3003" s="7"/>
      <c r="B3003" s="8"/>
    </row>
    <row r="3004" spans="1:2">
      <c r="A3004" s="7"/>
      <c r="B3004" s="8"/>
    </row>
    <row r="3005" spans="1:2">
      <c r="A3005" s="7"/>
      <c r="B3005" s="8"/>
    </row>
    <row r="3006" spans="1:2">
      <c r="A3006" s="7"/>
      <c r="B3006" s="8"/>
    </row>
    <row r="3007" spans="1:2">
      <c r="A3007" s="7"/>
      <c r="B3007" s="8"/>
    </row>
    <row r="3008" spans="1:2">
      <c r="A3008" s="7"/>
      <c r="B3008" s="8"/>
    </row>
    <row r="3009" spans="1:2">
      <c r="A3009" s="7"/>
      <c r="B3009" s="8"/>
    </row>
    <row r="3010" spans="1:2">
      <c r="A3010" s="7"/>
      <c r="B3010" s="8"/>
    </row>
    <row r="3011" spans="1:2">
      <c r="A3011" s="7"/>
      <c r="B3011" s="8"/>
    </row>
    <row r="3012" spans="1:2">
      <c r="A3012" s="7"/>
      <c r="B3012" s="8"/>
    </row>
    <row r="3013" spans="1:2">
      <c r="A3013" s="7"/>
      <c r="B3013" s="8"/>
    </row>
    <row r="3014" spans="1:2">
      <c r="A3014" s="7"/>
      <c r="B3014" s="8"/>
    </row>
    <row r="3015" spans="1:2">
      <c r="A3015" s="7"/>
      <c r="B3015" s="8"/>
    </row>
    <row r="3016" spans="1:2">
      <c r="A3016" s="7"/>
      <c r="B3016" s="8"/>
    </row>
    <row r="3017" spans="1:2">
      <c r="A3017" s="7"/>
      <c r="B3017" s="8"/>
    </row>
    <row r="3018" spans="1:2">
      <c r="A3018" s="7"/>
      <c r="B3018" s="8"/>
    </row>
    <row r="3019" spans="1:2">
      <c r="A3019" s="7"/>
      <c r="B3019" s="8"/>
    </row>
    <row r="3020" spans="1:2">
      <c r="A3020" s="7"/>
      <c r="B3020" s="8"/>
    </row>
    <row r="3021" spans="1:2">
      <c r="A3021" s="7"/>
      <c r="B3021" s="8"/>
    </row>
    <row r="3022" spans="1:2">
      <c r="A3022" s="7"/>
      <c r="B3022" s="8"/>
    </row>
    <row r="3023" spans="1:2">
      <c r="A3023" s="7"/>
      <c r="B3023" s="8"/>
    </row>
    <row r="3024" spans="1:2">
      <c r="A3024" s="7"/>
      <c r="B3024" s="8"/>
    </row>
    <row r="3025" spans="1:2">
      <c r="A3025" s="7"/>
      <c r="B3025" s="8"/>
    </row>
    <row r="3026" spans="1:2">
      <c r="A3026" s="7"/>
      <c r="B3026" s="8"/>
    </row>
    <row r="3027" spans="1:2">
      <c r="A3027" s="7"/>
      <c r="B3027" s="8"/>
    </row>
    <row r="3028" spans="1:2">
      <c r="A3028" s="7"/>
      <c r="B3028" s="8"/>
    </row>
    <row r="3029" spans="1:2">
      <c r="A3029" s="7"/>
      <c r="B3029" s="8"/>
    </row>
    <row r="3030" spans="1:2">
      <c r="A3030" s="7"/>
      <c r="B3030" s="8"/>
    </row>
    <row r="3031" spans="1:2">
      <c r="A3031" s="7"/>
      <c r="B3031" s="8"/>
    </row>
    <row r="3032" spans="1:2">
      <c r="A3032" s="7"/>
      <c r="B3032" s="8"/>
    </row>
    <row r="3033" spans="1:2">
      <c r="A3033" s="7"/>
      <c r="B3033" s="8"/>
    </row>
    <row r="3034" spans="1:2">
      <c r="A3034" s="7"/>
      <c r="B3034" s="8"/>
    </row>
    <row r="3035" spans="1:2">
      <c r="A3035" s="7"/>
      <c r="B3035" s="8"/>
    </row>
    <row r="3036" spans="1:2">
      <c r="A3036" s="7"/>
      <c r="B3036" s="8"/>
    </row>
    <row r="3037" spans="1:2">
      <c r="A3037" s="7"/>
      <c r="B3037" s="8"/>
    </row>
    <row r="3038" spans="1:2">
      <c r="A3038" s="7"/>
      <c r="B3038" s="8"/>
    </row>
    <row r="3039" spans="1:2">
      <c r="A3039" s="7"/>
      <c r="B3039" s="8"/>
    </row>
    <row r="3040" spans="1:2">
      <c r="A3040" s="7"/>
      <c r="B3040" s="8"/>
    </row>
    <row r="3041" spans="1:2">
      <c r="A3041" s="7"/>
      <c r="B3041" s="8"/>
    </row>
    <row r="3042" spans="1:2">
      <c r="A3042" s="7"/>
      <c r="B3042" s="8"/>
    </row>
    <row r="3043" spans="1:2">
      <c r="A3043" s="7"/>
      <c r="B3043" s="8"/>
    </row>
    <row r="3044" spans="1:2">
      <c r="A3044" s="7"/>
      <c r="B3044" s="8"/>
    </row>
    <row r="3045" spans="1:2">
      <c r="A3045" s="7"/>
      <c r="B3045" s="8"/>
    </row>
    <row r="3046" spans="1:2">
      <c r="A3046" s="7"/>
      <c r="B3046" s="8"/>
    </row>
    <row r="3047" spans="1:2">
      <c r="A3047" s="7"/>
      <c r="B3047" s="8"/>
    </row>
    <row r="3048" spans="1:2">
      <c r="A3048" s="7"/>
      <c r="B3048" s="8"/>
    </row>
    <row r="3049" spans="1:2">
      <c r="A3049" s="7"/>
      <c r="B3049" s="8"/>
    </row>
    <row r="3050" spans="1:2">
      <c r="A3050" s="7"/>
      <c r="B3050" s="8"/>
    </row>
    <row r="3051" spans="1:2">
      <c r="A3051" s="7"/>
      <c r="B3051" s="8"/>
    </row>
    <row r="3052" spans="1:2">
      <c r="A3052" s="7"/>
      <c r="B3052" s="8"/>
    </row>
    <row r="3053" spans="1:2">
      <c r="A3053" s="7"/>
      <c r="B3053" s="8"/>
    </row>
    <row r="3054" spans="1:2">
      <c r="A3054" s="7"/>
      <c r="B3054" s="8"/>
    </row>
    <row r="3055" spans="1:2">
      <c r="A3055" s="7"/>
      <c r="B3055" s="8"/>
    </row>
    <row r="3056" spans="1:2">
      <c r="A3056" s="7"/>
      <c r="B3056" s="8"/>
    </row>
    <row r="3057" spans="1:2">
      <c r="A3057" s="7"/>
      <c r="B3057" s="8"/>
    </row>
    <row r="3058" spans="1:2">
      <c r="A3058" s="7"/>
      <c r="B3058" s="8"/>
    </row>
    <row r="3059" spans="1:2">
      <c r="A3059" s="7"/>
      <c r="B3059" s="8"/>
    </row>
    <row r="3060" spans="1:2">
      <c r="A3060" s="7"/>
      <c r="B3060" s="8"/>
    </row>
    <row r="3061" spans="1:2">
      <c r="A3061" s="7"/>
      <c r="B3061" s="8"/>
    </row>
    <row r="3062" spans="1:2">
      <c r="A3062" s="7"/>
      <c r="B3062" s="8"/>
    </row>
    <row r="3063" spans="1:2">
      <c r="A3063" s="7"/>
      <c r="B3063" s="8"/>
    </row>
    <row r="3064" spans="1:2">
      <c r="A3064" s="7"/>
      <c r="B3064" s="8"/>
    </row>
    <row r="3065" spans="1:2">
      <c r="A3065" s="7"/>
      <c r="B3065" s="8"/>
    </row>
    <row r="3066" spans="1:2">
      <c r="A3066" s="7"/>
      <c r="B3066" s="8"/>
    </row>
    <row r="3067" spans="1:2">
      <c r="A3067" s="7"/>
      <c r="B3067" s="8"/>
    </row>
    <row r="3068" spans="1:2">
      <c r="A3068" s="7"/>
      <c r="B3068" s="8"/>
    </row>
    <row r="3069" spans="1:2">
      <c r="A3069" s="7"/>
      <c r="B3069" s="8"/>
    </row>
    <row r="3070" spans="1:2">
      <c r="A3070" s="7"/>
      <c r="B3070" s="8"/>
    </row>
    <row r="3071" spans="1:2">
      <c r="A3071" s="7"/>
      <c r="B3071" s="8"/>
    </row>
    <row r="3072" spans="1:2">
      <c r="A3072" s="7"/>
      <c r="B3072" s="8"/>
    </row>
    <row r="3073" spans="1:2">
      <c r="A3073" s="7"/>
      <c r="B3073" s="8"/>
    </row>
    <row r="3074" spans="1:2">
      <c r="A3074" s="7"/>
      <c r="B3074" s="8"/>
    </row>
    <row r="3075" spans="1:2">
      <c r="A3075" s="7"/>
      <c r="B3075" s="8"/>
    </row>
    <row r="3076" spans="1:2">
      <c r="A3076" s="7"/>
      <c r="B3076" s="8"/>
    </row>
    <row r="3077" spans="1:2">
      <c r="A3077" s="7"/>
      <c r="B3077" s="8"/>
    </row>
    <row r="3078" spans="1:2">
      <c r="A3078" s="7"/>
      <c r="B3078" s="8"/>
    </row>
    <row r="3079" spans="1:2">
      <c r="A3079" s="7"/>
      <c r="B3079" s="8"/>
    </row>
    <row r="3080" spans="1:2">
      <c r="A3080" s="7"/>
      <c r="B3080" s="8"/>
    </row>
    <row r="3081" spans="1:2">
      <c r="A3081" s="7"/>
      <c r="B3081" s="8"/>
    </row>
    <row r="3082" spans="1:2">
      <c r="A3082" s="7"/>
      <c r="B3082" s="8"/>
    </row>
    <row r="3083" spans="1:2">
      <c r="A3083" s="7"/>
      <c r="B3083" s="8"/>
    </row>
    <row r="3084" spans="1:2">
      <c r="A3084" s="7"/>
      <c r="B3084" s="8"/>
    </row>
    <row r="3085" spans="1:2">
      <c r="A3085" s="7"/>
      <c r="B3085" s="8"/>
    </row>
    <row r="3086" spans="1:2">
      <c r="A3086" s="7"/>
      <c r="B3086" s="8"/>
    </row>
    <row r="3087" spans="1:2">
      <c r="A3087" s="7"/>
      <c r="B3087" s="8"/>
    </row>
    <row r="3088" spans="1:2">
      <c r="A3088" s="7"/>
      <c r="B3088" s="8"/>
    </row>
    <row r="3089" spans="1:2">
      <c r="A3089" s="7"/>
      <c r="B3089" s="8"/>
    </row>
    <row r="3090" spans="1:2">
      <c r="A3090" s="7"/>
      <c r="B3090" s="8"/>
    </row>
    <row r="3091" spans="1:2">
      <c r="A3091" s="7"/>
      <c r="B3091" s="8"/>
    </row>
    <row r="3092" spans="1:2">
      <c r="A3092" s="7"/>
      <c r="B3092" s="8"/>
    </row>
    <row r="3093" spans="1:2">
      <c r="A3093" s="7"/>
      <c r="B3093" s="8"/>
    </row>
    <row r="3094" spans="1:2">
      <c r="A3094" s="7"/>
      <c r="B3094" s="8"/>
    </row>
    <row r="3095" spans="1:2">
      <c r="A3095" s="7"/>
      <c r="B3095" s="8"/>
    </row>
    <row r="3096" spans="1:2">
      <c r="A3096" s="7"/>
      <c r="B3096" s="8"/>
    </row>
    <row r="3097" spans="1:2">
      <c r="A3097" s="7"/>
      <c r="B3097" s="8"/>
    </row>
    <row r="3098" spans="1:2">
      <c r="A3098" s="7"/>
      <c r="B3098" s="8"/>
    </row>
    <row r="3099" spans="1:2">
      <c r="A3099" s="7"/>
      <c r="B3099" s="8"/>
    </row>
    <row r="3100" spans="1:2">
      <c r="A3100" s="7"/>
      <c r="B3100" s="8"/>
    </row>
    <row r="3101" spans="1:2">
      <c r="A3101" s="7"/>
      <c r="B3101" s="8"/>
    </row>
    <row r="3102" spans="1:2">
      <c r="A3102" s="7"/>
      <c r="B3102" s="8"/>
    </row>
    <row r="3103" spans="1:2">
      <c r="A3103" s="7"/>
      <c r="B3103" s="8"/>
    </row>
    <row r="3104" spans="1:2">
      <c r="A3104" s="7"/>
      <c r="B3104" s="8"/>
    </row>
    <row r="3105" spans="1:2">
      <c r="A3105" s="7"/>
      <c r="B3105" s="8"/>
    </row>
    <row r="3106" spans="1:2">
      <c r="A3106" s="7"/>
      <c r="B3106" s="8"/>
    </row>
    <row r="3107" spans="1:2">
      <c r="A3107" s="7"/>
      <c r="B3107" s="8"/>
    </row>
    <row r="3108" spans="1:2">
      <c r="A3108" s="7"/>
      <c r="B3108" s="8"/>
    </row>
    <row r="3109" spans="1:2">
      <c r="A3109" s="7"/>
      <c r="B3109" s="8"/>
    </row>
    <row r="3110" spans="1:2">
      <c r="A3110" s="7"/>
      <c r="B3110" s="8"/>
    </row>
    <row r="3111" spans="1:2">
      <c r="A3111" s="7"/>
      <c r="B3111" s="8"/>
    </row>
    <row r="3112" spans="1:2">
      <c r="A3112" s="7"/>
      <c r="B3112" s="8"/>
    </row>
    <row r="3113" spans="1:2">
      <c r="A3113" s="7"/>
      <c r="B3113" s="8"/>
    </row>
    <row r="3114" spans="1:2">
      <c r="A3114" s="7"/>
      <c r="B3114" s="8"/>
    </row>
    <row r="3115" spans="1:2">
      <c r="A3115" s="7"/>
      <c r="B3115" s="8"/>
    </row>
    <row r="3116" spans="1:2">
      <c r="A3116" s="7"/>
      <c r="B3116" s="8"/>
    </row>
    <row r="3117" spans="1:2">
      <c r="A3117" s="7"/>
      <c r="B3117" s="8"/>
    </row>
    <row r="3118" spans="1:2">
      <c r="A3118" s="7"/>
      <c r="B3118" s="8"/>
    </row>
    <row r="3119" spans="1:2">
      <c r="A3119" s="7"/>
      <c r="B3119" s="8"/>
    </row>
    <row r="3120" spans="1:2">
      <c r="A3120" s="7"/>
      <c r="B3120" s="8"/>
    </row>
    <row r="3121" spans="1:2">
      <c r="A3121" s="7"/>
      <c r="B3121" s="8"/>
    </row>
    <row r="3122" spans="1:2">
      <c r="A3122" s="7"/>
      <c r="B3122" s="8"/>
    </row>
    <row r="3123" spans="1:2">
      <c r="A3123" s="7"/>
      <c r="B3123" s="8"/>
    </row>
    <row r="3124" spans="1:2">
      <c r="A3124" s="7"/>
      <c r="B3124" s="8"/>
    </row>
    <row r="3125" spans="1:2">
      <c r="A3125" s="7"/>
      <c r="B3125" s="8"/>
    </row>
    <row r="3126" spans="1:2">
      <c r="A3126" s="7"/>
      <c r="B3126" s="8"/>
    </row>
    <row r="3127" spans="1:2">
      <c r="A3127" s="7"/>
      <c r="B3127" s="8"/>
    </row>
    <row r="3128" spans="1:2">
      <c r="A3128" s="7"/>
      <c r="B3128" s="8"/>
    </row>
    <row r="3129" spans="1:2">
      <c r="A3129" s="7"/>
      <c r="B3129" s="8"/>
    </row>
    <row r="3130" spans="1:2">
      <c r="A3130" s="7"/>
      <c r="B3130" s="8"/>
    </row>
    <row r="3131" spans="1:2">
      <c r="A3131" s="7"/>
      <c r="B3131" s="8"/>
    </row>
    <row r="3132" spans="1:2">
      <c r="A3132" s="7"/>
      <c r="B3132" s="8"/>
    </row>
    <row r="3133" spans="1:2">
      <c r="A3133" s="7"/>
      <c r="B3133" s="8"/>
    </row>
    <row r="3134" spans="1:2">
      <c r="A3134" s="7"/>
      <c r="B3134" s="8"/>
    </row>
    <row r="3135" spans="1:2">
      <c r="A3135" s="7"/>
      <c r="B3135" s="8"/>
    </row>
    <row r="3136" spans="1:2">
      <c r="A3136" s="7"/>
      <c r="B3136" s="8"/>
    </row>
    <row r="3137" spans="1:2">
      <c r="A3137" s="7"/>
      <c r="B3137" s="8"/>
    </row>
    <row r="3138" spans="1:2">
      <c r="A3138" s="7"/>
      <c r="B3138" s="8"/>
    </row>
    <row r="3139" spans="1:2">
      <c r="A3139" s="7"/>
      <c r="B3139" s="8"/>
    </row>
    <row r="3140" spans="1:2">
      <c r="A3140" s="7"/>
      <c r="B3140" s="8"/>
    </row>
    <row r="3141" spans="1:2">
      <c r="A3141" s="7"/>
      <c r="B3141" s="8"/>
    </row>
    <row r="3142" spans="1:2">
      <c r="A3142" s="7"/>
      <c r="B3142" s="8"/>
    </row>
    <row r="3143" spans="1:2">
      <c r="A3143" s="7"/>
      <c r="B3143" s="8"/>
    </row>
    <row r="3144" spans="1:2">
      <c r="A3144" s="7"/>
      <c r="B3144" s="8"/>
    </row>
    <row r="3145" spans="1:2">
      <c r="A3145" s="7"/>
      <c r="B3145" s="8"/>
    </row>
    <row r="3146" spans="1:2">
      <c r="A3146" s="7"/>
      <c r="B3146" s="8"/>
    </row>
    <row r="3147" spans="1:2">
      <c r="A3147" s="7"/>
      <c r="B3147" s="8"/>
    </row>
    <row r="3148" spans="1:2">
      <c r="A3148" s="7"/>
      <c r="B3148" s="8"/>
    </row>
    <row r="3149" spans="1:2">
      <c r="A3149" s="7"/>
      <c r="B3149" s="8"/>
    </row>
    <row r="3150" spans="1:2">
      <c r="A3150" s="7"/>
      <c r="B3150" s="8"/>
    </row>
    <row r="3151" spans="1:2">
      <c r="A3151" s="7"/>
      <c r="B3151" s="8"/>
    </row>
    <row r="3152" spans="1:2">
      <c r="A3152" s="7"/>
      <c r="B3152" s="8"/>
    </row>
    <row r="3153" spans="1:2">
      <c r="A3153" s="7"/>
      <c r="B3153" s="8"/>
    </row>
    <row r="3154" spans="1:2">
      <c r="A3154" s="7"/>
      <c r="B3154" s="8"/>
    </row>
    <row r="3155" spans="1:2">
      <c r="A3155" s="7"/>
      <c r="B3155" s="8"/>
    </row>
    <row r="3156" spans="1:2">
      <c r="A3156" s="7"/>
      <c r="B3156" s="8"/>
    </row>
    <row r="3157" spans="1:2">
      <c r="A3157" s="7"/>
      <c r="B3157" s="8"/>
    </row>
    <row r="3158" spans="1:2">
      <c r="A3158" s="7"/>
      <c r="B3158" s="8"/>
    </row>
    <row r="3159" spans="1:2">
      <c r="A3159" s="7"/>
      <c r="B3159" s="8"/>
    </row>
    <row r="3160" spans="1:2">
      <c r="A3160" s="7"/>
      <c r="B3160" s="8"/>
    </row>
    <row r="3161" spans="1:2">
      <c r="A3161" s="7"/>
      <c r="B3161" s="8"/>
    </row>
    <row r="3162" spans="1:2">
      <c r="A3162" s="7"/>
      <c r="B3162" s="8"/>
    </row>
    <row r="3163" spans="1:2">
      <c r="A3163" s="7"/>
      <c r="B3163" s="8"/>
    </row>
    <row r="3164" spans="1:2">
      <c r="A3164" s="7"/>
      <c r="B3164" s="8"/>
    </row>
    <row r="3165" spans="1:2">
      <c r="A3165" s="7"/>
      <c r="B3165" s="8"/>
    </row>
    <row r="3166" spans="1:2">
      <c r="A3166" s="7"/>
      <c r="B3166" s="8"/>
    </row>
    <row r="3167" spans="1:2">
      <c r="A3167" s="7"/>
      <c r="B3167" s="8"/>
    </row>
    <row r="3168" spans="1:2">
      <c r="A3168" s="7"/>
      <c r="B3168" s="8"/>
    </row>
    <row r="3169" spans="1:2">
      <c r="A3169" s="7"/>
      <c r="B3169" s="8"/>
    </row>
    <row r="3170" spans="1:2">
      <c r="A3170" s="7"/>
      <c r="B3170" s="8"/>
    </row>
    <row r="3171" spans="1:2">
      <c r="A3171" s="7"/>
      <c r="B3171" s="8"/>
    </row>
    <row r="3172" spans="1:2">
      <c r="A3172" s="7"/>
      <c r="B3172" s="8"/>
    </row>
    <row r="3173" spans="1:2">
      <c r="A3173" s="7"/>
      <c r="B3173" s="8"/>
    </row>
    <row r="3174" spans="1:2">
      <c r="A3174" s="7"/>
      <c r="B3174" s="8"/>
    </row>
    <row r="3175" spans="1:2">
      <c r="A3175" s="7"/>
      <c r="B3175" s="8"/>
    </row>
    <row r="3176" spans="1:2">
      <c r="A3176" s="7"/>
      <c r="B3176" s="8"/>
    </row>
    <row r="3177" spans="1:2">
      <c r="A3177" s="7"/>
      <c r="B3177" s="8"/>
    </row>
    <row r="3178" spans="1:2">
      <c r="A3178" s="7"/>
      <c r="B3178" s="8"/>
    </row>
    <row r="3179" spans="1:2">
      <c r="A3179" s="7"/>
      <c r="B3179" s="8"/>
    </row>
    <row r="3180" spans="1:2">
      <c r="A3180" s="7"/>
      <c r="B3180" s="8"/>
    </row>
    <row r="3181" spans="1:2">
      <c r="A3181" s="7"/>
      <c r="B3181" s="8"/>
    </row>
    <row r="3182" spans="1:2">
      <c r="A3182" s="7"/>
      <c r="B3182" s="8"/>
    </row>
    <row r="3183" spans="1:2">
      <c r="A3183" s="7"/>
      <c r="B3183" s="8"/>
    </row>
    <row r="3184" spans="1:2">
      <c r="A3184" s="7"/>
      <c r="B3184" s="8"/>
    </row>
    <row r="3185" spans="1:2">
      <c r="A3185" s="7"/>
      <c r="B3185" s="8"/>
    </row>
    <row r="3186" spans="1:2">
      <c r="A3186" s="7"/>
      <c r="B3186" s="8"/>
    </row>
    <row r="3187" spans="1:2">
      <c r="A3187" s="7"/>
      <c r="B3187" s="8"/>
    </row>
    <row r="3188" spans="1:2">
      <c r="A3188" s="7"/>
      <c r="B3188" s="8"/>
    </row>
    <row r="3189" spans="1:2">
      <c r="A3189" s="7"/>
      <c r="B3189" s="8"/>
    </row>
    <row r="3190" spans="1:2">
      <c r="A3190" s="7"/>
      <c r="B3190" s="8"/>
    </row>
    <row r="3191" spans="1:2">
      <c r="A3191" s="7"/>
      <c r="B3191" s="8"/>
    </row>
    <row r="3192" spans="1:2">
      <c r="A3192" s="7"/>
      <c r="B3192" s="8"/>
    </row>
    <row r="3193" spans="1:2">
      <c r="A3193" s="7"/>
      <c r="B3193" s="8"/>
    </row>
    <row r="3194" spans="1:2">
      <c r="A3194" s="7"/>
      <c r="B3194" s="8"/>
    </row>
    <row r="3195" spans="1:2">
      <c r="A3195" s="7"/>
      <c r="B3195" s="8"/>
    </row>
    <row r="3196" spans="1:2">
      <c r="A3196" s="7"/>
      <c r="B3196" s="8"/>
    </row>
    <row r="3197" spans="1:2">
      <c r="A3197" s="7"/>
      <c r="B3197" s="8"/>
    </row>
    <row r="3198" spans="1:2">
      <c r="A3198" s="7"/>
      <c r="B3198" s="8"/>
    </row>
    <row r="3199" spans="1:2">
      <c r="A3199" s="7"/>
      <c r="B3199" s="8"/>
    </row>
    <row r="3200" spans="1:2">
      <c r="A3200" s="7"/>
      <c r="B3200" s="8"/>
    </row>
    <row r="3201" spans="1:2">
      <c r="A3201" s="7"/>
      <c r="B3201" s="8"/>
    </row>
    <row r="3202" spans="1:2">
      <c r="A3202" s="7"/>
      <c r="B3202" s="8"/>
    </row>
    <row r="3203" spans="1:2">
      <c r="A3203" s="7"/>
      <c r="B3203" s="8"/>
    </row>
    <row r="3204" spans="1:2">
      <c r="A3204" s="7"/>
      <c r="B3204" s="8"/>
    </row>
    <row r="3205" spans="1:2">
      <c r="A3205" s="7"/>
      <c r="B3205" s="8"/>
    </row>
    <row r="3206" spans="1:2">
      <c r="A3206" s="7"/>
      <c r="B3206" s="8"/>
    </row>
    <row r="3207" spans="1:2">
      <c r="A3207" s="7"/>
      <c r="B3207" s="8"/>
    </row>
    <row r="3208" spans="1:2">
      <c r="A3208" s="7"/>
      <c r="B3208" s="8"/>
    </row>
    <row r="3209" spans="1:2">
      <c r="A3209" s="7"/>
      <c r="B3209" s="8"/>
    </row>
    <row r="3210" spans="1:2">
      <c r="A3210" s="7"/>
      <c r="B3210" s="8"/>
    </row>
    <row r="3211" spans="1:2">
      <c r="A3211" s="7"/>
      <c r="B3211" s="8"/>
    </row>
    <row r="3212" spans="1:2">
      <c r="A3212" s="7"/>
      <c r="B3212" s="8"/>
    </row>
    <row r="3213" spans="1:2">
      <c r="A3213" s="7"/>
      <c r="B3213" s="8"/>
    </row>
    <row r="3214" spans="1:2">
      <c r="A3214" s="7"/>
      <c r="B3214" s="8"/>
    </row>
    <row r="3215" spans="1:2">
      <c r="A3215" s="7"/>
      <c r="B3215" s="8"/>
    </row>
    <row r="3216" spans="1:2">
      <c r="A3216" s="7"/>
      <c r="B3216" s="8"/>
    </row>
    <row r="3217" spans="1:2">
      <c r="A3217" s="7"/>
      <c r="B3217" s="8"/>
    </row>
    <row r="3218" spans="1:2">
      <c r="A3218" s="7"/>
      <c r="B3218" s="8"/>
    </row>
    <row r="3219" spans="1:2">
      <c r="A3219" s="7"/>
      <c r="B3219" s="8"/>
    </row>
    <row r="3220" spans="1:2">
      <c r="A3220" s="7"/>
      <c r="B3220" s="8"/>
    </row>
    <row r="3221" spans="1:2">
      <c r="A3221" s="7"/>
      <c r="B3221" s="8"/>
    </row>
    <row r="3222" spans="1:2">
      <c r="A3222" s="7"/>
      <c r="B3222" s="8"/>
    </row>
    <row r="3223" spans="1:2">
      <c r="A3223" s="7"/>
      <c r="B3223" s="8"/>
    </row>
    <row r="3224" spans="1:2">
      <c r="A3224" s="7"/>
      <c r="B3224" s="8"/>
    </row>
    <row r="3225" spans="1:2">
      <c r="A3225" s="7"/>
      <c r="B3225" s="8"/>
    </row>
    <row r="3226" spans="1:2">
      <c r="A3226" s="7"/>
      <c r="B3226" s="8"/>
    </row>
    <row r="3227" spans="1:2">
      <c r="A3227" s="7"/>
      <c r="B3227" s="8"/>
    </row>
    <row r="3228" spans="1:2">
      <c r="A3228" s="7"/>
      <c r="B3228" s="8"/>
    </row>
    <row r="3229" spans="1:2">
      <c r="A3229" s="7"/>
      <c r="B3229" s="8"/>
    </row>
    <row r="3230" spans="1:2">
      <c r="A3230" s="7"/>
      <c r="B3230" s="8"/>
    </row>
    <row r="3231" spans="1:2">
      <c r="A3231" s="7"/>
      <c r="B3231" s="8"/>
    </row>
    <row r="3232" spans="1:2">
      <c r="A3232" s="7"/>
      <c r="B3232" s="8"/>
    </row>
    <row r="3233" spans="1:2">
      <c r="A3233" s="7"/>
      <c r="B3233" s="8"/>
    </row>
    <row r="3234" spans="1:2">
      <c r="A3234" s="7"/>
      <c r="B3234" s="8"/>
    </row>
    <row r="3235" spans="1:2">
      <c r="A3235" s="7"/>
      <c r="B3235" s="8"/>
    </row>
    <row r="3236" spans="1:2">
      <c r="A3236" s="7"/>
      <c r="B3236" s="8"/>
    </row>
    <row r="3237" spans="1:2">
      <c r="A3237" s="7"/>
      <c r="B3237" s="8"/>
    </row>
    <row r="3238" spans="1:2">
      <c r="A3238" s="7"/>
      <c r="B3238" s="8"/>
    </row>
    <row r="3239" spans="1:2">
      <c r="A3239" s="7"/>
      <c r="B3239" s="8"/>
    </row>
    <row r="3240" spans="1:2">
      <c r="A3240" s="7"/>
      <c r="B3240" s="8"/>
    </row>
    <row r="3241" spans="1:2">
      <c r="A3241" s="7"/>
      <c r="B3241" s="8"/>
    </row>
    <row r="3242" spans="1:2">
      <c r="A3242" s="7"/>
      <c r="B3242" s="8"/>
    </row>
    <row r="3243" spans="1:2">
      <c r="A3243" s="7"/>
      <c r="B3243" s="8"/>
    </row>
    <row r="3244" spans="1:2">
      <c r="A3244" s="7"/>
      <c r="B3244" s="8"/>
    </row>
    <row r="3245" spans="1:2">
      <c r="A3245" s="7"/>
      <c r="B3245" s="8"/>
    </row>
    <row r="3246" spans="1:2">
      <c r="A3246" s="7"/>
      <c r="B3246" s="8"/>
    </row>
    <row r="3247" spans="1:2">
      <c r="A3247" s="7"/>
      <c r="B3247" s="8"/>
    </row>
    <row r="3248" spans="1:2">
      <c r="A3248" s="7"/>
      <c r="B3248" s="8"/>
    </row>
    <row r="3249" spans="1:2">
      <c r="A3249" s="7"/>
      <c r="B3249" s="8"/>
    </row>
    <row r="3250" spans="1:2">
      <c r="A3250" s="7"/>
      <c r="B3250" s="8"/>
    </row>
    <row r="3251" spans="1:2">
      <c r="A3251" s="7"/>
      <c r="B3251" s="8"/>
    </row>
    <row r="3252" spans="1:2">
      <c r="A3252" s="7"/>
      <c r="B3252" s="8"/>
    </row>
    <row r="3253" spans="1:2">
      <c r="A3253" s="7"/>
      <c r="B3253" s="8"/>
    </row>
    <row r="3254" spans="1:2">
      <c r="A3254" s="7"/>
      <c r="B3254" s="8"/>
    </row>
    <row r="3255" spans="1:2">
      <c r="A3255" s="7"/>
      <c r="B3255" s="8"/>
    </row>
    <row r="3256" spans="1:2">
      <c r="A3256" s="7"/>
      <c r="B3256" s="8"/>
    </row>
    <row r="3257" spans="1:2">
      <c r="A3257" s="7"/>
      <c r="B3257" s="8"/>
    </row>
    <row r="3258" spans="1:2">
      <c r="A3258" s="7"/>
      <c r="B3258" s="8"/>
    </row>
    <row r="3259" spans="1:2">
      <c r="A3259" s="7"/>
      <c r="B3259" s="8"/>
    </row>
    <row r="3260" spans="1:2">
      <c r="A3260" s="7"/>
      <c r="B3260" s="8"/>
    </row>
    <row r="3261" spans="1:2">
      <c r="A3261" s="7"/>
      <c r="B3261" s="8"/>
    </row>
    <row r="3262" spans="1:2">
      <c r="A3262" s="7"/>
      <c r="B3262" s="8"/>
    </row>
    <row r="3263" spans="1:2">
      <c r="A3263" s="7"/>
      <c r="B3263" s="8"/>
    </row>
    <row r="3264" spans="1:2">
      <c r="A3264" s="7"/>
      <c r="B3264" s="8"/>
    </row>
    <row r="3265" spans="1:2">
      <c r="A3265" s="7"/>
      <c r="B3265" s="8"/>
    </row>
    <row r="3266" spans="1:2">
      <c r="A3266" s="7"/>
      <c r="B3266" s="8"/>
    </row>
    <row r="3267" spans="1:2">
      <c r="A3267" s="7"/>
      <c r="B3267" s="8"/>
    </row>
    <row r="3268" spans="1:2">
      <c r="A3268" s="7"/>
      <c r="B3268" s="8"/>
    </row>
    <row r="3269" spans="1:2">
      <c r="A3269" s="7"/>
      <c r="B3269" s="8"/>
    </row>
    <row r="3270" spans="1:2">
      <c r="A3270" s="7"/>
      <c r="B3270" s="8"/>
    </row>
    <row r="3271" spans="1:2">
      <c r="A3271" s="7"/>
      <c r="B3271" s="8"/>
    </row>
    <row r="3272" spans="1:2">
      <c r="A3272" s="7"/>
      <c r="B3272" s="8"/>
    </row>
    <row r="3273" spans="1:2">
      <c r="A3273" s="7"/>
      <c r="B3273" s="8"/>
    </row>
    <row r="3274" spans="1:2">
      <c r="A3274" s="7"/>
      <c r="B3274" s="8"/>
    </row>
    <row r="3275" spans="1:2">
      <c r="A3275" s="7"/>
      <c r="B3275" s="8"/>
    </row>
    <row r="3276" spans="1:2">
      <c r="A3276" s="7"/>
      <c r="B3276" s="8"/>
    </row>
    <row r="3277" spans="1:2">
      <c r="A3277" s="7"/>
      <c r="B3277" s="8"/>
    </row>
    <row r="3278" spans="1:2">
      <c r="A3278" s="7"/>
      <c r="B3278" s="8"/>
    </row>
    <row r="3279" spans="1:2">
      <c r="A3279" s="7"/>
      <c r="B3279" s="8"/>
    </row>
    <row r="3280" spans="1:2">
      <c r="A3280" s="7"/>
      <c r="B3280" s="8"/>
    </row>
    <row r="3281" spans="1:2">
      <c r="A3281" s="7"/>
      <c r="B3281" s="8"/>
    </row>
    <row r="3282" spans="1:2">
      <c r="A3282" s="7"/>
      <c r="B3282" s="8"/>
    </row>
    <row r="3283" spans="1:2">
      <c r="A3283" s="7"/>
      <c r="B3283" s="8"/>
    </row>
    <row r="3284" spans="1:2">
      <c r="A3284" s="7"/>
      <c r="B3284" s="8"/>
    </row>
    <row r="3285" spans="1:2">
      <c r="A3285" s="7"/>
      <c r="B3285" s="8"/>
    </row>
    <row r="3286" spans="1:2">
      <c r="A3286" s="7"/>
      <c r="B3286" s="8"/>
    </row>
    <row r="3287" spans="1:2">
      <c r="A3287" s="7"/>
      <c r="B3287" s="8"/>
    </row>
    <row r="3288" spans="1:2">
      <c r="A3288" s="7"/>
      <c r="B3288" s="8"/>
    </row>
    <row r="3289" spans="1:2">
      <c r="A3289" s="7"/>
      <c r="B3289" s="8"/>
    </row>
    <row r="3290" spans="1:2">
      <c r="A3290" s="7"/>
      <c r="B3290" s="8"/>
    </row>
    <row r="3291" spans="1:2">
      <c r="A3291" s="7"/>
      <c r="B3291" s="8"/>
    </row>
    <row r="3292" spans="1:2">
      <c r="A3292" s="7"/>
      <c r="B3292" s="8"/>
    </row>
    <row r="3293" spans="1:2">
      <c r="A3293" s="7"/>
      <c r="B3293" s="8"/>
    </row>
    <row r="3294" spans="1:2">
      <c r="A3294" s="7"/>
      <c r="B3294" s="8"/>
    </row>
    <row r="3295" spans="1:2">
      <c r="A3295" s="7"/>
      <c r="B3295" s="8"/>
    </row>
    <row r="3296" spans="1:2">
      <c r="A3296" s="7"/>
      <c r="B3296" s="8"/>
    </row>
    <row r="3297" spans="1:2">
      <c r="A3297" s="7"/>
      <c r="B3297" s="8"/>
    </row>
    <row r="3298" spans="1:2">
      <c r="A3298" s="7"/>
      <c r="B3298" s="8"/>
    </row>
    <row r="3299" spans="1:2">
      <c r="A3299" s="7"/>
      <c r="B3299" s="8"/>
    </row>
    <row r="3300" spans="1:2">
      <c r="A3300" s="7"/>
      <c r="B3300" s="8"/>
    </row>
    <row r="3301" spans="1:2">
      <c r="A3301" s="7"/>
      <c r="B3301" s="8"/>
    </row>
    <row r="3302" spans="1:2">
      <c r="A3302" s="7"/>
      <c r="B3302" s="8"/>
    </row>
    <row r="3303" spans="1:2">
      <c r="A3303" s="7"/>
      <c r="B3303" s="8"/>
    </row>
    <row r="3304" spans="1:2">
      <c r="A3304" s="7"/>
      <c r="B3304" s="8"/>
    </row>
    <row r="3305" spans="1:2">
      <c r="A3305" s="7"/>
      <c r="B3305" s="8"/>
    </row>
    <row r="3306" spans="1:2">
      <c r="A3306" s="7"/>
      <c r="B3306" s="8"/>
    </row>
    <row r="3307" spans="1:2">
      <c r="A3307" s="7"/>
      <c r="B3307" s="8"/>
    </row>
    <row r="3308" spans="1:2">
      <c r="A3308" s="7"/>
      <c r="B3308" s="8"/>
    </row>
    <row r="3309" spans="1:2">
      <c r="A3309" s="7"/>
      <c r="B3309" s="8"/>
    </row>
    <row r="3310" spans="1:2">
      <c r="A3310" s="7"/>
      <c r="B3310" s="8"/>
    </row>
    <row r="3311" spans="1:2">
      <c r="A3311" s="7"/>
      <c r="B3311" s="8"/>
    </row>
    <row r="3312" spans="1:2">
      <c r="A3312" s="7"/>
      <c r="B3312" s="8"/>
    </row>
    <row r="3313" spans="1:2">
      <c r="A3313" s="7"/>
      <c r="B3313" s="8"/>
    </row>
    <row r="3314" spans="1:2">
      <c r="A3314" s="7"/>
      <c r="B3314" s="8"/>
    </row>
    <row r="3315" spans="1:2">
      <c r="A3315" s="7"/>
      <c r="B3315" s="8"/>
    </row>
    <row r="3316" spans="1:2">
      <c r="A3316" s="7"/>
      <c r="B3316" s="8"/>
    </row>
    <row r="3317" spans="1:2">
      <c r="A3317" s="7"/>
      <c r="B3317" s="8"/>
    </row>
    <row r="3318" spans="1:2">
      <c r="A3318" s="7"/>
      <c r="B3318" s="8"/>
    </row>
    <row r="3319" spans="1:2">
      <c r="A3319" s="7"/>
      <c r="B3319" s="8"/>
    </row>
    <row r="3320" spans="1:2">
      <c r="A3320" s="7"/>
      <c r="B3320" s="8"/>
    </row>
    <row r="3321" spans="1:2">
      <c r="A3321" s="7"/>
      <c r="B3321" s="8"/>
    </row>
    <row r="3322" spans="1:2">
      <c r="A3322" s="7"/>
      <c r="B3322" s="8"/>
    </row>
    <row r="3323" spans="1:2">
      <c r="A3323" s="7"/>
      <c r="B3323" s="8"/>
    </row>
    <row r="3324" spans="1:2">
      <c r="A3324" s="7"/>
      <c r="B3324" s="8"/>
    </row>
    <row r="3325" spans="1:2">
      <c r="A3325" s="7"/>
      <c r="B3325" s="8"/>
    </row>
    <row r="3326" spans="1:2">
      <c r="A3326" s="7"/>
      <c r="B3326" s="8"/>
    </row>
    <row r="3327" spans="1:2">
      <c r="A3327" s="7"/>
      <c r="B3327" s="8"/>
    </row>
    <row r="3328" spans="1:2">
      <c r="A3328" s="7"/>
      <c r="B3328" s="8"/>
    </row>
    <row r="3329" spans="1:2">
      <c r="A3329" s="7"/>
      <c r="B3329" s="8"/>
    </row>
    <row r="3330" spans="1:2">
      <c r="A3330" s="7"/>
      <c r="B3330" s="8"/>
    </row>
    <row r="3331" spans="1:2">
      <c r="A3331" s="7"/>
      <c r="B3331" s="8"/>
    </row>
    <row r="3332" spans="1:2">
      <c r="A3332" s="7"/>
      <c r="B3332" s="8"/>
    </row>
    <row r="3333" spans="1:2">
      <c r="A3333" s="7"/>
      <c r="B3333" s="8"/>
    </row>
    <row r="3334" spans="1:2">
      <c r="A3334" s="7"/>
      <c r="B3334" s="8"/>
    </row>
    <row r="3335" spans="1:2">
      <c r="A3335" s="7"/>
      <c r="B3335" s="8"/>
    </row>
    <row r="3336" spans="1:2">
      <c r="A3336" s="7"/>
      <c r="B3336" s="8"/>
    </row>
    <row r="3337" spans="1:2">
      <c r="A3337" s="7"/>
      <c r="B3337" s="8"/>
    </row>
    <row r="3338" spans="1:2">
      <c r="A3338" s="7"/>
      <c r="B3338" s="8"/>
    </row>
    <row r="3339" spans="1:2">
      <c r="A3339" s="7"/>
      <c r="B3339" s="8"/>
    </row>
    <row r="3340" spans="1:2">
      <c r="A3340" s="7"/>
      <c r="B3340" s="8"/>
    </row>
    <row r="3341" spans="1:2">
      <c r="A3341" s="7"/>
      <c r="B3341" s="8"/>
    </row>
    <row r="3342" spans="1:2">
      <c r="A3342" s="7"/>
      <c r="B3342" s="8"/>
    </row>
    <row r="3343" spans="1:2">
      <c r="A3343" s="7"/>
      <c r="B3343" s="8"/>
    </row>
    <row r="3344" spans="1:2">
      <c r="A3344" s="7"/>
      <c r="B3344" s="8"/>
    </row>
    <row r="3345" spans="1:2">
      <c r="A3345" s="7"/>
      <c r="B3345" s="8"/>
    </row>
    <row r="3346" spans="1:2">
      <c r="A3346" s="7"/>
      <c r="B3346" s="8"/>
    </row>
    <row r="3347" spans="1:2">
      <c r="A3347" s="7"/>
      <c r="B3347" s="8"/>
    </row>
    <row r="3348" spans="1:2">
      <c r="A3348" s="7"/>
      <c r="B3348" s="8"/>
    </row>
    <row r="3349" spans="1:2">
      <c r="A3349" s="7"/>
      <c r="B3349" s="8"/>
    </row>
    <row r="3350" spans="1:2">
      <c r="A3350" s="7"/>
      <c r="B3350" s="8"/>
    </row>
    <row r="3351" spans="1:2">
      <c r="A3351" s="7"/>
      <c r="B3351" s="8"/>
    </row>
    <row r="3352" spans="1:2">
      <c r="A3352" s="7"/>
      <c r="B3352" s="8"/>
    </row>
    <row r="3353" spans="1:2">
      <c r="A3353" s="7"/>
      <c r="B3353" s="8"/>
    </row>
    <row r="3354" spans="1:2">
      <c r="A3354" s="7"/>
      <c r="B3354" s="8"/>
    </row>
    <row r="3355" spans="1:2">
      <c r="A3355" s="7"/>
      <c r="B3355" s="8"/>
    </row>
    <row r="3356" spans="1:2">
      <c r="A3356" s="7"/>
      <c r="B3356" s="8"/>
    </row>
    <row r="3357" spans="1:2">
      <c r="A3357" s="7"/>
      <c r="B3357" s="8"/>
    </row>
    <row r="3358" spans="1:2">
      <c r="A3358" s="7"/>
      <c r="B3358" s="8"/>
    </row>
    <row r="3359" spans="1:2">
      <c r="A3359" s="7"/>
      <c r="B3359" s="8"/>
    </row>
    <row r="3360" spans="1:2">
      <c r="A3360" s="7"/>
      <c r="B3360" s="8"/>
    </row>
    <row r="3361" spans="1:2">
      <c r="A3361" s="7"/>
      <c r="B3361" s="8"/>
    </row>
    <row r="3362" spans="1:2">
      <c r="A3362" s="7"/>
      <c r="B3362" s="8"/>
    </row>
    <row r="3363" spans="1:2">
      <c r="A3363" s="7"/>
      <c r="B3363" s="8"/>
    </row>
    <row r="3364" spans="1:2">
      <c r="A3364" s="7"/>
      <c r="B3364" s="8"/>
    </row>
    <row r="3365" spans="1:2">
      <c r="A3365" s="7"/>
      <c r="B3365" s="8"/>
    </row>
    <row r="3366" spans="1:2">
      <c r="A3366" s="7"/>
      <c r="B3366" s="8"/>
    </row>
    <row r="3367" spans="1:2">
      <c r="A3367" s="7"/>
      <c r="B3367" s="8"/>
    </row>
    <row r="3368" spans="1:2">
      <c r="A3368" s="7"/>
      <c r="B3368" s="8"/>
    </row>
    <row r="3369" spans="1:2">
      <c r="A3369" s="7"/>
      <c r="B3369" s="8"/>
    </row>
    <row r="3370" spans="1:2">
      <c r="A3370" s="7"/>
      <c r="B3370" s="8"/>
    </row>
    <row r="3371" spans="1:2">
      <c r="A3371" s="7"/>
      <c r="B3371" s="8"/>
    </row>
    <row r="3372" spans="1:2">
      <c r="A3372" s="7"/>
      <c r="B3372" s="8"/>
    </row>
    <row r="3373" spans="1:2">
      <c r="A3373" s="7"/>
      <c r="B3373" s="8"/>
    </row>
    <row r="3374" spans="1:2">
      <c r="A3374" s="7"/>
      <c r="B3374" s="8"/>
    </row>
    <row r="3375" spans="1:2">
      <c r="A3375" s="7"/>
      <c r="B3375" s="8"/>
    </row>
    <row r="3376" spans="1:2">
      <c r="A3376" s="7"/>
      <c r="B3376" s="8"/>
    </row>
    <row r="3377" spans="1:2">
      <c r="A3377" s="7"/>
      <c r="B3377" s="8"/>
    </row>
    <row r="3378" spans="1:2">
      <c r="A3378" s="7"/>
      <c r="B3378" s="8"/>
    </row>
    <row r="3379" spans="1:2">
      <c r="A3379" s="7"/>
      <c r="B3379" s="8"/>
    </row>
    <row r="3380" spans="1:2">
      <c r="A3380" s="7"/>
      <c r="B3380" s="8"/>
    </row>
    <row r="3381" spans="1:2">
      <c r="A3381" s="7"/>
      <c r="B3381" s="8"/>
    </row>
    <row r="3382" spans="1:2">
      <c r="A3382" s="7"/>
      <c r="B3382" s="8"/>
    </row>
    <row r="3383" spans="1:2">
      <c r="A3383" s="7"/>
      <c r="B3383" s="8"/>
    </row>
    <row r="3384" spans="1:2">
      <c r="A3384" s="7"/>
      <c r="B3384" s="8"/>
    </row>
    <row r="3385" spans="1:2">
      <c r="A3385" s="7"/>
      <c r="B3385" s="8"/>
    </row>
    <row r="3386" spans="1:2">
      <c r="A3386" s="7"/>
      <c r="B3386" s="8"/>
    </row>
    <row r="3387" spans="1:2">
      <c r="A3387" s="7"/>
      <c r="B3387" s="8"/>
    </row>
    <row r="3388" spans="1:2">
      <c r="A3388" s="7"/>
      <c r="B3388" s="8"/>
    </row>
    <row r="3389" spans="1:2">
      <c r="A3389" s="7"/>
      <c r="B3389" s="8"/>
    </row>
    <row r="3390" spans="1:2">
      <c r="A3390" s="7"/>
      <c r="B3390" s="8"/>
    </row>
    <row r="3391" spans="1:2">
      <c r="A3391" s="7"/>
      <c r="B3391" s="8"/>
    </row>
    <row r="3392" spans="1:2">
      <c r="A3392" s="7"/>
      <c r="B3392" s="8"/>
    </row>
    <row r="3393" spans="1:2">
      <c r="A3393" s="7"/>
      <c r="B3393" s="8"/>
    </row>
    <row r="3394" spans="1:2">
      <c r="A3394" s="7"/>
      <c r="B3394" s="8"/>
    </row>
    <row r="3395" spans="1:2">
      <c r="A3395" s="7"/>
      <c r="B3395" s="8"/>
    </row>
    <row r="3396" spans="1:2">
      <c r="A3396" s="7"/>
      <c r="B3396" s="8"/>
    </row>
    <row r="3397" spans="1:2">
      <c r="A3397" s="7"/>
      <c r="B3397" s="8"/>
    </row>
    <row r="3398" spans="1:2">
      <c r="A3398" s="7"/>
      <c r="B3398" s="8"/>
    </row>
    <row r="3399" spans="1:2">
      <c r="A3399" s="7"/>
      <c r="B3399" s="8"/>
    </row>
    <row r="3400" spans="1:2">
      <c r="A3400" s="7"/>
      <c r="B3400" s="8"/>
    </row>
    <row r="3401" spans="1:2">
      <c r="A3401" s="7"/>
      <c r="B3401" s="8"/>
    </row>
    <row r="3402" spans="1:2">
      <c r="A3402" s="7"/>
      <c r="B3402" s="8"/>
    </row>
    <row r="3403" spans="1:2">
      <c r="A3403" s="7"/>
      <c r="B3403" s="8"/>
    </row>
    <row r="3404" spans="1:2">
      <c r="A3404" s="7"/>
      <c r="B3404" s="8"/>
    </row>
    <row r="3405" spans="1:2">
      <c r="A3405" s="7"/>
      <c r="B3405" s="8"/>
    </row>
    <row r="3406" spans="1:2">
      <c r="A3406" s="7"/>
      <c r="B3406" s="8"/>
    </row>
    <row r="3407" spans="1:2">
      <c r="A3407" s="7"/>
      <c r="B3407" s="8"/>
    </row>
    <row r="3408" spans="1:2">
      <c r="A3408" s="7"/>
      <c r="B3408" s="8"/>
    </row>
    <row r="3409" spans="1:2">
      <c r="A3409" s="7"/>
      <c r="B3409" s="8"/>
    </row>
    <row r="3410" spans="1:2">
      <c r="A3410" s="7"/>
      <c r="B3410" s="8"/>
    </row>
    <row r="3411" spans="1:2">
      <c r="A3411" s="7"/>
      <c r="B3411" s="8"/>
    </row>
    <row r="3412" spans="1:2">
      <c r="A3412" s="7"/>
      <c r="B3412" s="8"/>
    </row>
    <row r="3413" spans="1:2">
      <c r="A3413" s="7"/>
      <c r="B3413" s="8"/>
    </row>
    <row r="3414" spans="1:2">
      <c r="A3414" s="7"/>
      <c r="B3414" s="8"/>
    </row>
    <row r="3415" spans="1:2">
      <c r="A3415" s="7"/>
      <c r="B3415" s="8"/>
    </row>
    <row r="3416" spans="1:2">
      <c r="A3416" s="7"/>
      <c r="B3416" s="8"/>
    </row>
    <row r="3417" spans="1:2">
      <c r="A3417" s="7"/>
      <c r="B3417" s="8"/>
    </row>
    <row r="3418" spans="1:2">
      <c r="A3418" s="7"/>
      <c r="B3418" s="8"/>
    </row>
    <row r="3419" spans="1:2">
      <c r="A3419" s="7"/>
      <c r="B3419" s="8"/>
    </row>
    <row r="3420" spans="1:2">
      <c r="A3420" s="7"/>
      <c r="B3420" s="8"/>
    </row>
    <row r="3421" spans="1:2">
      <c r="A3421" s="7"/>
      <c r="B3421" s="8"/>
    </row>
    <row r="3422" spans="1:2">
      <c r="A3422" s="7"/>
      <c r="B3422" s="8"/>
    </row>
    <row r="3423" spans="1:2">
      <c r="A3423" s="7"/>
      <c r="B3423" s="8"/>
    </row>
    <row r="3424" spans="1:2">
      <c r="A3424" s="7"/>
      <c r="B3424" s="8"/>
    </row>
    <row r="3425" spans="1:2">
      <c r="A3425" s="7"/>
      <c r="B3425" s="8"/>
    </row>
    <row r="3426" spans="1:2">
      <c r="A3426" s="7"/>
      <c r="B3426" s="8"/>
    </row>
    <row r="3427" spans="1:2">
      <c r="A3427" s="7"/>
      <c r="B3427" s="8"/>
    </row>
    <row r="3428" spans="1:2">
      <c r="A3428" s="7"/>
      <c r="B3428" s="8"/>
    </row>
    <row r="3429" spans="1:2">
      <c r="A3429" s="7"/>
      <c r="B3429" s="8"/>
    </row>
    <row r="3430" spans="1:2">
      <c r="A3430" s="7"/>
      <c r="B3430" s="8"/>
    </row>
    <row r="3431" spans="1:2">
      <c r="A3431" s="7"/>
      <c r="B3431" s="8"/>
    </row>
    <row r="3432" spans="1:2">
      <c r="A3432" s="7"/>
      <c r="B3432" s="8"/>
    </row>
    <row r="3433" spans="1:2">
      <c r="A3433" s="7"/>
      <c r="B3433" s="8"/>
    </row>
    <row r="3434" spans="1:2">
      <c r="A3434" s="7"/>
      <c r="B3434" s="8"/>
    </row>
    <row r="3435" spans="1:2">
      <c r="A3435" s="7"/>
      <c r="B3435" s="8"/>
    </row>
    <row r="3436" spans="1:2">
      <c r="A3436" s="7"/>
      <c r="B3436" s="8"/>
    </row>
    <row r="3437" spans="1:2">
      <c r="A3437" s="7"/>
      <c r="B3437" s="8"/>
    </row>
    <row r="3438" spans="1:2">
      <c r="A3438" s="7"/>
      <c r="B3438" s="8"/>
    </row>
    <row r="3439" spans="1:2">
      <c r="A3439" s="7"/>
      <c r="B3439" s="8"/>
    </row>
    <row r="3440" spans="1:2">
      <c r="A3440" s="7"/>
      <c r="B3440" s="8"/>
    </row>
    <row r="3441" spans="1:2">
      <c r="A3441" s="7"/>
      <c r="B3441" s="8"/>
    </row>
    <row r="3442" spans="1:2">
      <c r="A3442" s="7"/>
      <c r="B3442" s="8"/>
    </row>
    <row r="3443" spans="1:2">
      <c r="A3443" s="7"/>
      <c r="B3443" s="8"/>
    </row>
    <row r="3444" spans="1:2">
      <c r="A3444" s="7"/>
      <c r="B3444" s="8"/>
    </row>
    <row r="3445" spans="1:2">
      <c r="A3445" s="7"/>
      <c r="B3445" s="8"/>
    </row>
    <row r="3446" spans="1:2">
      <c r="A3446" s="7"/>
      <c r="B3446" s="8"/>
    </row>
    <row r="3447" spans="1:2">
      <c r="A3447" s="7"/>
      <c r="B3447" s="8"/>
    </row>
    <row r="3448" spans="1:2">
      <c r="A3448" s="7"/>
      <c r="B3448" s="8"/>
    </row>
    <row r="3449" spans="1:2">
      <c r="A3449" s="7"/>
      <c r="B3449" s="8"/>
    </row>
    <row r="3450" spans="1:2">
      <c r="A3450" s="7"/>
      <c r="B3450" s="8"/>
    </row>
    <row r="3451" spans="1:2">
      <c r="A3451" s="7"/>
      <c r="B3451" s="8"/>
    </row>
    <row r="3452" spans="1:2">
      <c r="A3452" s="7"/>
      <c r="B3452" s="8"/>
    </row>
    <row r="3453" spans="1:2">
      <c r="A3453" s="7"/>
      <c r="B3453" s="8"/>
    </row>
    <row r="3454" spans="1:2">
      <c r="A3454" s="7"/>
      <c r="B3454" s="8"/>
    </row>
    <row r="3455" spans="1:2">
      <c r="A3455" s="7"/>
      <c r="B3455" s="8"/>
    </row>
    <row r="3456" spans="1:2">
      <c r="A3456" s="7"/>
      <c r="B3456" s="8"/>
    </row>
    <row r="3457" spans="1:2">
      <c r="A3457" s="7"/>
      <c r="B3457" s="8"/>
    </row>
    <row r="3458" spans="1:2">
      <c r="A3458" s="7"/>
      <c r="B3458" s="8"/>
    </row>
    <row r="3459" spans="1:2">
      <c r="A3459" s="7"/>
      <c r="B3459" s="8"/>
    </row>
    <row r="3460" spans="1:2">
      <c r="A3460" s="7"/>
      <c r="B3460" s="8"/>
    </row>
    <row r="3461" spans="1:2">
      <c r="A3461" s="7"/>
      <c r="B3461" s="8"/>
    </row>
    <row r="3462" spans="1:2">
      <c r="A3462" s="7"/>
      <c r="B3462" s="8"/>
    </row>
    <row r="3463" spans="1:2">
      <c r="A3463" s="7"/>
      <c r="B3463" s="8"/>
    </row>
    <row r="3464" spans="1:2">
      <c r="A3464" s="7"/>
      <c r="B3464" s="8"/>
    </row>
    <row r="3465" spans="1:2">
      <c r="A3465" s="7"/>
      <c r="B3465" s="8"/>
    </row>
    <row r="3466" spans="1:2">
      <c r="A3466" s="7"/>
      <c r="B3466" s="8"/>
    </row>
    <row r="3467" spans="1:2">
      <c r="A3467" s="7"/>
      <c r="B3467" s="8"/>
    </row>
    <row r="3468" spans="1:2">
      <c r="A3468" s="7"/>
      <c r="B3468" s="8"/>
    </row>
    <row r="3469" spans="1:2">
      <c r="A3469" s="7"/>
      <c r="B3469" s="8"/>
    </row>
    <row r="3470" spans="1:2">
      <c r="A3470" s="7"/>
      <c r="B3470" s="8"/>
    </row>
    <row r="3471" spans="1:2">
      <c r="A3471" s="7"/>
      <c r="B3471" s="8"/>
    </row>
    <row r="3472" spans="1:2">
      <c r="A3472" s="7"/>
      <c r="B3472" s="8"/>
    </row>
    <row r="3473" spans="1:2">
      <c r="A3473" s="7"/>
      <c r="B3473" s="8"/>
    </row>
    <row r="3474" spans="1:2">
      <c r="A3474" s="7"/>
      <c r="B3474" s="8"/>
    </row>
    <row r="3475" spans="1:2">
      <c r="A3475" s="7"/>
      <c r="B3475" s="8"/>
    </row>
    <row r="3476" spans="1:2">
      <c r="A3476" s="7"/>
      <c r="B3476" s="8"/>
    </row>
    <row r="3477" spans="1:2">
      <c r="A3477" s="7"/>
      <c r="B3477" s="8"/>
    </row>
    <row r="3478" spans="1:2">
      <c r="A3478" s="7"/>
      <c r="B3478" s="8"/>
    </row>
    <row r="3479" spans="1:2">
      <c r="A3479" s="7"/>
      <c r="B3479" s="8"/>
    </row>
    <row r="3480" spans="1:2">
      <c r="A3480" s="7"/>
      <c r="B3480" s="8"/>
    </row>
    <row r="3481" spans="1:2">
      <c r="A3481" s="7"/>
      <c r="B3481" s="8"/>
    </row>
    <row r="3482" spans="1:2">
      <c r="A3482" s="7"/>
      <c r="B3482" s="8"/>
    </row>
    <row r="3483" spans="1:2">
      <c r="A3483" s="7"/>
      <c r="B3483" s="8"/>
    </row>
    <row r="3484" spans="1:2">
      <c r="A3484" s="7"/>
      <c r="B3484" s="8"/>
    </row>
    <row r="3485" spans="1:2">
      <c r="A3485" s="7"/>
      <c r="B3485" s="8"/>
    </row>
    <row r="3486" spans="1:2">
      <c r="A3486" s="7"/>
      <c r="B3486" s="8"/>
    </row>
    <row r="3487" spans="1:2">
      <c r="A3487" s="7"/>
      <c r="B3487" s="8"/>
    </row>
    <row r="3488" spans="1:2">
      <c r="A3488" s="7"/>
      <c r="B3488" s="8"/>
    </row>
    <row r="3489" spans="1:2">
      <c r="A3489" s="7"/>
      <c r="B3489" s="8"/>
    </row>
    <row r="3490" spans="1:2">
      <c r="A3490" s="7"/>
      <c r="B3490" s="8"/>
    </row>
    <row r="3491" spans="1:2">
      <c r="A3491" s="7"/>
      <c r="B3491" s="8"/>
    </row>
    <row r="3492" spans="1:2">
      <c r="A3492" s="7"/>
      <c r="B3492" s="8"/>
    </row>
    <row r="3493" spans="1:2">
      <c r="A3493" s="7"/>
      <c r="B3493" s="8"/>
    </row>
    <row r="3494" spans="1:2">
      <c r="A3494" s="7"/>
      <c r="B3494" s="8"/>
    </row>
    <row r="3495" spans="1:2">
      <c r="A3495" s="7"/>
      <c r="B3495" s="8"/>
    </row>
    <row r="3496" spans="1:2">
      <c r="A3496" s="7"/>
      <c r="B3496" s="8"/>
    </row>
    <row r="3497" spans="1:2">
      <c r="A3497" s="7"/>
      <c r="B3497" s="8"/>
    </row>
    <row r="3498" spans="1:2">
      <c r="A3498" s="7"/>
      <c r="B3498" s="8"/>
    </row>
    <row r="3499" spans="1:2">
      <c r="A3499" s="7"/>
      <c r="B3499" s="8"/>
    </row>
    <row r="3500" spans="1:2">
      <c r="A3500" s="7"/>
      <c r="B3500" s="8"/>
    </row>
    <row r="3501" spans="1:2">
      <c r="A3501" s="7"/>
      <c r="B3501" s="8"/>
    </row>
    <row r="3502" spans="1:2">
      <c r="A3502" s="7"/>
      <c r="B3502" s="8"/>
    </row>
    <row r="3503" spans="1:2">
      <c r="A3503" s="7"/>
      <c r="B3503" s="8"/>
    </row>
    <row r="3504" spans="1:2">
      <c r="A3504" s="7"/>
      <c r="B3504" s="8"/>
    </row>
    <row r="3505" spans="1:2">
      <c r="A3505" s="7"/>
      <c r="B3505" s="8"/>
    </row>
    <row r="3506" spans="1:2">
      <c r="A3506" s="7"/>
      <c r="B3506" s="8"/>
    </row>
    <row r="3507" spans="1:2">
      <c r="A3507" s="7"/>
      <c r="B3507" s="8"/>
    </row>
    <row r="3508" spans="1:2">
      <c r="A3508" s="7"/>
      <c r="B3508" s="8"/>
    </row>
    <row r="3509" spans="1:2">
      <c r="A3509" s="7"/>
      <c r="B3509" s="8"/>
    </row>
    <row r="3510" spans="1:2">
      <c r="A3510" s="7"/>
      <c r="B3510" s="8"/>
    </row>
    <row r="3511" spans="1:2">
      <c r="A3511" s="7"/>
      <c r="B3511" s="8"/>
    </row>
    <row r="3512" spans="1:2">
      <c r="A3512" s="7"/>
      <c r="B3512" s="8"/>
    </row>
    <row r="3513" spans="1:2">
      <c r="A3513" s="7"/>
      <c r="B3513" s="8"/>
    </row>
    <row r="3514" spans="1:2">
      <c r="A3514" s="7"/>
      <c r="B3514" s="8"/>
    </row>
    <row r="3515" spans="1:2">
      <c r="A3515" s="7"/>
      <c r="B3515" s="8"/>
    </row>
    <row r="3516" spans="1:2">
      <c r="A3516" s="7"/>
      <c r="B3516" s="8"/>
    </row>
    <row r="3517" spans="1:2">
      <c r="A3517" s="7"/>
      <c r="B3517" s="8"/>
    </row>
    <row r="3518" spans="1:2">
      <c r="A3518" s="7"/>
      <c r="B3518" s="8"/>
    </row>
    <row r="3519" spans="1:2">
      <c r="A3519" s="7"/>
      <c r="B3519" s="8"/>
    </row>
    <row r="3520" spans="1:2">
      <c r="A3520" s="7"/>
      <c r="B3520" s="8"/>
    </row>
    <row r="3521" spans="1:2">
      <c r="A3521" s="7"/>
      <c r="B3521" s="8"/>
    </row>
    <row r="3522" spans="1:2">
      <c r="A3522" s="7"/>
      <c r="B3522" s="8"/>
    </row>
    <row r="3523" spans="1:2">
      <c r="A3523" s="7"/>
      <c r="B3523" s="8"/>
    </row>
    <row r="3524" spans="1:2">
      <c r="A3524" s="7"/>
      <c r="B3524" s="8"/>
    </row>
    <row r="3525" spans="1:2">
      <c r="A3525" s="7"/>
      <c r="B3525" s="8"/>
    </row>
    <row r="3526" spans="1:2">
      <c r="A3526" s="7"/>
      <c r="B3526" s="8"/>
    </row>
    <row r="3527" spans="1:2">
      <c r="A3527" s="7"/>
      <c r="B3527" s="8"/>
    </row>
    <row r="3528" spans="1:2">
      <c r="A3528" s="7"/>
      <c r="B3528" s="8"/>
    </row>
    <row r="3529" spans="1:2">
      <c r="A3529" s="7"/>
      <c r="B3529" s="8"/>
    </row>
    <row r="3530" spans="1:2">
      <c r="A3530" s="7"/>
      <c r="B3530" s="8"/>
    </row>
    <row r="3531" spans="1:2">
      <c r="A3531" s="7"/>
      <c r="B3531" s="8"/>
    </row>
    <row r="3532" spans="1:2">
      <c r="A3532" s="7"/>
      <c r="B3532" s="8"/>
    </row>
    <row r="3533" spans="1:2">
      <c r="A3533" s="7"/>
      <c r="B3533" s="8"/>
    </row>
    <row r="3534" spans="1:2">
      <c r="A3534" s="7"/>
      <c r="B3534" s="8"/>
    </row>
    <row r="3535" spans="1:2">
      <c r="A3535" s="7"/>
      <c r="B3535" s="8"/>
    </row>
    <row r="3536" spans="1:2">
      <c r="A3536" s="7"/>
      <c r="B3536" s="8"/>
    </row>
    <row r="3537" spans="1:2">
      <c r="A3537" s="7"/>
      <c r="B3537" s="8"/>
    </row>
    <row r="3538" spans="1:2">
      <c r="A3538" s="7"/>
      <c r="B3538" s="8"/>
    </row>
    <row r="3539" spans="1:2">
      <c r="A3539" s="7"/>
      <c r="B3539" s="8"/>
    </row>
    <row r="3540" spans="1:2">
      <c r="A3540" s="7"/>
      <c r="B3540" s="8"/>
    </row>
    <row r="3541" spans="1:2">
      <c r="A3541" s="7"/>
      <c r="B3541" s="8"/>
    </row>
    <row r="3542" spans="1:2">
      <c r="A3542" s="7"/>
      <c r="B3542" s="8"/>
    </row>
    <row r="3543" spans="1:2">
      <c r="A3543" s="7"/>
      <c r="B3543" s="8"/>
    </row>
    <row r="3544" spans="1:2">
      <c r="A3544" s="7"/>
      <c r="B3544" s="8"/>
    </row>
    <row r="3545" spans="1:2">
      <c r="A3545" s="7"/>
      <c r="B3545" s="8"/>
    </row>
    <row r="3546" spans="1:2">
      <c r="A3546" s="7"/>
      <c r="B3546" s="8"/>
    </row>
    <row r="3547" spans="1:2">
      <c r="A3547" s="7"/>
      <c r="B3547" s="8"/>
    </row>
    <row r="3548" spans="1:2">
      <c r="A3548" s="7"/>
      <c r="B3548" s="8"/>
    </row>
    <row r="3549" spans="1:2">
      <c r="A3549" s="7"/>
      <c r="B3549" s="8"/>
    </row>
    <row r="3550" spans="1:2">
      <c r="A3550" s="7"/>
      <c r="B3550" s="8"/>
    </row>
    <row r="3551" spans="1:2">
      <c r="A3551" s="7"/>
      <c r="B3551" s="8"/>
    </row>
    <row r="3552" spans="1:2">
      <c r="A3552" s="7"/>
      <c r="B3552" s="8"/>
    </row>
    <row r="3553" spans="1:2">
      <c r="A3553" s="7"/>
      <c r="B3553" s="8"/>
    </row>
    <row r="3554" spans="1:2">
      <c r="A3554" s="7"/>
      <c r="B3554" s="8"/>
    </row>
    <row r="3555" spans="1:2">
      <c r="A3555" s="7"/>
      <c r="B3555" s="8"/>
    </row>
    <row r="3556" spans="1:2">
      <c r="A3556" s="7"/>
      <c r="B3556" s="8"/>
    </row>
    <row r="3557" spans="1:2">
      <c r="A3557" s="7"/>
      <c r="B3557" s="8"/>
    </row>
    <row r="3558" spans="1:2">
      <c r="A3558" s="7"/>
      <c r="B3558" s="8"/>
    </row>
    <row r="3559" spans="1:2">
      <c r="A3559" s="7"/>
      <c r="B3559" s="8"/>
    </row>
    <row r="3560" spans="1:2">
      <c r="A3560" s="7"/>
      <c r="B3560" s="8"/>
    </row>
    <row r="3561" spans="1:2">
      <c r="A3561" s="7"/>
      <c r="B3561" s="8"/>
    </row>
    <row r="3562" spans="1:2">
      <c r="A3562" s="7"/>
      <c r="B3562" s="8"/>
    </row>
    <row r="3563" spans="1:2">
      <c r="A3563" s="7"/>
      <c r="B3563" s="8"/>
    </row>
    <row r="3564" spans="1:2">
      <c r="A3564" s="7"/>
      <c r="B3564" s="8"/>
    </row>
    <row r="3565" spans="1:2">
      <c r="A3565" s="7"/>
      <c r="B3565" s="8"/>
    </row>
    <row r="3566" spans="1:2">
      <c r="A3566" s="7"/>
      <c r="B3566" s="8"/>
    </row>
    <row r="3567" spans="1:2">
      <c r="A3567" s="7"/>
      <c r="B3567" s="8"/>
    </row>
    <row r="3568" spans="1:2">
      <c r="A3568" s="7"/>
      <c r="B3568" s="8"/>
    </row>
    <row r="3569" spans="1:2">
      <c r="A3569" s="7"/>
      <c r="B3569" s="8"/>
    </row>
    <row r="3570" spans="1:2">
      <c r="A3570" s="7"/>
      <c r="B3570" s="8"/>
    </row>
    <row r="3571" spans="1:2">
      <c r="A3571" s="7"/>
      <c r="B3571" s="8"/>
    </row>
    <row r="3572" spans="1:2">
      <c r="A3572" s="7"/>
      <c r="B3572" s="8"/>
    </row>
    <row r="3573" spans="1:2">
      <c r="A3573" s="7"/>
      <c r="B3573" s="8"/>
    </row>
    <row r="3574" spans="1:2">
      <c r="A3574" s="7"/>
      <c r="B3574" s="8"/>
    </row>
    <row r="3575" spans="1:2">
      <c r="A3575" s="7"/>
      <c r="B3575" s="8"/>
    </row>
    <row r="3576" spans="1:2">
      <c r="A3576" s="7"/>
      <c r="B3576" s="8"/>
    </row>
    <row r="3577" spans="1:2">
      <c r="A3577" s="7"/>
      <c r="B3577" s="8"/>
    </row>
    <row r="3578" spans="1:2">
      <c r="A3578" s="7"/>
      <c r="B3578" s="8"/>
    </row>
    <row r="3579" spans="1:2">
      <c r="A3579" s="7"/>
      <c r="B3579" s="8"/>
    </row>
    <row r="3580" spans="1:2">
      <c r="A3580" s="7"/>
      <c r="B3580" s="8"/>
    </row>
    <row r="3581" spans="1:2">
      <c r="A3581" s="7"/>
      <c r="B3581" s="8"/>
    </row>
    <row r="3582" spans="1:2">
      <c r="A3582" s="7"/>
      <c r="B3582" s="8"/>
    </row>
    <row r="3583" spans="1:2">
      <c r="A3583" s="7"/>
      <c r="B3583" s="8"/>
    </row>
    <row r="3584" spans="1:2">
      <c r="A3584" s="7"/>
      <c r="B3584" s="8"/>
    </row>
    <row r="3585" spans="1:2">
      <c r="A3585" s="7"/>
      <c r="B3585" s="8"/>
    </row>
    <row r="3586" spans="1:2">
      <c r="A3586" s="7"/>
      <c r="B3586" s="8"/>
    </row>
    <row r="3587" spans="1:2">
      <c r="A3587" s="7"/>
      <c r="B3587" s="8"/>
    </row>
    <row r="3588" spans="1:2">
      <c r="A3588" s="7"/>
      <c r="B3588" s="8"/>
    </row>
    <row r="3589" spans="1:2">
      <c r="A3589" s="7"/>
      <c r="B3589" s="8"/>
    </row>
    <row r="3590" spans="1:2">
      <c r="A3590" s="7"/>
      <c r="B3590" s="8"/>
    </row>
    <row r="3591" spans="1:2">
      <c r="A3591" s="7"/>
      <c r="B3591" s="8"/>
    </row>
    <row r="3592" spans="1:2">
      <c r="A3592" s="7"/>
      <c r="B3592" s="8"/>
    </row>
    <row r="3593" spans="1:2">
      <c r="A3593" s="7"/>
      <c r="B3593" s="8"/>
    </row>
    <row r="3594" spans="1:2">
      <c r="A3594" s="7"/>
      <c r="B3594" s="8"/>
    </row>
    <row r="3595" spans="1:2">
      <c r="A3595" s="7"/>
      <c r="B3595" s="8"/>
    </row>
    <row r="3596" spans="1:2">
      <c r="A3596" s="7"/>
      <c r="B3596" s="8"/>
    </row>
    <row r="3597" spans="1:2">
      <c r="A3597" s="7"/>
      <c r="B3597" s="8"/>
    </row>
    <row r="3598" spans="1:2">
      <c r="A3598" s="7"/>
      <c r="B3598" s="8"/>
    </row>
    <row r="3599" spans="1:2">
      <c r="A3599" s="7"/>
      <c r="B3599" s="8"/>
    </row>
    <row r="3600" spans="1:2">
      <c r="A3600" s="7"/>
      <c r="B3600" s="8"/>
    </row>
    <row r="3601" spans="1:2">
      <c r="A3601" s="7"/>
      <c r="B3601" s="8"/>
    </row>
    <row r="3602" spans="1:2">
      <c r="A3602" s="7"/>
      <c r="B3602" s="8"/>
    </row>
    <row r="3603" spans="1:2">
      <c r="A3603" s="7"/>
      <c r="B3603" s="8"/>
    </row>
    <row r="3604" spans="1:2">
      <c r="A3604" s="7"/>
      <c r="B3604" s="8"/>
    </row>
    <row r="3605" spans="1:2">
      <c r="A3605" s="7"/>
      <c r="B3605" s="8"/>
    </row>
    <row r="3606" spans="1:2">
      <c r="A3606" s="7"/>
      <c r="B3606" s="8"/>
    </row>
    <row r="3607" spans="1:2">
      <c r="A3607" s="7"/>
      <c r="B3607" s="8"/>
    </row>
    <row r="3608" spans="1:2">
      <c r="A3608" s="7"/>
      <c r="B3608" s="8"/>
    </row>
    <row r="3609" spans="1:2">
      <c r="A3609" s="7"/>
      <c r="B3609" s="8"/>
    </row>
    <row r="3610" spans="1:2">
      <c r="A3610" s="7"/>
      <c r="B3610" s="8"/>
    </row>
    <row r="3611" spans="1:2">
      <c r="A3611" s="7"/>
      <c r="B3611" s="8"/>
    </row>
    <row r="3612" spans="1:2">
      <c r="A3612" s="7"/>
      <c r="B3612" s="8"/>
    </row>
    <row r="3613" spans="1:2">
      <c r="A3613" s="7"/>
      <c r="B3613" s="8"/>
    </row>
    <row r="3614" spans="1:2">
      <c r="A3614" s="7"/>
      <c r="B3614" s="8"/>
    </row>
    <row r="3615" spans="1:2">
      <c r="A3615" s="7"/>
      <c r="B3615" s="8"/>
    </row>
    <row r="3616" spans="1:2">
      <c r="A3616" s="7"/>
      <c r="B3616" s="8"/>
    </row>
    <row r="3617" spans="1:2">
      <c r="A3617" s="7"/>
      <c r="B3617" s="8"/>
    </row>
    <row r="3618" spans="1:2">
      <c r="A3618" s="7"/>
      <c r="B3618" s="8"/>
    </row>
    <row r="3619" spans="1:2">
      <c r="A3619" s="7"/>
      <c r="B3619" s="8"/>
    </row>
    <row r="3620" spans="1:2">
      <c r="A3620" s="7"/>
      <c r="B3620" s="8"/>
    </row>
    <row r="3621" spans="1:2">
      <c r="A3621" s="7"/>
      <c r="B3621" s="8"/>
    </row>
    <row r="3622" spans="1:2">
      <c r="A3622" s="7"/>
      <c r="B3622" s="8"/>
    </row>
    <row r="3623" spans="1:2">
      <c r="A3623" s="7"/>
      <c r="B3623" s="8"/>
    </row>
    <row r="3624" spans="1:2">
      <c r="A3624" s="7"/>
      <c r="B3624" s="8"/>
    </row>
    <row r="3625" spans="1:2">
      <c r="A3625" s="7"/>
      <c r="B3625" s="8"/>
    </row>
    <row r="3626" spans="1:2">
      <c r="A3626" s="7"/>
      <c r="B3626" s="8"/>
    </row>
    <row r="3627" spans="1:2">
      <c r="A3627" s="7"/>
      <c r="B3627" s="8"/>
    </row>
    <row r="3628" spans="1:2">
      <c r="A3628" s="7"/>
      <c r="B3628" s="8"/>
    </row>
    <row r="3629" spans="1:2">
      <c r="A3629" s="7"/>
      <c r="B3629" s="8"/>
    </row>
    <row r="3630" spans="1:2">
      <c r="A3630" s="7"/>
      <c r="B3630" s="8"/>
    </row>
    <row r="3631" spans="1:2">
      <c r="A3631" s="7"/>
      <c r="B3631" s="8"/>
    </row>
    <row r="3632" spans="1:2">
      <c r="A3632" s="7"/>
      <c r="B3632" s="8"/>
    </row>
    <row r="3633" spans="1:2">
      <c r="A3633" s="7"/>
      <c r="B3633" s="8"/>
    </row>
    <row r="3634" spans="1:2">
      <c r="A3634" s="7"/>
      <c r="B3634" s="8"/>
    </row>
    <row r="3635" spans="1:2">
      <c r="A3635" s="7"/>
      <c r="B3635" s="8"/>
    </row>
    <row r="3636" spans="1:2">
      <c r="A3636" s="7"/>
      <c r="B3636" s="8"/>
    </row>
    <row r="3637" spans="1:2">
      <c r="A3637" s="7"/>
      <c r="B3637" s="8"/>
    </row>
    <row r="3638" spans="1:2">
      <c r="A3638" s="7"/>
      <c r="B3638" s="8"/>
    </row>
    <row r="3639" spans="1:2">
      <c r="A3639" s="7"/>
      <c r="B3639" s="8"/>
    </row>
    <row r="3640" spans="1:2">
      <c r="A3640" s="7"/>
      <c r="B3640" s="8"/>
    </row>
    <row r="3641" spans="1:2">
      <c r="A3641" s="7"/>
      <c r="B3641" s="8"/>
    </row>
    <row r="3642" spans="1:2">
      <c r="A3642" s="7"/>
      <c r="B3642" s="8"/>
    </row>
    <row r="3643" spans="1:2">
      <c r="A3643" s="7"/>
      <c r="B3643" s="8"/>
    </row>
    <row r="3644" spans="1:2">
      <c r="A3644" s="7"/>
      <c r="B3644" s="8"/>
    </row>
    <row r="3645" spans="1:2">
      <c r="A3645" s="7"/>
      <c r="B3645" s="8"/>
    </row>
    <row r="3646" spans="1:2">
      <c r="A3646" s="7"/>
      <c r="B3646" s="8"/>
    </row>
    <row r="3647" spans="1:2">
      <c r="A3647" s="7"/>
      <c r="B3647" s="8"/>
    </row>
    <row r="3648" spans="1:2">
      <c r="A3648" s="7"/>
      <c r="B3648" s="8"/>
    </row>
    <row r="3649" spans="1:2">
      <c r="A3649" s="7"/>
      <c r="B3649" s="8"/>
    </row>
    <row r="3650" spans="1:2">
      <c r="A3650" s="7"/>
      <c r="B3650" s="8"/>
    </row>
    <row r="3651" spans="1:2">
      <c r="A3651" s="7"/>
      <c r="B3651" s="8"/>
    </row>
    <row r="3652" spans="1:2">
      <c r="A3652" s="7"/>
      <c r="B3652" s="8"/>
    </row>
    <row r="3653" spans="1:2">
      <c r="A3653" s="7"/>
      <c r="B3653" s="8"/>
    </row>
    <row r="3654" spans="1:2">
      <c r="A3654" s="7"/>
      <c r="B3654" s="8"/>
    </row>
    <row r="3655" spans="1:2">
      <c r="A3655" s="7"/>
      <c r="B3655" s="8"/>
    </row>
    <row r="3656" spans="1:2">
      <c r="A3656" s="7"/>
      <c r="B3656" s="8"/>
    </row>
    <row r="3657" spans="1:2">
      <c r="A3657" s="7"/>
      <c r="B3657" s="8"/>
    </row>
    <row r="3658" spans="1:2">
      <c r="A3658" s="7"/>
      <c r="B3658" s="8"/>
    </row>
    <row r="3659" spans="1:2">
      <c r="A3659" s="7"/>
      <c r="B3659" s="8"/>
    </row>
    <row r="3660" spans="1:2">
      <c r="A3660" s="7"/>
      <c r="B3660" s="8"/>
    </row>
    <row r="3661" spans="1:2">
      <c r="A3661" s="7"/>
      <c r="B3661" s="8"/>
    </row>
    <row r="3662" spans="1:2">
      <c r="A3662" s="7"/>
      <c r="B3662" s="8"/>
    </row>
    <row r="3663" spans="1:2">
      <c r="A3663" s="7"/>
      <c r="B3663" s="8"/>
    </row>
    <row r="3664" spans="1:2">
      <c r="A3664" s="7"/>
      <c r="B3664" s="8"/>
    </row>
    <row r="3665" spans="1:2">
      <c r="A3665" s="7"/>
      <c r="B3665" s="8"/>
    </row>
    <row r="3666" spans="1:2">
      <c r="A3666" s="7"/>
      <c r="B3666" s="8"/>
    </row>
    <row r="3667" spans="1:2">
      <c r="A3667" s="7"/>
      <c r="B3667" s="8"/>
    </row>
    <row r="3668" spans="1:2">
      <c r="A3668" s="7"/>
      <c r="B3668" s="8"/>
    </row>
    <row r="3669" spans="1:2">
      <c r="A3669" s="7"/>
      <c r="B3669" s="8"/>
    </row>
    <row r="3670" spans="1:2">
      <c r="A3670" s="7"/>
      <c r="B3670" s="8"/>
    </row>
    <row r="3671" spans="1:2">
      <c r="A3671" s="7"/>
      <c r="B3671" s="8"/>
    </row>
    <row r="3672" spans="1:2">
      <c r="A3672" s="7"/>
      <c r="B3672" s="8"/>
    </row>
    <row r="3673" spans="1:2">
      <c r="A3673" s="7"/>
      <c r="B3673" s="8"/>
    </row>
    <row r="3674" spans="1:2">
      <c r="A3674" s="7"/>
      <c r="B3674" s="8"/>
    </row>
    <row r="3675" spans="1:2">
      <c r="A3675" s="7"/>
      <c r="B3675" s="8"/>
    </row>
    <row r="3676" spans="1:2">
      <c r="A3676" s="7"/>
      <c r="B3676" s="8"/>
    </row>
    <row r="3677" spans="1:2">
      <c r="A3677" s="7"/>
      <c r="B3677" s="8"/>
    </row>
    <row r="3678" spans="1:2">
      <c r="A3678" s="7"/>
      <c r="B3678" s="8"/>
    </row>
    <row r="3679" spans="1:2">
      <c r="A3679" s="7"/>
      <c r="B3679" s="8"/>
    </row>
    <row r="3680" spans="1:2">
      <c r="A3680" s="7"/>
      <c r="B3680" s="8"/>
    </row>
    <row r="3681" spans="1:2">
      <c r="A3681" s="7"/>
      <c r="B3681" s="8"/>
    </row>
    <row r="3682" spans="1:2">
      <c r="A3682" s="7"/>
      <c r="B3682" s="8"/>
    </row>
    <row r="3683" spans="1:2">
      <c r="A3683" s="7"/>
      <c r="B3683" s="8"/>
    </row>
    <row r="3684" spans="1:2">
      <c r="A3684" s="7"/>
      <c r="B3684" s="8"/>
    </row>
    <row r="3685" spans="1:2">
      <c r="A3685" s="7"/>
      <c r="B3685" s="8"/>
    </row>
    <row r="3686" spans="1:2">
      <c r="A3686" s="7"/>
      <c r="B3686" s="8"/>
    </row>
    <row r="3687" spans="1:2">
      <c r="A3687" s="7"/>
      <c r="B3687" s="8"/>
    </row>
    <row r="3688" spans="1:2">
      <c r="A3688" s="7"/>
      <c r="B3688" s="8"/>
    </row>
    <row r="3689" spans="1:2">
      <c r="A3689" s="7"/>
      <c r="B3689" s="8"/>
    </row>
    <row r="3690" spans="1:2">
      <c r="A3690" s="7"/>
      <c r="B3690" s="8"/>
    </row>
    <row r="3691" spans="1:2">
      <c r="A3691" s="7"/>
      <c r="B3691" s="8"/>
    </row>
    <row r="3692" spans="1:2">
      <c r="A3692" s="7"/>
      <c r="B3692" s="8"/>
    </row>
    <row r="3693" spans="1:2">
      <c r="A3693" s="7"/>
      <c r="B3693" s="8"/>
    </row>
    <row r="3694" spans="1:2">
      <c r="A3694" s="7"/>
      <c r="B3694" s="8"/>
    </row>
    <row r="3695" spans="1:2">
      <c r="A3695" s="7"/>
      <c r="B3695" s="8"/>
    </row>
    <row r="3696" spans="1:2">
      <c r="A3696" s="7"/>
      <c r="B3696" s="8"/>
    </row>
    <row r="3697" spans="1:2">
      <c r="A3697" s="7"/>
      <c r="B3697" s="8"/>
    </row>
    <row r="3698" spans="1:2">
      <c r="A3698" s="7"/>
      <c r="B3698" s="8"/>
    </row>
    <row r="3699" spans="1:2">
      <c r="A3699" s="7"/>
      <c r="B3699" s="8"/>
    </row>
    <row r="3700" spans="1:2">
      <c r="A3700" s="7"/>
      <c r="B3700" s="8"/>
    </row>
    <row r="3701" spans="1:2">
      <c r="A3701" s="7"/>
      <c r="B3701" s="8"/>
    </row>
    <row r="3702" spans="1:2">
      <c r="A3702" s="7"/>
      <c r="B3702" s="8"/>
    </row>
    <row r="3703" spans="1:2">
      <c r="A3703" s="7"/>
      <c r="B3703" s="8"/>
    </row>
    <row r="3704" spans="1:2">
      <c r="A3704" s="7"/>
      <c r="B3704" s="8"/>
    </row>
    <row r="3705" spans="1:2">
      <c r="A3705" s="7"/>
      <c r="B3705" s="8"/>
    </row>
    <row r="3706" spans="1:2">
      <c r="A3706" s="7"/>
      <c r="B3706" s="8"/>
    </row>
    <row r="3707" spans="1:2">
      <c r="A3707" s="7"/>
      <c r="B3707" s="8"/>
    </row>
    <row r="3708" spans="1:2">
      <c r="A3708" s="7"/>
      <c r="B3708" s="8"/>
    </row>
    <row r="3709" spans="1:2">
      <c r="A3709" s="7"/>
      <c r="B3709" s="8"/>
    </row>
    <row r="3710" spans="1:2">
      <c r="A3710" s="7"/>
      <c r="B3710" s="8"/>
    </row>
    <row r="3711" spans="1:2">
      <c r="A3711" s="7"/>
      <c r="B3711" s="8"/>
    </row>
    <row r="3712" spans="1:2">
      <c r="A3712" s="7"/>
      <c r="B3712" s="8"/>
    </row>
    <row r="3713" spans="1:2">
      <c r="A3713" s="7"/>
      <c r="B3713" s="8"/>
    </row>
    <row r="3714" spans="1:2">
      <c r="A3714" s="7"/>
      <c r="B3714" s="8"/>
    </row>
    <row r="3715" spans="1:2">
      <c r="A3715" s="7"/>
      <c r="B3715" s="8"/>
    </row>
    <row r="3716" spans="1:2">
      <c r="A3716" s="7"/>
      <c r="B3716" s="8"/>
    </row>
    <row r="3717" spans="1:2">
      <c r="A3717" s="7"/>
      <c r="B3717" s="8"/>
    </row>
    <row r="3718" spans="1:2">
      <c r="A3718" s="7"/>
      <c r="B3718" s="8"/>
    </row>
    <row r="3719" spans="1:2">
      <c r="A3719" s="7"/>
      <c r="B3719" s="8"/>
    </row>
    <row r="3720" spans="1:2">
      <c r="A3720" s="7"/>
      <c r="B3720" s="8"/>
    </row>
    <row r="3721" spans="1:2">
      <c r="A3721" s="7"/>
      <c r="B3721" s="8"/>
    </row>
    <row r="3722" spans="1:2">
      <c r="A3722" s="7"/>
      <c r="B3722" s="8"/>
    </row>
    <row r="3723" spans="1:2">
      <c r="A3723" s="7"/>
      <c r="B3723" s="8"/>
    </row>
    <row r="3724" spans="1:2">
      <c r="A3724" s="7"/>
      <c r="B3724" s="8"/>
    </row>
    <row r="3725" spans="1:2">
      <c r="A3725" s="7"/>
      <c r="B3725" s="8"/>
    </row>
    <row r="3726" spans="1:2">
      <c r="A3726" s="7"/>
      <c r="B3726" s="8"/>
    </row>
    <row r="3727" spans="1:2">
      <c r="A3727" s="7"/>
      <c r="B3727" s="8"/>
    </row>
    <row r="3728" spans="1:2">
      <c r="A3728" s="7"/>
      <c r="B3728" s="8"/>
    </row>
    <row r="3729" spans="1:2">
      <c r="A3729" s="7"/>
      <c r="B3729" s="8"/>
    </row>
    <row r="3730" spans="1:2">
      <c r="A3730" s="7"/>
      <c r="B3730" s="8"/>
    </row>
    <row r="3731" spans="1:2">
      <c r="A3731" s="7"/>
      <c r="B3731" s="8"/>
    </row>
    <row r="3732" spans="1:2">
      <c r="A3732" s="7"/>
      <c r="B3732" s="8"/>
    </row>
    <row r="3733" spans="1:2">
      <c r="A3733" s="7"/>
      <c r="B3733" s="8"/>
    </row>
    <row r="3734" spans="1:2">
      <c r="A3734" s="7"/>
      <c r="B3734" s="8"/>
    </row>
    <row r="3735" spans="1:2">
      <c r="A3735" s="7"/>
      <c r="B3735" s="8"/>
    </row>
    <row r="3736" spans="1:2">
      <c r="A3736" s="7"/>
      <c r="B3736" s="8"/>
    </row>
    <row r="3737" spans="1:2">
      <c r="A3737" s="7"/>
      <c r="B3737" s="8"/>
    </row>
    <row r="3738" spans="1:2">
      <c r="A3738" s="7"/>
      <c r="B3738" s="8"/>
    </row>
    <row r="3739" spans="1:2">
      <c r="A3739" s="7"/>
      <c r="B3739" s="8"/>
    </row>
    <row r="3740" spans="1:2">
      <c r="A3740" s="7"/>
      <c r="B3740" s="8"/>
    </row>
    <row r="3741" spans="1:2">
      <c r="A3741" s="7"/>
      <c r="B3741" s="8"/>
    </row>
    <row r="3742" spans="1:2">
      <c r="A3742" s="7"/>
      <c r="B3742" s="8"/>
    </row>
    <row r="3743" spans="1:2">
      <c r="A3743" s="7"/>
      <c r="B3743" s="8"/>
    </row>
    <row r="3744" spans="1:2">
      <c r="A3744" s="7"/>
      <c r="B3744" s="8"/>
    </row>
    <row r="3745" spans="1:2">
      <c r="A3745" s="7"/>
      <c r="B3745" s="8"/>
    </row>
    <row r="3746" spans="1:2">
      <c r="A3746" s="7"/>
      <c r="B3746" s="8"/>
    </row>
    <row r="3747" spans="1:2">
      <c r="A3747" s="7"/>
      <c r="B3747" s="8"/>
    </row>
    <row r="3748" spans="1:2">
      <c r="A3748" s="7"/>
      <c r="B3748" s="8"/>
    </row>
    <row r="3749" spans="1:2">
      <c r="A3749" s="7"/>
      <c r="B3749" s="8"/>
    </row>
    <row r="3750" spans="1:2">
      <c r="A3750" s="7"/>
      <c r="B3750" s="8"/>
    </row>
    <row r="3751" spans="1:2">
      <c r="A3751" s="7"/>
      <c r="B3751" s="8"/>
    </row>
    <row r="3752" spans="1:2">
      <c r="A3752" s="7"/>
      <c r="B3752" s="8"/>
    </row>
    <row r="3753" spans="1:2">
      <c r="A3753" s="7"/>
      <c r="B3753" s="8"/>
    </row>
    <row r="3754" spans="1:2">
      <c r="A3754" s="7"/>
      <c r="B3754" s="8"/>
    </row>
    <row r="3755" spans="1:2">
      <c r="A3755" s="7"/>
      <c r="B3755" s="8"/>
    </row>
    <row r="3756" spans="1:2">
      <c r="A3756" s="7"/>
      <c r="B3756" s="8"/>
    </row>
    <row r="3757" spans="1:2">
      <c r="A3757" s="7"/>
      <c r="B3757" s="8"/>
    </row>
    <row r="3758" spans="1:2">
      <c r="A3758" s="7"/>
      <c r="B3758" s="8"/>
    </row>
    <row r="3759" spans="1:2">
      <c r="A3759" s="7"/>
      <c r="B3759" s="8"/>
    </row>
    <row r="3760" spans="1:2">
      <c r="A3760" s="7"/>
      <c r="B3760" s="8"/>
    </row>
    <row r="3761" spans="1:2">
      <c r="A3761" s="7"/>
      <c r="B3761" s="8"/>
    </row>
    <row r="3762" spans="1:2">
      <c r="A3762" s="7"/>
      <c r="B3762" s="8"/>
    </row>
    <row r="3763" spans="1:2">
      <c r="A3763" s="7"/>
      <c r="B3763" s="8"/>
    </row>
    <row r="3764" spans="1:2">
      <c r="A3764" s="7"/>
      <c r="B3764" s="8"/>
    </row>
    <row r="3765" spans="1:2">
      <c r="A3765" s="7"/>
      <c r="B3765" s="8"/>
    </row>
    <row r="3766" spans="1:2">
      <c r="A3766" s="7"/>
      <c r="B3766" s="8"/>
    </row>
    <row r="3767" spans="1:2">
      <c r="A3767" s="7"/>
      <c r="B3767" s="8"/>
    </row>
    <row r="3768" spans="1:2">
      <c r="A3768" s="7"/>
      <c r="B3768" s="8"/>
    </row>
    <row r="3769" spans="1:2">
      <c r="A3769" s="7"/>
      <c r="B3769" s="8"/>
    </row>
    <row r="3770" spans="1:2">
      <c r="A3770" s="7"/>
      <c r="B3770" s="8"/>
    </row>
    <row r="3771" spans="1:2">
      <c r="A3771" s="7"/>
      <c r="B3771" s="8"/>
    </row>
    <row r="3772" spans="1:2">
      <c r="A3772" s="7"/>
      <c r="B3772" s="8"/>
    </row>
    <row r="3773" spans="1:2">
      <c r="A3773" s="7"/>
      <c r="B3773" s="8"/>
    </row>
    <row r="3774" spans="1:2">
      <c r="A3774" s="7"/>
      <c r="B3774" s="8"/>
    </row>
    <row r="3775" spans="1:2">
      <c r="A3775" s="7"/>
      <c r="B3775" s="8"/>
    </row>
    <row r="3776" spans="1:2">
      <c r="A3776" s="7"/>
      <c r="B3776" s="8"/>
    </row>
    <row r="3777" spans="1:2">
      <c r="A3777" s="7"/>
      <c r="B3777" s="8"/>
    </row>
    <row r="3778" spans="1:2">
      <c r="A3778" s="7"/>
      <c r="B3778" s="8"/>
    </row>
    <row r="3779" spans="1:2">
      <c r="A3779" s="7"/>
      <c r="B3779" s="8"/>
    </row>
    <row r="3780" spans="1:2">
      <c r="A3780" s="7"/>
      <c r="B3780" s="8"/>
    </row>
    <row r="3781" spans="1:2">
      <c r="A3781" s="7"/>
      <c r="B3781" s="8"/>
    </row>
    <row r="3782" spans="1:2">
      <c r="A3782" s="7"/>
      <c r="B3782" s="8"/>
    </row>
    <row r="3783" spans="1:2">
      <c r="A3783" s="7"/>
      <c r="B3783" s="8"/>
    </row>
    <row r="3784" spans="1:2">
      <c r="A3784" s="7"/>
      <c r="B3784" s="8"/>
    </row>
    <row r="3785" spans="1:2">
      <c r="A3785" s="7"/>
      <c r="B3785" s="8"/>
    </row>
    <row r="3786" spans="1:2">
      <c r="A3786" s="7"/>
      <c r="B3786" s="8"/>
    </row>
    <row r="3787" spans="1:2">
      <c r="A3787" s="7"/>
      <c r="B3787" s="8"/>
    </row>
    <row r="3788" spans="1:2">
      <c r="A3788" s="7"/>
      <c r="B3788" s="8"/>
    </row>
    <row r="3789" spans="1:2">
      <c r="A3789" s="7"/>
      <c r="B3789" s="8"/>
    </row>
    <row r="3790" spans="1:2">
      <c r="A3790" s="7"/>
      <c r="B3790" s="8"/>
    </row>
    <row r="3791" spans="1:2">
      <c r="A3791" s="7"/>
      <c r="B3791" s="8"/>
    </row>
    <row r="3792" spans="1:2">
      <c r="A3792" s="7"/>
      <c r="B3792" s="8"/>
    </row>
    <row r="3793" spans="1:2">
      <c r="A3793" s="7"/>
      <c r="B3793" s="8"/>
    </row>
    <row r="3794" spans="1:2">
      <c r="A3794" s="7"/>
      <c r="B3794" s="8"/>
    </row>
    <row r="3795" spans="1:2">
      <c r="A3795" s="7"/>
      <c r="B3795" s="8"/>
    </row>
    <row r="3796" spans="1:2">
      <c r="A3796" s="7"/>
      <c r="B3796" s="8"/>
    </row>
    <row r="3797" spans="1:2">
      <c r="A3797" s="7"/>
      <c r="B3797" s="8"/>
    </row>
    <row r="3798" spans="1:2">
      <c r="A3798" s="7"/>
      <c r="B3798" s="8"/>
    </row>
    <row r="3799" spans="1:2">
      <c r="A3799" s="7"/>
      <c r="B3799" s="8"/>
    </row>
    <row r="3800" spans="1:2">
      <c r="A3800" s="7"/>
      <c r="B3800" s="8"/>
    </row>
    <row r="3801" spans="1:2">
      <c r="A3801" s="7"/>
      <c r="B3801" s="8"/>
    </row>
    <row r="3802" spans="1:2">
      <c r="A3802" s="7"/>
      <c r="B3802" s="8"/>
    </row>
    <row r="3803" spans="1:2">
      <c r="A3803" s="7"/>
      <c r="B3803" s="8"/>
    </row>
    <row r="3804" spans="1:2">
      <c r="A3804" s="7"/>
      <c r="B3804" s="8"/>
    </row>
    <row r="3805" spans="1:2">
      <c r="A3805" s="7"/>
      <c r="B3805" s="8"/>
    </row>
    <row r="3806" spans="1:2">
      <c r="A3806" s="7"/>
      <c r="B3806" s="8"/>
    </row>
    <row r="3807" spans="1:2">
      <c r="A3807" s="7"/>
      <c r="B3807" s="8"/>
    </row>
    <row r="3808" spans="1:2">
      <c r="A3808" s="7"/>
      <c r="B3808" s="8"/>
    </row>
    <row r="3809" spans="1:2">
      <c r="A3809" s="7"/>
      <c r="B3809" s="8"/>
    </row>
    <row r="3810" spans="1:2">
      <c r="A3810" s="7"/>
      <c r="B3810" s="8"/>
    </row>
    <row r="3811" spans="1:2">
      <c r="A3811" s="7"/>
      <c r="B3811" s="8"/>
    </row>
    <row r="3812" spans="1:2">
      <c r="A3812" s="7"/>
      <c r="B3812" s="8"/>
    </row>
    <row r="3813" spans="1:2">
      <c r="A3813" s="7"/>
      <c r="B3813" s="8"/>
    </row>
    <row r="3814" spans="1:2">
      <c r="A3814" s="7"/>
      <c r="B3814" s="8"/>
    </row>
    <row r="3815" spans="1:2">
      <c r="A3815" s="7"/>
      <c r="B3815" s="8"/>
    </row>
    <row r="3816" spans="1:2">
      <c r="A3816" s="7"/>
      <c r="B3816" s="8"/>
    </row>
    <row r="3817" spans="1:2">
      <c r="A3817" s="7"/>
      <c r="B3817" s="8"/>
    </row>
    <row r="3818" spans="1:2">
      <c r="A3818" s="7"/>
      <c r="B3818" s="8"/>
    </row>
    <row r="3819" spans="1:2">
      <c r="A3819" s="7"/>
      <c r="B3819" s="8"/>
    </row>
    <row r="3820" spans="1:2">
      <c r="A3820" s="7"/>
      <c r="B3820" s="8"/>
    </row>
    <row r="3821" spans="1:2">
      <c r="A3821" s="7"/>
      <c r="B3821" s="8"/>
    </row>
    <row r="3822" spans="1:2">
      <c r="A3822" s="7"/>
      <c r="B3822" s="8"/>
    </row>
    <row r="3823" spans="1:2">
      <c r="A3823" s="7"/>
      <c r="B3823" s="8"/>
    </row>
    <row r="3824" spans="1:2">
      <c r="A3824" s="7"/>
      <c r="B3824" s="8"/>
    </row>
    <row r="3825" spans="1:2">
      <c r="A3825" s="7"/>
      <c r="B3825" s="8"/>
    </row>
    <row r="3826" spans="1:2">
      <c r="A3826" s="7"/>
      <c r="B3826" s="8"/>
    </row>
    <row r="3827" spans="1:2">
      <c r="A3827" s="7"/>
      <c r="B3827" s="8"/>
    </row>
    <row r="3828" spans="1:2">
      <c r="A3828" s="7"/>
      <c r="B3828" s="8"/>
    </row>
    <row r="3829" spans="1:2">
      <c r="A3829" s="7"/>
      <c r="B3829" s="8"/>
    </row>
    <row r="3830" spans="1:2">
      <c r="A3830" s="7"/>
      <c r="B3830" s="8"/>
    </row>
    <row r="3831" spans="1:2">
      <c r="A3831" s="7"/>
      <c r="B3831" s="8"/>
    </row>
    <row r="3832" spans="1:2">
      <c r="A3832" s="7"/>
      <c r="B3832" s="8"/>
    </row>
    <row r="3833" spans="1:2">
      <c r="A3833" s="7"/>
      <c r="B3833" s="8"/>
    </row>
    <row r="3834" spans="1:2">
      <c r="A3834" s="7"/>
      <c r="B3834" s="8"/>
    </row>
    <row r="3835" spans="1:2">
      <c r="A3835" s="7"/>
      <c r="B3835" s="8"/>
    </row>
    <row r="3836" spans="1:2">
      <c r="A3836" s="7"/>
      <c r="B3836" s="8"/>
    </row>
    <row r="3837" spans="1:2">
      <c r="A3837" s="7"/>
      <c r="B3837" s="8"/>
    </row>
    <row r="3838" spans="1:2">
      <c r="A3838" s="7"/>
      <c r="B3838" s="8"/>
    </row>
    <row r="3839" spans="1:2">
      <c r="A3839" s="7"/>
      <c r="B3839" s="8"/>
    </row>
    <row r="3840" spans="1:2">
      <c r="A3840" s="7"/>
      <c r="B3840" s="8"/>
    </row>
    <row r="3841" spans="1:2">
      <c r="A3841" s="7"/>
      <c r="B3841" s="8"/>
    </row>
    <row r="3842" spans="1:2">
      <c r="A3842" s="7"/>
      <c r="B3842" s="8"/>
    </row>
    <row r="3843" spans="1:2">
      <c r="A3843" s="7"/>
      <c r="B3843" s="8"/>
    </row>
    <row r="3844" spans="1:2">
      <c r="A3844" s="7"/>
      <c r="B3844" s="8"/>
    </row>
    <row r="3845" spans="1:2">
      <c r="A3845" s="7"/>
      <c r="B3845" s="8"/>
    </row>
    <row r="3846" spans="1:2">
      <c r="A3846" s="7"/>
      <c r="B3846" s="8"/>
    </row>
    <row r="3847" spans="1:2">
      <c r="A3847" s="7"/>
      <c r="B3847" s="8"/>
    </row>
    <row r="3848" spans="1:2">
      <c r="A3848" s="7"/>
      <c r="B3848" s="8"/>
    </row>
    <row r="3849" spans="1:2">
      <c r="A3849" s="7"/>
      <c r="B3849" s="8"/>
    </row>
    <row r="3850" spans="1:2">
      <c r="A3850" s="7"/>
      <c r="B3850" s="8"/>
    </row>
    <row r="3851" spans="1:2">
      <c r="A3851" s="7"/>
      <c r="B3851" s="8"/>
    </row>
    <row r="3852" spans="1:2">
      <c r="A3852" s="7"/>
      <c r="B3852" s="8"/>
    </row>
    <row r="3853" spans="1:2">
      <c r="A3853" s="7"/>
      <c r="B3853" s="8"/>
    </row>
    <row r="3854" spans="1:2">
      <c r="A3854" s="7"/>
      <c r="B3854" s="8"/>
    </row>
    <row r="3855" spans="1:2">
      <c r="A3855" s="7"/>
      <c r="B3855" s="8"/>
    </row>
    <row r="3856" spans="1:2">
      <c r="A3856" s="7"/>
      <c r="B3856" s="8"/>
    </row>
    <row r="3857" spans="1:2">
      <c r="A3857" s="7"/>
      <c r="B3857" s="8"/>
    </row>
    <row r="3858" spans="1:2">
      <c r="A3858" s="7"/>
      <c r="B3858" s="8"/>
    </row>
    <row r="3859" spans="1:2">
      <c r="A3859" s="7"/>
      <c r="B3859" s="8"/>
    </row>
    <row r="3860" spans="1:2">
      <c r="A3860" s="7"/>
      <c r="B3860" s="8"/>
    </row>
    <row r="3861" spans="1:2">
      <c r="A3861" s="7"/>
      <c r="B3861" s="8"/>
    </row>
    <row r="3862" spans="1:2">
      <c r="A3862" s="7"/>
      <c r="B3862" s="8"/>
    </row>
    <row r="3863" spans="1:2">
      <c r="A3863" s="7"/>
      <c r="B3863" s="8"/>
    </row>
    <row r="3864" spans="1:2">
      <c r="A3864" s="7"/>
      <c r="B3864" s="8"/>
    </row>
    <row r="3865" spans="1:2">
      <c r="A3865" s="7"/>
      <c r="B3865" s="8"/>
    </row>
    <row r="3866" spans="1:2">
      <c r="A3866" s="7"/>
      <c r="B3866" s="8"/>
    </row>
    <row r="3867" spans="1:2">
      <c r="A3867" s="7"/>
      <c r="B3867" s="8"/>
    </row>
    <row r="3868" spans="1:2">
      <c r="A3868" s="7"/>
      <c r="B3868" s="8"/>
    </row>
    <row r="3869" spans="1:2">
      <c r="A3869" s="7"/>
      <c r="B3869" s="8"/>
    </row>
    <row r="3870" spans="1:2">
      <c r="A3870" s="7"/>
      <c r="B3870" s="8"/>
    </row>
    <row r="3871" spans="1:2">
      <c r="A3871" s="7"/>
      <c r="B3871" s="8"/>
    </row>
    <row r="3872" spans="1:2">
      <c r="A3872" s="7"/>
      <c r="B3872" s="8"/>
    </row>
    <row r="3873" spans="1:2">
      <c r="A3873" s="7"/>
      <c r="B3873" s="8"/>
    </row>
    <row r="3874" spans="1:2">
      <c r="A3874" s="7"/>
      <c r="B3874" s="8"/>
    </row>
    <row r="3875" spans="1:2">
      <c r="A3875" s="7"/>
      <c r="B3875" s="8"/>
    </row>
    <row r="3876" spans="1:2">
      <c r="A3876" s="7"/>
      <c r="B3876" s="8"/>
    </row>
    <row r="3877" spans="1:2">
      <c r="A3877" s="7"/>
      <c r="B3877" s="8"/>
    </row>
    <row r="3878" spans="1:2">
      <c r="A3878" s="7"/>
      <c r="B3878" s="8"/>
    </row>
    <row r="3879" spans="1:2">
      <c r="A3879" s="7"/>
      <c r="B3879" s="8"/>
    </row>
    <row r="3880" spans="1:2">
      <c r="A3880" s="7"/>
      <c r="B3880" s="8"/>
    </row>
    <row r="3881" spans="1:2">
      <c r="A3881" s="7"/>
      <c r="B3881" s="8"/>
    </row>
    <row r="3882" spans="1:2">
      <c r="A3882" s="7"/>
      <c r="B3882" s="8"/>
    </row>
    <row r="3883" spans="1:2">
      <c r="A3883" s="7"/>
      <c r="B3883" s="8"/>
    </row>
    <row r="3884" spans="1:2">
      <c r="A3884" s="7"/>
      <c r="B3884" s="8"/>
    </row>
    <row r="3885" spans="1:2">
      <c r="A3885" s="7"/>
      <c r="B3885" s="8"/>
    </row>
    <row r="3886" spans="1:2">
      <c r="A3886" s="7"/>
      <c r="B3886" s="8"/>
    </row>
    <row r="3887" spans="1:2">
      <c r="A3887" s="7"/>
      <c r="B3887" s="8"/>
    </row>
    <row r="3888" spans="1:2">
      <c r="A3888" s="7"/>
      <c r="B3888" s="8"/>
    </row>
    <row r="3889" spans="1:2">
      <c r="A3889" s="7"/>
      <c r="B3889" s="8"/>
    </row>
    <row r="3890" spans="1:2">
      <c r="A3890" s="7"/>
      <c r="B3890" s="8"/>
    </row>
    <row r="3891" spans="1:2">
      <c r="A3891" s="7"/>
      <c r="B3891" s="8"/>
    </row>
    <row r="3892" spans="1:2">
      <c r="A3892" s="7"/>
      <c r="B3892" s="8"/>
    </row>
    <row r="3893" spans="1:2">
      <c r="A3893" s="7"/>
      <c r="B3893" s="8"/>
    </row>
    <row r="3894" spans="1:2">
      <c r="A3894" s="7"/>
      <c r="B3894" s="8"/>
    </row>
    <row r="3895" spans="1:2">
      <c r="A3895" s="7"/>
      <c r="B3895" s="8"/>
    </row>
    <row r="3896" spans="1:2">
      <c r="A3896" s="7"/>
      <c r="B3896" s="8"/>
    </row>
    <row r="3897" spans="1:2">
      <c r="A3897" s="7"/>
      <c r="B3897" s="8"/>
    </row>
    <row r="3898" spans="1:2">
      <c r="A3898" s="7"/>
      <c r="B3898" s="8"/>
    </row>
    <row r="3899" spans="1:2">
      <c r="A3899" s="7"/>
      <c r="B3899" s="8"/>
    </row>
    <row r="3900" spans="1:2">
      <c r="A3900" s="7"/>
      <c r="B3900" s="8"/>
    </row>
    <row r="3901" spans="1:2">
      <c r="A3901" s="7"/>
      <c r="B3901" s="8"/>
    </row>
    <row r="3902" spans="1:2">
      <c r="A3902" s="7"/>
      <c r="B3902" s="8"/>
    </row>
    <row r="3903" spans="1:2">
      <c r="A3903" s="7"/>
      <c r="B3903" s="8"/>
    </row>
    <row r="3904" spans="1:2">
      <c r="A3904" s="7"/>
      <c r="B3904" s="8"/>
    </row>
    <row r="3905" spans="1:2">
      <c r="A3905" s="7"/>
      <c r="B3905" s="8"/>
    </row>
    <row r="3906" spans="1:2">
      <c r="A3906" s="7"/>
      <c r="B3906" s="8"/>
    </row>
    <row r="3907" spans="1:2">
      <c r="A3907" s="7"/>
      <c r="B3907" s="8"/>
    </row>
    <row r="3908" spans="1:2">
      <c r="A3908" s="7"/>
      <c r="B3908" s="8"/>
    </row>
    <row r="3909" spans="1:2">
      <c r="A3909" s="7"/>
      <c r="B3909" s="8"/>
    </row>
    <row r="3910" spans="1:2">
      <c r="A3910" s="7"/>
      <c r="B3910" s="8"/>
    </row>
    <row r="3911" spans="1:2">
      <c r="A3911" s="7"/>
      <c r="B3911" s="8"/>
    </row>
    <row r="3912" spans="1:2">
      <c r="A3912" s="7"/>
      <c r="B3912" s="8"/>
    </row>
    <row r="3913" spans="1:2">
      <c r="A3913" s="7"/>
      <c r="B3913" s="8"/>
    </row>
    <row r="3914" spans="1:2">
      <c r="A3914" s="7"/>
      <c r="B3914" s="8"/>
    </row>
    <row r="3915" spans="1:2">
      <c r="A3915" s="7"/>
      <c r="B3915" s="8"/>
    </row>
    <row r="3916" spans="1:2">
      <c r="A3916" s="7"/>
      <c r="B3916" s="8"/>
    </row>
    <row r="3917" spans="1:2">
      <c r="A3917" s="7"/>
      <c r="B3917" s="8"/>
    </row>
    <row r="3918" spans="1:2">
      <c r="A3918" s="7"/>
      <c r="B3918" s="8"/>
    </row>
    <row r="3919" spans="1:2">
      <c r="A3919" s="7"/>
      <c r="B3919" s="8"/>
    </row>
    <row r="3920" spans="1:2">
      <c r="A3920" s="7"/>
      <c r="B3920" s="8"/>
    </row>
    <row r="3921" spans="1:2">
      <c r="A3921" s="7"/>
      <c r="B3921" s="8"/>
    </row>
    <row r="3922" spans="1:2">
      <c r="A3922" s="7"/>
      <c r="B3922" s="8"/>
    </row>
    <row r="3923" spans="1:2">
      <c r="A3923" s="7"/>
      <c r="B3923" s="8"/>
    </row>
    <row r="3924" spans="1:2">
      <c r="A3924" s="7"/>
      <c r="B3924" s="8"/>
    </row>
    <row r="3925" spans="1:2">
      <c r="A3925" s="7"/>
      <c r="B3925" s="8"/>
    </row>
    <row r="3926" spans="1:2">
      <c r="A3926" s="7"/>
      <c r="B3926" s="8"/>
    </row>
    <row r="3927" spans="1:2">
      <c r="A3927" s="7"/>
      <c r="B3927" s="8"/>
    </row>
    <row r="3928" spans="1:2">
      <c r="A3928" s="7"/>
      <c r="B3928" s="8"/>
    </row>
    <row r="3929" spans="1:2">
      <c r="A3929" s="7"/>
      <c r="B3929" s="8"/>
    </row>
    <row r="3930" spans="1:2">
      <c r="A3930" s="7"/>
      <c r="B3930" s="8"/>
    </row>
    <row r="3931" spans="1:2">
      <c r="A3931" s="7"/>
      <c r="B3931" s="8"/>
    </row>
    <row r="3932" spans="1:2">
      <c r="A3932" s="7"/>
      <c r="B3932" s="8"/>
    </row>
    <row r="3933" spans="1:2">
      <c r="A3933" s="7"/>
      <c r="B3933" s="8"/>
    </row>
    <row r="3934" spans="1:2">
      <c r="A3934" s="7"/>
      <c r="B3934" s="8"/>
    </row>
    <row r="3935" spans="1:2">
      <c r="A3935" s="7"/>
      <c r="B3935" s="8"/>
    </row>
    <row r="3936" spans="1:2">
      <c r="A3936" s="7"/>
      <c r="B3936" s="8"/>
    </row>
    <row r="3937" spans="1:2">
      <c r="A3937" s="7"/>
      <c r="B3937" s="8"/>
    </row>
    <row r="3938" spans="1:2">
      <c r="A3938" s="7"/>
      <c r="B3938" s="8"/>
    </row>
    <row r="3939" spans="1:2">
      <c r="A3939" s="7"/>
      <c r="B3939" s="8"/>
    </row>
    <row r="3940" spans="1:2">
      <c r="A3940" s="7"/>
      <c r="B3940" s="8"/>
    </row>
    <row r="3941" spans="1:2">
      <c r="A3941" s="7"/>
      <c r="B3941" s="8"/>
    </row>
    <row r="3942" spans="1:2">
      <c r="A3942" s="7"/>
      <c r="B3942" s="8"/>
    </row>
    <row r="3943" spans="1:2">
      <c r="A3943" s="7"/>
      <c r="B3943" s="8"/>
    </row>
    <row r="3944" spans="1:2">
      <c r="A3944" s="7"/>
      <c r="B3944" s="8"/>
    </row>
    <row r="3945" spans="1:2">
      <c r="A3945" s="7"/>
      <c r="B3945" s="8"/>
    </row>
    <row r="3946" spans="1:2">
      <c r="A3946" s="7"/>
      <c r="B3946" s="8"/>
    </row>
    <row r="3947" spans="1:2">
      <c r="A3947" s="7"/>
      <c r="B3947" s="8"/>
    </row>
    <row r="3948" spans="1:2">
      <c r="A3948" s="7"/>
      <c r="B3948" s="8"/>
    </row>
    <row r="3949" spans="1:2">
      <c r="A3949" s="7"/>
      <c r="B3949" s="8"/>
    </row>
    <row r="3950" spans="1:2">
      <c r="A3950" s="7"/>
      <c r="B3950" s="8"/>
    </row>
    <row r="3951" spans="1:2">
      <c r="A3951" s="7"/>
      <c r="B3951" s="8"/>
    </row>
    <row r="3952" spans="1:2">
      <c r="A3952" s="7"/>
      <c r="B3952" s="8"/>
    </row>
    <row r="3953" spans="1:2">
      <c r="A3953" s="7"/>
      <c r="B3953" s="8"/>
    </row>
    <row r="3954" spans="1:2">
      <c r="A3954" s="7"/>
      <c r="B3954" s="8"/>
    </row>
    <row r="3955" spans="1:2">
      <c r="A3955" s="7"/>
      <c r="B3955" s="8"/>
    </row>
    <row r="3956" spans="1:2">
      <c r="A3956" s="7"/>
      <c r="B3956" s="8"/>
    </row>
    <row r="3957" spans="1:2">
      <c r="A3957" s="7"/>
      <c r="B3957" s="8"/>
    </row>
    <row r="3958" spans="1:2">
      <c r="A3958" s="7"/>
      <c r="B3958" s="8"/>
    </row>
    <row r="3959" spans="1:2">
      <c r="A3959" s="7"/>
      <c r="B3959" s="8"/>
    </row>
    <row r="3960" spans="1:2">
      <c r="A3960" s="7"/>
      <c r="B3960" s="8"/>
    </row>
    <row r="3961" spans="1:2">
      <c r="A3961" s="7"/>
      <c r="B3961" s="8"/>
    </row>
    <row r="3962" spans="1:2">
      <c r="A3962" s="7"/>
      <c r="B3962" s="8"/>
    </row>
    <row r="3963" spans="1:2">
      <c r="A3963" s="7"/>
      <c r="B3963" s="8"/>
    </row>
    <row r="3964" spans="1:2">
      <c r="A3964" s="7"/>
      <c r="B3964" s="8"/>
    </row>
    <row r="3965" spans="1:2">
      <c r="A3965" s="7"/>
      <c r="B3965" s="8"/>
    </row>
    <row r="3966" spans="1:2">
      <c r="A3966" s="7"/>
      <c r="B3966" s="8"/>
    </row>
    <row r="3967" spans="1:2">
      <c r="A3967" s="7"/>
      <c r="B3967" s="8"/>
    </row>
    <row r="3968" spans="1:2">
      <c r="A3968" s="7"/>
      <c r="B3968" s="8"/>
    </row>
    <row r="3969" spans="1:2">
      <c r="A3969" s="7"/>
      <c r="B3969" s="8"/>
    </row>
    <row r="3970" spans="1:2">
      <c r="A3970" s="7"/>
      <c r="B3970" s="8"/>
    </row>
    <row r="3971" spans="1:2">
      <c r="A3971" s="7"/>
      <c r="B3971" s="8"/>
    </row>
    <row r="3972" spans="1:2">
      <c r="A3972" s="7"/>
      <c r="B3972" s="8"/>
    </row>
    <row r="3973" spans="1:2">
      <c r="A3973" s="7"/>
      <c r="B3973" s="8"/>
    </row>
    <row r="3974" spans="1:2">
      <c r="A3974" s="7"/>
      <c r="B3974" s="8"/>
    </row>
    <row r="3975" spans="1:2">
      <c r="A3975" s="7"/>
      <c r="B3975" s="8"/>
    </row>
    <row r="3976" spans="1:2">
      <c r="A3976" s="7"/>
      <c r="B3976" s="8"/>
    </row>
    <row r="3977" spans="1:2">
      <c r="A3977" s="7"/>
      <c r="B3977" s="8"/>
    </row>
    <row r="3978" spans="1:2">
      <c r="A3978" s="7"/>
      <c r="B3978" s="8"/>
    </row>
    <row r="3979" spans="1:2">
      <c r="A3979" s="7"/>
      <c r="B3979" s="8"/>
    </row>
    <row r="3980" spans="1:2">
      <c r="A3980" s="7"/>
      <c r="B3980" s="8"/>
    </row>
    <row r="3981" spans="1:2">
      <c r="A3981" s="7"/>
      <c r="B3981" s="8"/>
    </row>
    <row r="3982" spans="1:2">
      <c r="A3982" s="7"/>
      <c r="B3982" s="8"/>
    </row>
    <row r="3983" spans="1:2">
      <c r="A3983" s="7"/>
      <c r="B3983" s="8"/>
    </row>
    <row r="3984" spans="1:2">
      <c r="A3984" s="7"/>
      <c r="B3984" s="8"/>
    </row>
    <row r="3985" spans="1:2">
      <c r="A3985" s="7"/>
      <c r="B3985" s="8"/>
    </row>
    <row r="3986" spans="1:2">
      <c r="A3986" s="7"/>
      <c r="B3986" s="8"/>
    </row>
    <row r="3987" spans="1:2">
      <c r="A3987" s="7"/>
      <c r="B3987" s="8"/>
    </row>
    <row r="3988" spans="1:2">
      <c r="A3988" s="7"/>
      <c r="B3988" s="8"/>
    </row>
    <row r="3989" spans="1:2">
      <c r="A3989" s="7"/>
      <c r="B3989" s="8"/>
    </row>
    <row r="3990" spans="1:2">
      <c r="A3990" s="7"/>
      <c r="B3990" s="8"/>
    </row>
    <row r="3991" spans="1:2">
      <c r="A3991" s="7"/>
      <c r="B3991" s="8"/>
    </row>
    <row r="3992" spans="1:2">
      <c r="A3992" s="7"/>
      <c r="B3992" s="8"/>
    </row>
    <row r="3993" spans="1:2">
      <c r="A3993" s="7"/>
      <c r="B3993" s="8"/>
    </row>
    <row r="3994" spans="1:2">
      <c r="A3994" s="7"/>
      <c r="B3994" s="8"/>
    </row>
    <row r="3995" spans="1:2">
      <c r="A3995" s="7"/>
      <c r="B3995" s="8"/>
    </row>
    <row r="3996" spans="1:2">
      <c r="A3996" s="7"/>
      <c r="B3996" s="8"/>
    </row>
    <row r="3997" spans="1:2">
      <c r="A3997" s="7"/>
      <c r="B3997" s="8"/>
    </row>
    <row r="3998" spans="1:2">
      <c r="A3998" s="7"/>
      <c r="B3998" s="8"/>
    </row>
    <row r="3999" spans="1:2">
      <c r="A3999" s="7"/>
      <c r="B3999" s="8"/>
    </row>
    <row r="4000" spans="1:2">
      <c r="A4000" s="7"/>
      <c r="B4000" s="8"/>
    </row>
    <row r="4001" spans="1:2">
      <c r="A4001" s="7"/>
      <c r="B4001" s="8"/>
    </row>
    <row r="4002" spans="1:2">
      <c r="A4002" s="7"/>
      <c r="B4002" s="8"/>
    </row>
    <row r="4003" spans="1:2">
      <c r="A4003" s="7"/>
      <c r="B4003" s="8"/>
    </row>
    <row r="4004" spans="1:2">
      <c r="A4004" s="7"/>
      <c r="B4004" s="8"/>
    </row>
    <row r="4005" spans="1:2">
      <c r="A4005" s="7"/>
      <c r="B4005" s="8"/>
    </row>
    <row r="4006" spans="1:2">
      <c r="A4006" s="7"/>
      <c r="B4006" s="8"/>
    </row>
    <row r="4007" spans="1:2">
      <c r="A4007" s="7"/>
      <c r="B4007" s="8"/>
    </row>
    <row r="4008" spans="1:2">
      <c r="A4008" s="7"/>
      <c r="B4008" s="8"/>
    </row>
    <row r="4009" spans="1:2">
      <c r="A4009" s="7"/>
      <c r="B4009" s="8"/>
    </row>
    <row r="4010" spans="1:2">
      <c r="A4010" s="7"/>
      <c r="B4010" s="8"/>
    </row>
    <row r="4011" spans="1:2">
      <c r="A4011" s="7"/>
      <c r="B4011" s="8"/>
    </row>
    <row r="4012" spans="1:2">
      <c r="A4012" s="7"/>
      <c r="B4012" s="8"/>
    </row>
    <row r="4013" spans="1:2">
      <c r="A4013" s="7"/>
      <c r="B4013" s="8"/>
    </row>
    <row r="4014" spans="1:2">
      <c r="A4014" s="7"/>
      <c r="B4014" s="8"/>
    </row>
    <row r="4015" spans="1:2">
      <c r="A4015" s="7"/>
      <c r="B4015" s="8"/>
    </row>
    <row r="4016" spans="1:2">
      <c r="A4016" s="7"/>
      <c r="B4016" s="8"/>
    </row>
    <row r="4017" spans="1:2">
      <c r="A4017" s="7"/>
      <c r="B4017" s="8"/>
    </row>
    <row r="4018" spans="1:2">
      <c r="A4018" s="7"/>
      <c r="B4018" s="8"/>
    </row>
    <row r="4019" spans="1:2">
      <c r="A4019" s="7"/>
      <c r="B4019" s="8"/>
    </row>
    <row r="4020" spans="1:2">
      <c r="A4020" s="7"/>
      <c r="B4020" s="8"/>
    </row>
    <row r="4021" spans="1:2">
      <c r="A4021" s="7"/>
      <c r="B4021" s="8"/>
    </row>
    <row r="4022" spans="1:2">
      <c r="A4022" s="7"/>
      <c r="B4022" s="8"/>
    </row>
    <row r="4023" spans="1:2">
      <c r="A4023" s="7"/>
      <c r="B4023" s="8"/>
    </row>
    <row r="4024" spans="1:2">
      <c r="A4024" s="7"/>
      <c r="B4024" s="8"/>
    </row>
    <row r="4025" spans="1:2">
      <c r="A4025" s="7"/>
      <c r="B4025" s="8"/>
    </row>
    <row r="4026" spans="1:2">
      <c r="A4026" s="7"/>
      <c r="B4026" s="8"/>
    </row>
    <row r="4027" spans="1:2">
      <c r="A4027" s="7"/>
      <c r="B4027" s="8"/>
    </row>
    <row r="4028" spans="1:2">
      <c r="A4028" s="7"/>
      <c r="B4028" s="8"/>
    </row>
    <row r="4029" spans="1:2">
      <c r="A4029" s="7"/>
      <c r="B4029" s="8"/>
    </row>
    <row r="4030" spans="1:2">
      <c r="A4030" s="7"/>
      <c r="B4030" s="8"/>
    </row>
    <row r="4031" spans="1:2">
      <c r="A4031" s="7"/>
      <c r="B4031" s="8"/>
    </row>
    <row r="4032" spans="1:2">
      <c r="A4032" s="7"/>
      <c r="B4032" s="8"/>
    </row>
    <row r="4033" spans="1:2">
      <c r="A4033" s="7"/>
      <c r="B4033" s="8"/>
    </row>
    <row r="4034" spans="1:2">
      <c r="A4034" s="7"/>
      <c r="B4034" s="8"/>
    </row>
    <row r="4035" spans="1:2">
      <c r="A4035" s="7"/>
      <c r="B4035" s="8"/>
    </row>
    <row r="4036" spans="1:2">
      <c r="A4036" s="7"/>
      <c r="B4036" s="8"/>
    </row>
    <row r="4037" spans="1:2">
      <c r="A4037" s="7"/>
      <c r="B4037" s="8"/>
    </row>
    <row r="4038" spans="1:2">
      <c r="A4038" s="7"/>
      <c r="B4038" s="8"/>
    </row>
    <row r="4039" spans="1:2">
      <c r="A4039" s="7"/>
      <c r="B4039" s="8"/>
    </row>
    <row r="4040" spans="1:2">
      <c r="A4040" s="7"/>
      <c r="B4040" s="8"/>
    </row>
    <row r="4041" spans="1:2">
      <c r="A4041" s="7"/>
      <c r="B4041" s="8"/>
    </row>
    <row r="4042" spans="1:2">
      <c r="A4042" s="7"/>
      <c r="B4042" s="8"/>
    </row>
    <row r="4043" spans="1:2">
      <c r="A4043" s="7"/>
      <c r="B4043" s="8"/>
    </row>
    <row r="4044" spans="1:2">
      <c r="A4044" s="7"/>
      <c r="B4044" s="8"/>
    </row>
    <row r="4045" spans="1:2">
      <c r="A4045" s="7"/>
      <c r="B4045" s="8"/>
    </row>
    <row r="4046" spans="1:2">
      <c r="A4046" s="7"/>
      <c r="B4046" s="8"/>
    </row>
    <row r="4047" spans="1:2">
      <c r="A4047" s="7"/>
      <c r="B4047" s="8"/>
    </row>
    <row r="4048" spans="1:2">
      <c r="A4048" s="7"/>
      <c r="B4048" s="8"/>
    </row>
    <row r="4049" spans="1:2">
      <c r="A4049" s="7"/>
      <c r="B4049" s="8"/>
    </row>
    <row r="4050" spans="1:2">
      <c r="A4050" s="7"/>
      <c r="B4050" s="8"/>
    </row>
    <row r="4051" spans="1:2">
      <c r="A4051" s="7"/>
      <c r="B4051" s="8"/>
    </row>
    <row r="4052" spans="1:2">
      <c r="A4052" s="7"/>
      <c r="B4052" s="8"/>
    </row>
    <row r="4053" spans="1:2">
      <c r="A4053" s="7"/>
      <c r="B4053" s="8"/>
    </row>
    <row r="4054" spans="1:2">
      <c r="A4054" s="7"/>
      <c r="B4054" s="8"/>
    </row>
    <row r="4055" spans="1:2">
      <c r="A4055" s="7"/>
      <c r="B4055" s="8"/>
    </row>
    <row r="4056" spans="1:2">
      <c r="A4056" s="7"/>
      <c r="B4056" s="8"/>
    </row>
    <row r="4057" spans="1:2">
      <c r="A4057" s="7"/>
      <c r="B4057" s="8"/>
    </row>
    <row r="4058" spans="1:2">
      <c r="A4058" s="7"/>
      <c r="B4058" s="8"/>
    </row>
    <row r="4059" spans="1:2">
      <c r="A4059" s="7"/>
      <c r="B4059" s="8"/>
    </row>
    <row r="4060" spans="1:2">
      <c r="A4060" s="7"/>
      <c r="B4060" s="8"/>
    </row>
    <row r="4061" spans="1:2">
      <c r="A4061" s="7"/>
      <c r="B4061" s="8"/>
    </row>
    <row r="4062" spans="1:2">
      <c r="A4062" s="7"/>
      <c r="B4062" s="8"/>
    </row>
    <row r="4063" spans="1:2">
      <c r="A4063" s="7"/>
      <c r="B4063" s="8"/>
    </row>
    <row r="4064" spans="1:2">
      <c r="A4064" s="7"/>
      <c r="B4064" s="8"/>
    </row>
    <row r="4065" spans="1:2">
      <c r="A4065" s="7"/>
      <c r="B4065" s="8"/>
    </row>
    <row r="4066" spans="1:2">
      <c r="A4066" s="7"/>
      <c r="B4066" s="8"/>
    </row>
    <row r="4067" spans="1:2">
      <c r="A4067" s="7"/>
      <c r="B4067" s="8"/>
    </row>
    <row r="4068" spans="1:2">
      <c r="A4068" s="7"/>
      <c r="B4068" s="8"/>
    </row>
    <row r="4069" spans="1:2">
      <c r="A4069" s="7"/>
      <c r="B4069" s="8"/>
    </row>
    <row r="4070" spans="1:2">
      <c r="A4070" s="7"/>
      <c r="B4070" s="8"/>
    </row>
    <row r="4071" spans="1:2">
      <c r="A4071" s="7"/>
      <c r="B4071" s="8"/>
    </row>
    <row r="4072" spans="1:2">
      <c r="A4072" s="7"/>
      <c r="B4072" s="8"/>
    </row>
    <row r="4073" spans="1:2">
      <c r="A4073" s="7"/>
      <c r="B4073" s="8"/>
    </row>
    <row r="4074" spans="1:2">
      <c r="A4074" s="7"/>
      <c r="B4074" s="8"/>
    </row>
    <row r="4075" spans="1:2">
      <c r="A4075" s="7"/>
      <c r="B4075" s="8"/>
    </row>
    <row r="4076" spans="1:2">
      <c r="A4076" s="7"/>
      <c r="B4076" s="8"/>
    </row>
    <row r="4077" spans="1:2">
      <c r="A4077" s="7"/>
      <c r="B4077" s="8"/>
    </row>
    <row r="4078" spans="1:2">
      <c r="A4078" s="7"/>
      <c r="B4078" s="8"/>
    </row>
    <row r="4079" spans="1:2">
      <c r="A4079" s="7"/>
      <c r="B4079" s="8"/>
    </row>
    <row r="4080" spans="1:2">
      <c r="A4080" s="7"/>
      <c r="B4080" s="8"/>
    </row>
    <row r="4081" spans="1:2">
      <c r="A4081" s="7"/>
      <c r="B4081" s="8"/>
    </row>
    <row r="4082" spans="1:2">
      <c r="A4082" s="7"/>
      <c r="B4082" s="8"/>
    </row>
    <row r="4083" spans="1:2">
      <c r="A4083" s="7"/>
      <c r="B4083" s="8"/>
    </row>
    <row r="4084" spans="1:2">
      <c r="A4084" s="7"/>
      <c r="B4084" s="8"/>
    </row>
    <row r="4085" spans="1:2">
      <c r="A4085" s="7"/>
      <c r="B4085" s="8"/>
    </row>
    <row r="4086" spans="1:2">
      <c r="A4086" s="7"/>
      <c r="B4086" s="8"/>
    </row>
    <row r="4087" spans="1:2">
      <c r="A4087" s="7"/>
      <c r="B4087" s="8"/>
    </row>
    <row r="4088" spans="1:2">
      <c r="A4088" s="7"/>
      <c r="B4088" s="8"/>
    </row>
    <row r="4089" spans="1:2">
      <c r="A4089" s="7"/>
      <c r="B4089" s="8"/>
    </row>
    <row r="4090" spans="1:2">
      <c r="A4090" s="7"/>
      <c r="B4090" s="8"/>
    </row>
    <row r="4091" spans="1:2">
      <c r="A4091" s="7"/>
      <c r="B4091" s="8"/>
    </row>
    <row r="4092" spans="1:2">
      <c r="A4092" s="7"/>
      <c r="B4092" s="8"/>
    </row>
    <row r="4093" spans="1:2">
      <c r="A4093" s="7"/>
      <c r="B4093" s="8"/>
    </row>
    <row r="4094" spans="1:2">
      <c r="A4094" s="7"/>
      <c r="B4094" s="8"/>
    </row>
    <row r="4095" spans="1:2">
      <c r="A4095" s="7"/>
      <c r="B4095" s="8"/>
    </row>
    <row r="4096" spans="1:2">
      <c r="A4096" s="7"/>
      <c r="B4096" s="8"/>
    </row>
    <row r="4097" spans="1:2">
      <c r="A4097" s="7"/>
      <c r="B4097" s="8"/>
    </row>
    <row r="4098" spans="1:2">
      <c r="A4098" s="7"/>
      <c r="B4098" s="8"/>
    </row>
    <row r="4099" spans="1:2">
      <c r="A4099" s="7"/>
      <c r="B4099" s="8"/>
    </row>
    <row r="4100" spans="1:2">
      <c r="A4100" s="7"/>
      <c r="B4100" s="8"/>
    </row>
    <row r="4101" spans="1:2">
      <c r="A4101" s="7"/>
      <c r="B4101" s="8"/>
    </row>
    <row r="4102" spans="1:2">
      <c r="A4102" s="7"/>
      <c r="B4102" s="8"/>
    </row>
    <row r="4103" spans="1:2">
      <c r="A4103" s="7"/>
      <c r="B4103" s="8"/>
    </row>
    <row r="4104" spans="1:2">
      <c r="A4104" s="7"/>
      <c r="B4104" s="8"/>
    </row>
    <row r="4105" spans="1:2">
      <c r="A4105" s="7"/>
      <c r="B4105" s="8"/>
    </row>
    <row r="4106" spans="1:2">
      <c r="A4106" s="7"/>
      <c r="B4106" s="8"/>
    </row>
    <row r="4107" spans="1:2">
      <c r="A4107" s="7"/>
      <c r="B4107" s="8"/>
    </row>
    <row r="4108" spans="1:2">
      <c r="A4108" s="7"/>
      <c r="B4108" s="8"/>
    </row>
    <row r="4109" spans="1:2">
      <c r="A4109" s="7"/>
      <c r="B4109" s="8"/>
    </row>
    <row r="4110" spans="1:2">
      <c r="A4110" s="7"/>
      <c r="B4110" s="8"/>
    </row>
    <row r="4111" spans="1:2">
      <c r="A4111" s="7"/>
      <c r="B4111" s="8"/>
    </row>
    <row r="4112" spans="1:2">
      <c r="A4112" s="7"/>
      <c r="B4112" s="8"/>
    </row>
    <row r="4113" spans="1:2">
      <c r="A4113" s="7"/>
      <c r="B4113" s="8"/>
    </row>
    <row r="4114" spans="1:2">
      <c r="A4114" s="7"/>
      <c r="B4114" s="8"/>
    </row>
    <row r="4115" spans="1:2">
      <c r="A4115" s="7"/>
      <c r="B4115" s="8"/>
    </row>
    <row r="4116" spans="1:2">
      <c r="A4116" s="7"/>
      <c r="B4116" s="8"/>
    </row>
    <row r="4117" spans="1:2">
      <c r="A4117" s="7"/>
      <c r="B4117" s="8"/>
    </row>
    <row r="4118" spans="1:2">
      <c r="A4118" s="7"/>
      <c r="B4118" s="8"/>
    </row>
    <row r="4119" spans="1:2">
      <c r="A4119" s="7"/>
      <c r="B4119" s="8"/>
    </row>
    <row r="4120" spans="1:2">
      <c r="A4120" s="7"/>
      <c r="B4120" s="8"/>
    </row>
    <row r="4121" spans="1:2">
      <c r="A4121" s="7"/>
      <c r="B4121" s="8"/>
    </row>
    <row r="4122" spans="1:2">
      <c r="A4122" s="7"/>
      <c r="B4122" s="8"/>
    </row>
    <row r="4123" spans="1:2">
      <c r="A4123" s="7"/>
      <c r="B4123" s="8"/>
    </row>
    <row r="4124" spans="1:2">
      <c r="A4124" s="7"/>
      <c r="B4124" s="8"/>
    </row>
    <row r="4125" spans="1:2">
      <c r="A4125" s="7"/>
      <c r="B4125" s="8"/>
    </row>
    <row r="4126" spans="1:2">
      <c r="A4126" s="7"/>
      <c r="B4126" s="8"/>
    </row>
    <row r="4127" spans="1:2">
      <c r="A4127" s="7"/>
      <c r="B4127" s="8"/>
    </row>
    <row r="4128" spans="1:2">
      <c r="A4128" s="7"/>
      <c r="B4128" s="8"/>
    </row>
    <row r="4129" spans="1:2">
      <c r="A4129" s="7"/>
      <c r="B4129" s="8"/>
    </row>
    <row r="4130" spans="1:2">
      <c r="A4130" s="7"/>
      <c r="B4130" s="8"/>
    </row>
    <row r="4131" spans="1:2">
      <c r="A4131" s="7"/>
      <c r="B4131" s="8"/>
    </row>
    <row r="4132" spans="1:2">
      <c r="A4132" s="7"/>
      <c r="B4132" s="8"/>
    </row>
    <row r="4133" spans="1:2">
      <c r="A4133" s="7"/>
      <c r="B4133" s="8"/>
    </row>
    <row r="4134" spans="1:2">
      <c r="A4134" s="7"/>
      <c r="B4134" s="8"/>
    </row>
    <row r="4135" spans="1:2">
      <c r="A4135" s="7"/>
      <c r="B4135" s="8"/>
    </row>
    <row r="4136" spans="1:2">
      <c r="A4136" s="7"/>
      <c r="B4136" s="8"/>
    </row>
    <row r="4137" spans="1:2">
      <c r="A4137" s="7"/>
      <c r="B4137" s="8"/>
    </row>
    <row r="4138" spans="1:2">
      <c r="A4138" s="7"/>
      <c r="B4138" s="8"/>
    </row>
    <row r="4139" spans="1:2">
      <c r="A4139" s="7"/>
      <c r="B4139" s="8"/>
    </row>
    <row r="4140" spans="1:2">
      <c r="A4140" s="7"/>
      <c r="B4140" s="8"/>
    </row>
    <row r="4141" spans="1:2">
      <c r="A4141" s="7"/>
      <c r="B4141" s="8"/>
    </row>
    <row r="4142" spans="1:2">
      <c r="A4142" s="7"/>
      <c r="B4142" s="8"/>
    </row>
    <row r="4143" spans="1:2">
      <c r="A4143" s="7"/>
      <c r="B4143" s="8"/>
    </row>
    <row r="4144" spans="1:2">
      <c r="A4144" s="7"/>
      <c r="B4144" s="8"/>
    </row>
    <row r="4145" spans="1:2">
      <c r="A4145" s="7"/>
      <c r="B4145" s="8"/>
    </row>
    <row r="4146" spans="1:2">
      <c r="A4146" s="7"/>
      <c r="B4146" s="8"/>
    </row>
    <row r="4147" spans="1:2">
      <c r="A4147" s="7"/>
      <c r="B4147" s="8"/>
    </row>
    <row r="4148" spans="1:2">
      <c r="A4148" s="7"/>
      <c r="B4148" s="8"/>
    </row>
    <row r="4149" spans="1:2">
      <c r="A4149" s="7"/>
      <c r="B4149" s="8"/>
    </row>
    <row r="4150" spans="1:2">
      <c r="A4150" s="7"/>
      <c r="B4150" s="8"/>
    </row>
    <row r="4151" spans="1:2">
      <c r="A4151" s="7"/>
      <c r="B4151" s="8"/>
    </row>
    <row r="4152" spans="1:2">
      <c r="A4152" s="7"/>
      <c r="B4152" s="8"/>
    </row>
    <row r="4153" spans="1:2">
      <c r="A4153" s="7"/>
      <c r="B4153" s="8"/>
    </row>
    <row r="4154" spans="1:2">
      <c r="A4154" s="7"/>
      <c r="B4154" s="8"/>
    </row>
    <row r="4155" spans="1:2">
      <c r="A4155" s="7"/>
      <c r="B4155" s="8"/>
    </row>
    <row r="4156" spans="1:2">
      <c r="A4156" s="7"/>
      <c r="B4156" s="8"/>
    </row>
    <row r="4157" spans="1:2">
      <c r="A4157" s="7"/>
      <c r="B4157" s="8"/>
    </row>
    <row r="4158" spans="1:2">
      <c r="A4158" s="7"/>
      <c r="B4158" s="8"/>
    </row>
    <row r="4159" spans="1:2">
      <c r="A4159" s="7"/>
      <c r="B4159" s="8"/>
    </row>
    <row r="4160" spans="1:2">
      <c r="A4160" s="7"/>
      <c r="B4160" s="8"/>
    </row>
    <row r="4161" spans="1:2">
      <c r="A4161" s="7"/>
      <c r="B4161" s="8"/>
    </row>
    <row r="4162" spans="1:2">
      <c r="A4162" s="7"/>
      <c r="B4162" s="8"/>
    </row>
    <row r="4163" spans="1:2">
      <c r="A4163" s="7"/>
      <c r="B4163" s="8"/>
    </row>
    <row r="4164" spans="1:2">
      <c r="A4164" s="7"/>
      <c r="B4164" s="8"/>
    </row>
    <row r="4165" spans="1:2">
      <c r="A4165" s="7"/>
      <c r="B4165" s="8"/>
    </row>
    <row r="4166" spans="1:2">
      <c r="A4166" s="7"/>
      <c r="B4166" s="8"/>
    </row>
    <row r="4167" spans="1:2">
      <c r="A4167" s="7"/>
      <c r="B4167" s="8"/>
    </row>
    <row r="4168" spans="1:2">
      <c r="A4168" s="7"/>
      <c r="B4168" s="8"/>
    </row>
    <row r="4169" spans="1:2">
      <c r="A4169" s="7"/>
      <c r="B4169" s="8"/>
    </row>
    <row r="4170" spans="1:2">
      <c r="A4170" s="7"/>
      <c r="B4170" s="8"/>
    </row>
    <row r="4171" spans="1:2">
      <c r="A4171" s="7"/>
      <c r="B4171" s="8"/>
    </row>
    <row r="4172" spans="1:2">
      <c r="A4172" s="7"/>
      <c r="B4172" s="8"/>
    </row>
    <row r="4173" spans="1:2">
      <c r="A4173" s="7"/>
      <c r="B4173" s="8"/>
    </row>
    <row r="4174" spans="1:2">
      <c r="A4174" s="7"/>
      <c r="B4174" s="8"/>
    </row>
    <row r="4175" spans="1:2">
      <c r="A4175" s="7"/>
      <c r="B4175" s="8"/>
    </row>
    <row r="4176" spans="1:2">
      <c r="A4176" s="7"/>
      <c r="B4176" s="8"/>
    </row>
    <row r="4177" spans="1:2">
      <c r="A4177" s="7"/>
      <c r="B4177" s="8"/>
    </row>
    <row r="4178" spans="1:2">
      <c r="A4178" s="7"/>
      <c r="B4178" s="8"/>
    </row>
    <row r="4179" spans="1:2">
      <c r="A4179" s="7"/>
      <c r="B4179" s="8"/>
    </row>
    <row r="4180" spans="1:2">
      <c r="A4180" s="7"/>
      <c r="B4180" s="8"/>
    </row>
    <row r="4181" spans="1:2">
      <c r="A4181" s="7"/>
      <c r="B4181" s="8"/>
    </row>
    <row r="4182" spans="1:2">
      <c r="A4182" s="7"/>
      <c r="B4182" s="8"/>
    </row>
    <row r="4183" spans="1:2">
      <c r="A4183" s="7"/>
      <c r="B4183" s="8"/>
    </row>
    <row r="4184" spans="1:2">
      <c r="A4184" s="7"/>
      <c r="B4184" s="8"/>
    </row>
    <row r="4185" spans="1:2">
      <c r="A4185" s="7"/>
      <c r="B4185" s="8"/>
    </row>
    <row r="4186" spans="1:2">
      <c r="A4186" s="7"/>
      <c r="B4186" s="8"/>
    </row>
    <row r="4187" spans="1:2">
      <c r="A4187" s="7"/>
      <c r="B4187" s="8"/>
    </row>
    <row r="4188" spans="1:2">
      <c r="A4188" s="7"/>
      <c r="B4188" s="8"/>
    </row>
    <row r="4189" spans="1:2">
      <c r="A4189" s="7"/>
      <c r="B4189" s="8"/>
    </row>
    <row r="4190" spans="1:2">
      <c r="A4190" s="7"/>
      <c r="B4190" s="8"/>
    </row>
    <row r="4191" spans="1:2">
      <c r="A4191" s="7"/>
      <c r="B4191" s="8"/>
    </row>
    <row r="4192" spans="1:2">
      <c r="A4192" s="7"/>
      <c r="B4192" s="8"/>
    </row>
    <row r="4193" spans="1:2">
      <c r="A4193" s="7"/>
      <c r="B4193" s="8"/>
    </row>
    <row r="4194" spans="1:2">
      <c r="A4194" s="7"/>
      <c r="B4194" s="8"/>
    </row>
    <row r="4195" spans="1:2">
      <c r="A4195" s="7"/>
      <c r="B4195" s="8"/>
    </row>
    <row r="4196" spans="1:2">
      <c r="A4196" s="7"/>
      <c r="B4196" s="8"/>
    </row>
    <row r="4197" spans="1:2">
      <c r="A4197" s="7"/>
      <c r="B4197" s="8"/>
    </row>
    <row r="4198" spans="1:2">
      <c r="A4198" s="7"/>
      <c r="B4198" s="8"/>
    </row>
    <row r="4199" spans="1:2">
      <c r="A4199" s="7"/>
      <c r="B4199" s="8"/>
    </row>
    <row r="4200" spans="1:2">
      <c r="A4200" s="7"/>
      <c r="B4200" s="8"/>
    </row>
    <row r="4201" spans="1:2">
      <c r="A4201" s="7"/>
      <c r="B4201" s="8"/>
    </row>
    <row r="4202" spans="1:2">
      <c r="A4202" s="7"/>
      <c r="B4202" s="8"/>
    </row>
    <row r="4203" spans="1:2">
      <c r="A4203" s="7"/>
      <c r="B4203" s="8"/>
    </row>
    <row r="4204" spans="1:2">
      <c r="A4204" s="7"/>
      <c r="B4204" s="8"/>
    </row>
    <row r="4205" spans="1:2">
      <c r="A4205" s="7"/>
      <c r="B4205" s="8"/>
    </row>
    <row r="4206" spans="1:2">
      <c r="A4206" s="7"/>
      <c r="B4206" s="8"/>
    </row>
    <row r="4207" spans="1:2">
      <c r="A4207" s="7"/>
      <c r="B4207" s="8"/>
    </row>
    <row r="4208" spans="1:2">
      <c r="A4208" s="7"/>
      <c r="B4208" s="8"/>
    </row>
    <row r="4209" spans="1:2">
      <c r="A4209" s="7"/>
      <c r="B4209" s="8"/>
    </row>
    <row r="4210" spans="1:2">
      <c r="A4210" s="7"/>
      <c r="B4210" s="8"/>
    </row>
    <row r="4211" spans="1:2">
      <c r="A4211" s="7"/>
      <c r="B4211" s="8"/>
    </row>
    <row r="4212" spans="1:2">
      <c r="A4212" s="7"/>
      <c r="B4212" s="8"/>
    </row>
    <row r="4213" spans="1:2">
      <c r="A4213" s="7"/>
      <c r="B4213" s="8"/>
    </row>
    <row r="4214" spans="1:2">
      <c r="A4214" s="7"/>
      <c r="B4214" s="8"/>
    </row>
    <row r="4215" spans="1:2">
      <c r="A4215" s="7"/>
      <c r="B4215" s="8"/>
    </row>
    <row r="4216" spans="1:2">
      <c r="A4216" s="7"/>
      <c r="B4216" s="8"/>
    </row>
    <row r="4217" spans="1:2">
      <c r="A4217" s="7"/>
      <c r="B4217" s="8"/>
    </row>
    <row r="4218" spans="1:2">
      <c r="A4218" s="7"/>
      <c r="B4218" s="8"/>
    </row>
    <row r="4219" spans="1:2">
      <c r="A4219" s="7"/>
      <c r="B4219" s="8"/>
    </row>
    <row r="4220" spans="1:2">
      <c r="A4220" s="7"/>
      <c r="B4220" s="8"/>
    </row>
    <row r="4221" spans="1:2">
      <c r="A4221" s="7"/>
      <c r="B4221" s="8"/>
    </row>
    <row r="4222" spans="1:2">
      <c r="A4222" s="7"/>
      <c r="B4222" s="8"/>
    </row>
    <row r="4223" spans="1:2">
      <c r="A4223" s="7"/>
      <c r="B4223" s="8"/>
    </row>
    <row r="4224" spans="1:2">
      <c r="A4224" s="7"/>
      <c r="B4224" s="8"/>
    </row>
    <row r="4225" spans="1:2">
      <c r="A4225" s="7"/>
      <c r="B4225" s="8"/>
    </row>
    <row r="4226" spans="1:2">
      <c r="A4226" s="7"/>
      <c r="B4226" s="8"/>
    </row>
    <row r="4227" spans="1:2">
      <c r="A4227" s="7"/>
      <c r="B4227" s="8"/>
    </row>
    <row r="4228" spans="1:2">
      <c r="A4228" s="7"/>
      <c r="B4228" s="8"/>
    </row>
    <row r="4229" spans="1:2">
      <c r="A4229" s="7"/>
      <c r="B4229" s="8"/>
    </row>
    <row r="4230" spans="1:2">
      <c r="A4230" s="7"/>
      <c r="B4230" s="8"/>
    </row>
    <row r="4231" spans="1:2">
      <c r="A4231" s="7"/>
      <c r="B4231" s="8"/>
    </row>
    <row r="4232" spans="1:2">
      <c r="A4232" s="7"/>
      <c r="B4232" s="8"/>
    </row>
    <row r="4233" spans="1:2">
      <c r="A4233" s="7"/>
      <c r="B4233" s="8"/>
    </row>
    <row r="4234" spans="1:2">
      <c r="A4234" s="7"/>
      <c r="B4234" s="8"/>
    </row>
    <row r="4235" spans="1:2">
      <c r="A4235" s="7"/>
      <c r="B4235" s="8"/>
    </row>
    <row r="4236" spans="1:2">
      <c r="A4236" s="7"/>
      <c r="B4236" s="8"/>
    </row>
    <row r="4237" spans="1:2">
      <c r="A4237" s="7"/>
      <c r="B4237" s="8"/>
    </row>
    <row r="4238" spans="1:2">
      <c r="A4238" s="7"/>
      <c r="B4238" s="8"/>
    </row>
    <row r="4239" spans="1:2">
      <c r="A4239" s="7"/>
      <c r="B4239" s="8"/>
    </row>
    <row r="4240" spans="1:2">
      <c r="A4240" s="7"/>
      <c r="B4240" s="8"/>
    </row>
    <row r="4241" spans="1:2">
      <c r="A4241" s="7"/>
      <c r="B4241" s="8"/>
    </row>
    <row r="4242" spans="1:2">
      <c r="A4242" s="7"/>
      <c r="B4242" s="8"/>
    </row>
    <row r="4243" spans="1:2">
      <c r="A4243" s="7"/>
      <c r="B4243" s="8"/>
    </row>
    <row r="4244" spans="1:2">
      <c r="A4244" s="7"/>
      <c r="B4244" s="8"/>
    </row>
    <row r="4245" spans="1:2">
      <c r="A4245" s="7"/>
      <c r="B4245" s="8"/>
    </row>
    <row r="4246" spans="1:2">
      <c r="A4246" s="7"/>
      <c r="B4246" s="8"/>
    </row>
    <row r="4247" spans="1:2">
      <c r="A4247" s="7"/>
      <c r="B4247" s="8"/>
    </row>
    <row r="4248" spans="1:2">
      <c r="A4248" s="7"/>
      <c r="B4248" s="8"/>
    </row>
    <row r="4249" spans="1:2">
      <c r="A4249" s="7"/>
      <c r="B4249" s="8"/>
    </row>
    <row r="4250" spans="1:2">
      <c r="A4250" s="7"/>
      <c r="B4250" s="8"/>
    </row>
    <row r="4251" spans="1:2">
      <c r="A4251" s="7"/>
      <c r="B4251" s="8"/>
    </row>
    <row r="4252" spans="1:2">
      <c r="A4252" s="7"/>
      <c r="B4252" s="8"/>
    </row>
    <row r="4253" spans="1:2">
      <c r="A4253" s="7"/>
      <c r="B4253" s="8"/>
    </row>
    <row r="4254" spans="1:2">
      <c r="A4254" s="7"/>
      <c r="B4254" s="8"/>
    </row>
    <row r="4255" spans="1:2">
      <c r="A4255" s="7"/>
      <c r="B4255" s="8"/>
    </row>
    <row r="4256" spans="1:2">
      <c r="A4256" s="7"/>
      <c r="B4256" s="8"/>
    </row>
    <row r="4257" spans="1:2">
      <c r="A4257" s="7"/>
      <c r="B4257" s="8"/>
    </row>
    <row r="4258" spans="1:2">
      <c r="A4258" s="7"/>
      <c r="B4258" s="8"/>
    </row>
    <row r="4259" spans="1:2">
      <c r="A4259" s="7"/>
      <c r="B4259" s="8"/>
    </row>
    <row r="4260" spans="1:2">
      <c r="A4260" s="7"/>
      <c r="B4260" s="8"/>
    </row>
    <row r="4261" spans="1:2">
      <c r="A4261" s="7"/>
      <c r="B4261" s="8"/>
    </row>
    <row r="4262" spans="1:2">
      <c r="A4262" s="7"/>
      <c r="B4262" s="8"/>
    </row>
    <row r="4263" spans="1:2">
      <c r="A4263" s="7"/>
      <c r="B4263" s="8"/>
    </row>
    <row r="4264" spans="1:2">
      <c r="A4264" s="7"/>
      <c r="B4264" s="8"/>
    </row>
    <row r="4265" spans="1:2">
      <c r="A4265" s="7"/>
      <c r="B4265" s="8"/>
    </row>
    <row r="4266" spans="1:2">
      <c r="A4266" s="7"/>
      <c r="B4266" s="8"/>
    </row>
    <row r="4267" spans="1:2">
      <c r="A4267" s="7"/>
      <c r="B4267" s="8"/>
    </row>
    <row r="4268" spans="1:2">
      <c r="A4268" s="7"/>
      <c r="B4268" s="8"/>
    </row>
    <row r="4269" spans="1:2">
      <c r="A4269" s="7"/>
      <c r="B4269" s="8"/>
    </row>
    <row r="4270" spans="1:2">
      <c r="A4270" s="7"/>
      <c r="B4270" s="8"/>
    </row>
    <row r="4271" spans="1:2">
      <c r="A4271" s="7"/>
      <c r="B4271" s="8"/>
    </row>
    <row r="4272" spans="1:2">
      <c r="A4272" s="7"/>
      <c r="B4272" s="8"/>
    </row>
    <row r="4273" spans="1:2">
      <c r="A4273" s="7"/>
      <c r="B4273" s="8"/>
    </row>
    <row r="4274" spans="1:2">
      <c r="A4274" s="7"/>
      <c r="B4274" s="8"/>
    </row>
    <row r="4275" spans="1:2">
      <c r="A4275" s="7"/>
      <c r="B4275" s="8"/>
    </row>
    <row r="4276" spans="1:2">
      <c r="A4276" s="7"/>
      <c r="B4276" s="8"/>
    </row>
    <row r="4277" spans="1:2">
      <c r="A4277" s="7"/>
      <c r="B4277" s="8"/>
    </row>
    <row r="4278" spans="1:2">
      <c r="A4278" s="7"/>
      <c r="B4278" s="8"/>
    </row>
    <row r="4279" spans="1:2">
      <c r="A4279" s="7"/>
      <c r="B4279" s="8"/>
    </row>
    <row r="4280" spans="1:2">
      <c r="A4280" s="7"/>
      <c r="B4280" s="8"/>
    </row>
    <row r="4281" spans="1:2">
      <c r="A4281" s="7"/>
      <c r="B4281" s="8"/>
    </row>
    <row r="4282" spans="1:2">
      <c r="A4282" s="7"/>
      <c r="B4282" s="8"/>
    </row>
    <row r="4283" spans="1:2">
      <c r="A4283" s="7"/>
      <c r="B4283" s="8"/>
    </row>
    <row r="4284" spans="1:2">
      <c r="A4284" s="7"/>
      <c r="B4284" s="8"/>
    </row>
    <row r="4285" spans="1:2">
      <c r="A4285" s="7"/>
      <c r="B4285" s="8"/>
    </row>
    <row r="4286" spans="1:2">
      <c r="A4286" s="7"/>
      <c r="B4286" s="8"/>
    </row>
    <row r="4287" spans="1:2">
      <c r="A4287" s="7"/>
      <c r="B4287" s="8"/>
    </row>
    <row r="4288" spans="1:2">
      <c r="A4288" s="7"/>
      <c r="B4288" s="8"/>
    </row>
    <row r="4289" spans="1:2">
      <c r="A4289" s="7"/>
      <c r="B4289" s="8"/>
    </row>
    <row r="4290" spans="1:2">
      <c r="A4290" s="7"/>
      <c r="B4290" s="8"/>
    </row>
    <row r="4291" spans="1:2">
      <c r="A4291" s="7"/>
      <c r="B4291" s="8"/>
    </row>
    <row r="4292" spans="1:2">
      <c r="A4292" s="7"/>
      <c r="B4292" s="8"/>
    </row>
    <row r="4293" spans="1:2">
      <c r="A4293" s="7"/>
      <c r="B4293" s="8"/>
    </row>
    <row r="4294" spans="1:2">
      <c r="A4294" s="7"/>
      <c r="B4294" s="8"/>
    </row>
    <row r="4295" spans="1:2">
      <c r="A4295" s="7"/>
      <c r="B4295" s="8"/>
    </row>
    <row r="4296" spans="1:2">
      <c r="A4296" s="7"/>
      <c r="B4296" s="8"/>
    </row>
    <row r="4297" spans="1:2">
      <c r="A4297" s="7"/>
      <c r="B4297" s="8"/>
    </row>
    <row r="4298" spans="1:2">
      <c r="A4298" s="7"/>
      <c r="B4298" s="8"/>
    </row>
    <row r="4299" spans="1:2">
      <c r="A4299" s="7"/>
      <c r="B4299" s="8"/>
    </row>
    <row r="4300" spans="1:2">
      <c r="A4300" s="7"/>
      <c r="B4300" s="8"/>
    </row>
    <row r="4301" spans="1:2">
      <c r="A4301" s="7"/>
      <c r="B4301" s="8"/>
    </row>
    <row r="4302" spans="1:2">
      <c r="A4302" s="7"/>
      <c r="B4302" s="8"/>
    </row>
    <row r="4303" spans="1:2">
      <c r="A4303" s="7"/>
      <c r="B4303" s="8"/>
    </row>
    <row r="4304" spans="1:2">
      <c r="A4304" s="7"/>
      <c r="B4304" s="8"/>
    </row>
    <row r="4305" spans="1:2">
      <c r="A4305" s="7"/>
      <c r="B4305" s="8"/>
    </row>
    <row r="4306" spans="1:2">
      <c r="A4306" s="7"/>
      <c r="B4306" s="8"/>
    </row>
    <row r="4307" spans="1:2">
      <c r="A4307" s="7"/>
      <c r="B4307" s="8"/>
    </row>
    <row r="4308" spans="1:2">
      <c r="A4308" s="7"/>
      <c r="B4308" s="8"/>
    </row>
    <row r="4309" spans="1:2">
      <c r="A4309" s="7"/>
      <c r="B4309" s="8"/>
    </row>
    <row r="4310" spans="1:2">
      <c r="A4310" s="7"/>
      <c r="B4310" s="8"/>
    </row>
    <row r="4311" spans="1:2">
      <c r="A4311" s="7"/>
      <c r="B4311" s="8"/>
    </row>
    <row r="4312" spans="1:2">
      <c r="A4312" s="7"/>
      <c r="B4312" s="8"/>
    </row>
    <row r="4313" spans="1:2">
      <c r="A4313" s="7"/>
      <c r="B4313" s="8"/>
    </row>
    <row r="4314" spans="1:2">
      <c r="A4314" s="7"/>
      <c r="B4314" s="8"/>
    </row>
    <row r="4315" spans="1:2">
      <c r="A4315" s="7"/>
      <c r="B4315" s="8"/>
    </row>
    <row r="4316" spans="1:2">
      <c r="A4316" s="7"/>
      <c r="B4316" s="8"/>
    </row>
    <row r="4317" spans="1:2">
      <c r="A4317" s="7"/>
      <c r="B4317" s="8"/>
    </row>
    <row r="4318" spans="1:2">
      <c r="A4318" s="7"/>
      <c r="B4318" s="8"/>
    </row>
    <row r="4319" spans="1:2">
      <c r="A4319" s="7"/>
      <c r="B4319" s="8"/>
    </row>
    <row r="4320" spans="1:2">
      <c r="A4320" s="7"/>
      <c r="B4320" s="8"/>
    </row>
    <row r="4321" spans="1:2">
      <c r="A4321" s="7"/>
      <c r="B4321" s="8"/>
    </row>
    <row r="4322" spans="1:2">
      <c r="A4322" s="7"/>
      <c r="B4322" s="8"/>
    </row>
    <row r="4323" spans="1:2">
      <c r="A4323" s="7"/>
      <c r="B4323" s="8"/>
    </row>
    <row r="4324" spans="1:2">
      <c r="A4324" s="7"/>
      <c r="B4324" s="8"/>
    </row>
    <row r="4325" spans="1:2">
      <c r="A4325" s="7"/>
      <c r="B4325" s="8"/>
    </row>
    <row r="4326" spans="1:2">
      <c r="A4326" s="7"/>
      <c r="B4326" s="8"/>
    </row>
    <row r="4327" spans="1:2">
      <c r="A4327" s="7"/>
      <c r="B4327" s="8"/>
    </row>
    <row r="4328" spans="1:2">
      <c r="A4328" s="7"/>
      <c r="B4328" s="8"/>
    </row>
    <row r="4329" spans="1:2">
      <c r="A4329" s="7"/>
      <c r="B4329" s="8"/>
    </row>
    <row r="4330" spans="1:2">
      <c r="A4330" s="7"/>
      <c r="B4330" s="8"/>
    </row>
    <row r="4331" spans="1:2">
      <c r="A4331" s="7"/>
      <c r="B4331" s="8"/>
    </row>
    <row r="4332" spans="1:2">
      <c r="A4332" s="7"/>
      <c r="B4332" s="8"/>
    </row>
    <row r="4333" spans="1:2">
      <c r="A4333" s="7"/>
      <c r="B4333" s="8"/>
    </row>
    <row r="4334" spans="1:2">
      <c r="A4334" s="7"/>
      <c r="B4334" s="8"/>
    </row>
    <row r="4335" spans="1:2">
      <c r="A4335" s="7"/>
      <c r="B4335" s="8"/>
    </row>
    <row r="4336" spans="1:2">
      <c r="A4336" s="7"/>
      <c r="B4336" s="8"/>
    </row>
    <row r="4337" spans="1:2">
      <c r="A4337" s="7"/>
      <c r="B4337" s="8"/>
    </row>
    <row r="4338" spans="1:2">
      <c r="A4338" s="7"/>
      <c r="B4338" s="8"/>
    </row>
    <row r="4339" spans="1:2">
      <c r="A4339" s="7"/>
      <c r="B4339" s="8"/>
    </row>
    <row r="4340" spans="1:2">
      <c r="A4340" s="7"/>
      <c r="B4340" s="8"/>
    </row>
    <row r="4341" spans="1:2">
      <c r="A4341" s="7"/>
      <c r="B4341" s="8"/>
    </row>
    <row r="4342" spans="1:2">
      <c r="A4342" s="7"/>
      <c r="B4342" s="8"/>
    </row>
    <row r="4343" spans="1:2">
      <c r="A4343" s="7"/>
      <c r="B4343" s="8"/>
    </row>
    <row r="4344" spans="1:2">
      <c r="A4344" s="7"/>
      <c r="B4344" s="8"/>
    </row>
    <row r="4345" spans="1:2">
      <c r="A4345" s="7"/>
      <c r="B4345" s="8"/>
    </row>
    <row r="4346" spans="1:2">
      <c r="A4346" s="7"/>
      <c r="B4346" s="8"/>
    </row>
    <row r="4347" spans="1:2">
      <c r="A4347" s="7"/>
      <c r="B4347" s="8"/>
    </row>
    <row r="4348" spans="1:2">
      <c r="A4348" s="7"/>
      <c r="B4348" s="8"/>
    </row>
    <row r="4349" spans="1:2">
      <c r="A4349" s="7"/>
      <c r="B4349" s="8"/>
    </row>
    <row r="4350" spans="1:2">
      <c r="A4350" s="7"/>
      <c r="B4350" s="8"/>
    </row>
    <row r="4351" spans="1:2">
      <c r="A4351" s="7"/>
      <c r="B4351" s="8"/>
    </row>
    <row r="4352" spans="1:2">
      <c r="A4352" s="7"/>
      <c r="B4352" s="8"/>
    </row>
    <row r="4353" spans="1:2">
      <c r="A4353" s="7"/>
      <c r="B4353" s="8"/>
    </row>
    <row r="4354" spans="1:2">
      <c r="A4354" s="7"/>
      <c r="B4354" s="8"/>
    </row>
    <row r="4355" spans="1:2">
      <c r="A4355" s="7"/>
      <c r="B4355" s="8"/>
    </row>
    <row r="4356" spans="1:2">
      <c r="A4356" s="7"/>
      <c r="B4356" s="8"/>
    </row>
    <row r="4357" spans="1:2">
      <c r="A4357" s="7"/>
      <c r="B4357" s="8"/>
    </row>
    <row r="4358" spans="1:2">
      <c r="A4358" s="7"/>
      <c r="B4358" s="8"/>
    </row>
    <row r="4359" spans="1:2">
      <c r="A4359" s="7"/>
      <c r="B4359" s="8"/>
    </row>
    <row r="4360" spans="1:2">
      <c r="A4360" s="7"/>
      <c r="B4360" s="8"/>
    </row>
    <row r="4361" spans="1:2">
      <c r="A4361" s="7"/>
      <c r="B4361" s="8"/>
    </row>
    <row r="4362" spans="1:2">
      <c r="A4362" s="7"/>
      <c r="B4362" s="8"/>
    </row>
    <row r="4363" spans="1:2">
      <c r="A4363" s="7"/>
      <c r="B4363" s="8"/>
    </row>
    <row r="4364" spans="1:2">
      <c r="A4364" s="7"/>
      <c r="B4364" s="8"/>
    </row>
    <row r="4365" spans="1:2">
      <c r="A4365" s="7"/>
      <c r="B4365" s="8"/>
    </row>
    <row r="4366" spans="1:2">
      <c r="A4366" s="7"/>
      <c r="B4366" s="8"/>
    </row>
    <row r="4367" spans="1:2">
      <c r="A4367" s="7"/>
      <c r="B4367" s="8"/>
    </row>
    <row r="4368" spans="1:2">
      <c r="A4368" s="7"/>
      <c r="B4368" s="8"/>
    </row>
    <row r="4369" spans="1:2">
      <c r="A4369" s="7"/>
      <c r="B4369" s="8"/>
    </row>
    <row r="4370" spans="1:2">
      <c r="A4370" s="7"/>
      <c r="B4370" s="8"/>
    </row>
    <row r="4371" spans="1:2">
      <c r="A4371" s="7"/>
      <c r="B4371" s="8"/>
    </row>
    <row r="4372" spans="1:2">
      <c r="A4372" s="7"/>
      <c r="B4372" s="8"/>
    </row>
    <row r="4373" spans="1:2">
      <c r="A4373" s="7"/>
      <c r="B4373" s="8"/>
    </row>
    <row r="4374" spans="1:2">
      <c r="A4374" s="7"/>
      <c r="B4374" s="8"/>
    </row>
    <row r="4375" spans="1:2">
      <c r="A4375" s="7"/>
      <c r="B4375" s="8"/>
    </row>
    <row r="4376" spans="1:2">
      <c r="A4376" s="7"/>
      <c r="B4376" s="8"/>
    </row>
    <row r="4377" spans="1:2">
      <c r="A4377" s="7"/>
      <c r="B4377" s="8"/>
    </row>
    <row r="4378" spans="1:2">
      <c r="A4378" s="7"/>
      <c r="B4378" s="8"/>
    </row>
    <row r="4379" spans="1:2">
      <c r="A4379" s="7"/>
      <c r="B4379" s="8"/>
    </row>
    <row r="4380" spans="1:2">
      <c r="A4380" s="7"/>
      <c r="B4380" s="8"/>
    </row>
    <row r="4381" spans="1:2">
      <c r="A4381" s="7"/>
      <c r="B4381" s="8"/>
    </row>
    <row r="4382" spans="1:2">
      <c r="A4382" s="7"/>
      <c r="B4382" s="8"/>
    </row>
    <row r="4383" spans="1:2">
      <c r="A4383" s="7"/>
      <c r="B4383" s="8"/>
    </row>
    <row r="4384" spans="1:2">
      <c r="A4384" s="7"/>
      <c r="B4384" s="8"/>
    </row>
    <row r="4385" spans="1:2">
      <c r="A4385" s="7"/>
      <c r="B4385" s="8"/>
    </row>
    <row r="4386" spans="1:2">
      <c r="A4386" s="7"/>
      <c r="B4386" s="8"/>
    </row>
    <row r="4387" spans="1:2">
      <c r="A4387" s="7"/>
      <c r="B4387" s="8"/>
    </row>
    <row r="4388" spans="1:2">
      <c r="A4388" s="7"/>
      <c r="B4388" s="8"/>
    </row>
    <row r="4389" spans="1:2">
      <c r="A4389" s="7"/>
      <c r="B4389" s="8"/>
    </row>
    <row r="4390" spans="1:2">
      <c r="A4390" s="7"/>
      <c r="B4390" s="8"/>
    </row>
    <row r="4391" spans="1:2">
      <c r="A4391" s="7"/>
      <c r="B4391" s="8"/>
    </row>
    <row r="4392" spans="1:2">
      <c r="A4392" s="7"/>
      <c r="B4392" s="8"/>
    </row>
    <row r="4393" spans="1:2">
      <c r="A4393" s="7"/>
      <c r="B4393" s="8"/>
    </row>
    <row r="4394" spans="1:2">
      <c r="A4394" s="7"/>
      <c r="B4394" s="8"/>
    </row>
    <row r="4395" spans="1:2">
      <c r="A4395" s="7"/>
      <c r="B4395" s="8"/>
    </row>
    <row r="4396" spans="1:2">
      <c r="A4396" s="7"/>
      <c r="B4396" s="8"/>
    </row>
    <row r="4397" spans="1:2">
      <c r="A4397" s="7"/>
      <c r="B4397" s="8"/>
    </row>
    <row r="4398" spans="1:2">
      <c r="A4398" s="7"/>
      <c r="B4398" s="8"/>
    </row>
    <row r="4399" spans="1:2">
      <c r="A4399" s="7"/>
      <c r="B4399" s="8"/>
    </row>
    <row r="4400" spans="1:2">
      <c r="A4400" s="7"/>
      <c r="B4400" s="8"/>
    </row>
    <row r="4401" spans="1:2">
      <c r="A4401" s="7"/>
      <c r="B4401" s="8"/>
    </row>
    <row r="4402" spans="1:2">
      <c r="A4402" s="7"/>
      <c r="B4402" s="8"/>
    </row>
    <row r="4403" spans="1:2">
      <c r="A4403" s="7"/>
      <c r="B4403" s="8"/>
    </row>
    <row r="4404" spans="1:2">
      <c r="A4404" s="7"/>
      <c r="B4404" s="8"/>
    </row>
    <row r="4405" spans="1:2">
      <c r="A4405" s="7"/>
      <c r="B4405" s="8"/>
    </row>
    <row r="4406" spans="1:2">
      <c r="A4406" s="7"/>
      <c r="B4406" s="8"/>
    </row>
    <row r="4407" spans="1:2">
      <c r="A4407" s="7"/>
      <c r="B4407" s="8"/>
    </row>
    <row r="4408" spans="1:2">
      <c r="A4408" s="7"/>
      <c r="B4408" s="8"/>
    </row>
    <row r="4409" spans="1:2">
      <c r="A4409" s="7"/>
      <c r="B4409" s="8"/>
    </row>
    <row r="4410" spans="1:2">
      <c r="A4410" s="7"/>
      <c r="B4410" s="8"/>
    </row>
    <row r="4411" spans="1:2">
      <c r="A4411" s="7"/>
      <c r="B4411" s="8"/>
    </row>
    <row r="4412" spans="1:2">
      <c r="A4412" s="7"/>
      <c r="B4412" s="8"/>
    </row>
    <row r="4413" spans="1:2">
      <c r="A4413" s="7"/>
      <c r="B4413" s="8"/>
    </row>
    <row r="4414" spans="1:2">
      <c r="A4414" s="7"/>
      <c r="B4414" s="8"/>
    </row>
    <row r="4415" spans="1:2">
      <c r="A4415" s="7"/>
      <c r="B4415" s="8"/>
    </row>
    <row r="4416" spans="1:2">
      <c r="A4416" s="7"/>
      <c r="B4416" s="8"/>
    </row>
    <row r="4417" spans="1:2">
      <c r="A4417" s="7"/>
      <c r="B4417" s="8"/>
    </row>
    <row r="4418" spans="1:2">
      <c r="A4418" s="7"/>
      <c r="B4418" s="8"/>
    </row>
    <row r="4419" spans="1:2">
      <c r="A4419" s="7"/>
      <c r="B4419" s="8"/>
    </row>
    <row r="4420" spans="1:2">
      <c r="A4420" s="7"/>
      <c r="B4420" s="8"/>
    </row>
    <row r="4421" spans="1:2">
      <c r="A4421" s="7"/>
      <c r="B4421" s="8"/>
    </row>
    <row r="4422" spans="1:2">
      <c r="A4422" s="7"/>
      <c r="B4422" s="8"/>
    </row>
    <row r="4423" spans="1:2">
      <c r="A4423" s="7"/>
      <c r="B4423" s="8"/>
    </row>
    <row r="4424" spans="1:2">
      <c r="A4424" s="7"/>
      <c r="B4424" s="8"/>
    </row>
    <row r="4425" spans="1:2">
      <c r="A4425" s="7"/>
      <c r="B4425" s="8"/>
    </row>
    <row r="4426" spans="1:2">
      <c r="A4426" s="7"/>
      <c r="B4426" s="8"/>
    </row>
    <row r="4427" spans="1:2">
      <c r="A4427" s="7"/>
      <c r="B4427" s="8"/>
    </row>
    <row r="4428" spans="1:2">
      <c r="A4428" s="7"/>
      <c r="B4428" s="8"/>
    </row>
    <row r="4429" spans="1:2">
      <c r="A4429" s="7"/>
      <c r="B4429" s="8"/>
    </row>
    <row r="4430" spans="1:2">
      <c r="A4430" s="7"/>
      <c r="B4430" s="8"/>
    </row>
    <row r="4431" spans="1:2">
      <c r="A4431" s="7"/>
      <c r="B4431" s="8"/>
    </row>
    <row r="4432" spans="1:2">
      <c r="A4432" s="7"/>
      <c r="B4432" s="8"/>
    </row>
    <row r="4433" spans="1:2">
      <c r="A4433" s="7"/>
      <c r="B4433" s="8"/>
    </row>
    <row r="4434" spans="1:2">
      <c r="A4434" s="7"/>
      <c r="B4434" s="8"/>
    </row>
    <row r="4435" spans="1:2">
      <c r="A4435" s="7"/>
      <c r="B4435" s="8"/>
    </row>
    <row r="4436" spans="1:2">
      <c r="A4436" s="7"/>
      <c r="B4436" s="8"/>
    </row>
    <row r="4437" spans="1:2">
      <c r="A4437" s="7"/>
      <c r="B4437" s="8"/>
    </row>
    <row r="4438" spans="1:2">
      <c r="A4438" s="7"/>
      <c r="B4438" s="8"/>
    </row>
    <row r="4439" spans="1:2">
      <c r="A4439" s="7"/>
      <c r="B4439" s="8"/>
    </row>
    <row r="4440" spans="1:2">
      <c r="A4440" s="7"/>
      <c r="B4440" s="8"/>
    </row>
    <row r="4441" spans="1:2">
      <c r="A4441" s="7"/>
      <c r="B4441" s="8"/>
    </row>
    <row r="4442" spans="1:2">
      <c r="A4442" s="7"/>
      <c r="B4442" s="8"/>
    </row>
    <row r="4443" spans="1:2">
      <c r="A4443" s="7"/>
      <c r="B4443" s="8"/>
    </row>
    <row r="4444" spans="1:2">
      <c r="A4444" s="7"/>
      <c r="B4444" s="8"/>
    </row>
    <row r="4445" spans="1:2">
      <c r="A4445" s="7"/>
      <c r="B4445" s="8"/>
    </row>
    <row r="4446" spans="1:2">
      <c r="A4446" s="7"/>
      <c r="B4446" s="8"/>
    </row>
    <row r="4447" spans="1:2">
      <c r="A4447" s="7"/>
      <c r="B4447" s="8"/>
    </row>
    <row r="4448" spans="1:2">
      <c r="A4448" s="7"/>
      <c r="B4448" s="8"/>
    </row>
    <row r="4449" spans="1:2">
      <c r="A4449" s="7"/>
      <c r="B4449" s="8"/>
    </row>
    <row r="4450" spans="1:2">
      <c r="A4450" s="7"/>
      <c r="B4450" s="8"/>
    </row>
    <row r="4451" spans="1:2">
      <c r="A4451" s="7"/>
      <c r="B4451" s="8"/>
    </row>
    <row r="4452" spans="1:2">
      <c r="A4452" s="7"/>
      <c r="B4452" s="8"/>
    </row>
    <row r="4453" spans="1:2">
      <c r="A4453" s="7"/>
      <c r="B4453" s="8"/>
    </row>
    <row r="4454" spans="1:2">
      <c r="A4454" s="7"/>
      <c r="B4454" s="8"/>
    </row>
    <row r="4455" spans="1:2">
      <c r="A4455" s="7"/>
      <c r="B4455" s="8"/>
    </row>
    <row r="4456" spans="1:2">
      <c r="A4456" s="7"/>
      <c r="B4456" s="8"/>
    </row>
    <row r="4457" spans="1:2">
      <c r="A4457" s="7"/>
      <c r="B4457" s="8"/>
    </row>
    <row r="4458" spans="1:2">
      <c r="A4458" s="7"/>
      <c r="B4458" s="8"/>
    </row>
    <row r="4459" spans="1:2">
      <c r="A4459" s="7"/>
      <c r="B4459" s="8"/>
    </row>
    <row r="4460" spans="1:2">
      <c r="A4460" s="7"/>
      <c r="B4460" s="8"/>
    </row>
    <row r="4461" spans="1:2">
      <c r="A4461" s="7"/>
      <c r="B4461" s="8"/>
    </row>
    <row r="4462" spans="1:2">
      <c r="A4462" s="7"/>
      <c r="B4462" s="8"/>
    </row>
    <row r="4463" spans="1:2">
      <c r="A4463" s="7"/>
      <c r="B4463" s="8"/>
    </row>
    <row r="4464" spans="1:2">
      <c r="A4464" s="7"/>
      <c r="B4464" s="8"/>
    </row>
    <row r="4465" spans="1:2">
      <c r="A4465" s="7"/>
      <c r="B4465" s="8"/>
    </row>
    <row r="4466" spans="1:2">
      <c r="A4466" s="7"/>
      <c r="B4466" s="8"/>
    </row>
    <row r="4467" spans="1:2">
      <c r="A4467" s="7"/>
      <c r="B4467" s="8"/>
    </row>
    <row r="4468" spans="1:2">
      <c r="A4468" s="7"/>
      <c r="B4468" s="8"/>
    </row>
    <row r="4469" spans="1:2">
      <c r="A4469" s="7"/>
      <c r="B4469" s="8"/>
    </row>
    <row r="4470" spans="1:2">
      <c r="A4470" s="7"/>
      <c r="B4470" s="8"/>
    </row>
    <row r="4471" spans="1:2">
      <c r="A4471" s="7"/>
      <c r="B4471" s="8"/>
    </row>
    <row r="4472" spans="1:2">
      <c r="A4472" s="7"/>
      <c r="B4472" s="8"/>
    </row>
    <row r="4473" spans="1:2">
      <c r="A4473" s="7"/>
      <c r="B4473" s="8"/>
    </row>
    <row r="4474" spans="1:2">
      <c r="A4474" s="7"/>
      <c r="B4474" s="8"/>
    </row>
    <row r="4475" spans="1:2">
      <c r="A4475" s="7"/>
      <c r="B4475" s="8"/>
    </row>
    <row r="4476" spans="1:2">
      <c r="A4476" s="7"/>
      <c r="B4476" s="8"/>
    </row>
    <row r="4477" spans="1:2">
      <c r="A4477" s="7"/>
      <c r="B4477" s="8"/>
    </row>
    <row r="4478" spans="1:2">
      <c r="A4478" s="7"/>
      <c r="B4478" s="8"/>
    </row>
    <row r="4479" spans="1:2">
      <c r="A4479" s="7"/>
      <c r="B4479" s="8"/>
    </row>
    <row r="4480" spans="1:2">
      <c r="A4480" s="7"/>
      <c r="B4480" s="8"/>
    </row>
    <row r="4481" spans="1:2">
      <c r="A4481" s="7"/>
      <c r="B4481" s="8"/>
    </row>
    <row r="4482" spans="1:2">
      <c r="A4482" s="7"/>
      <c r="B4482" s="8"/>
    </row>
    <row r="4483" spans="1:2">
      <c r="A4483" s="7"/>
      <c r="B4483" s="8"/>
    </row>
    <row r="4484" spans="1:2">
      <c r="A4484" s="7"/>
      <c r="B4484" s="8"/>
    </row>
    <row r="4485" spans="1:2">
      <c r="A4485" s="7"/>
      <c r="B4485" s="8"/>
    </row>
    <row r="4486" spans="1:2">
      <c r="A4486" s="7"/>
      <c r="B4486" s="8"/>
    </row>
    <row r="4487" spans="1:2">
      <c r="A4487" s="7"/>
      <c r="B4487" s="8"/>
    </row>
    <row r="4488" spans="1:2">
      <c r="A4488" s="7"/>
      <c r="B4488" s="8"/>
    </row>
    <row r="4489" spans="1:2">
      <c r="A4489" s="7"/>
      <c r="B4489" s="8"/>
    </row>
    <row r="4490" spans="1:2">
      <c r="A4490" s="7"/>
      <c r="B4490" s="8"/>
    </row>
    <row r="4491" spans="1:2">
      <c r="A4491" s="7"/>
      <c r="B4491" s="8"/>
    </row>
    <row r="4492" spans="1:2">
      <c r="A4492" s="7"/>
      <c r="B4492" s="8"/>
    </row>
    <row r="4493" spans="1:2">
      <c r="A4493" s="7"/>
      <c r="B4493" s="8"/>
    </row>
    <row r="4494" spans="1:2">
      <c r="A4494" s="7"/>
      <c r="B4494" s="8"/>
    </row>
    <row r="4495" spans="1:2">
      <c r="A4495" s="7"/>
      <c r="B4495" s="8"/>
    </row>
    <row r="4496" spans="1:2">
      <c r="A4496" s="7"/>
      <c r="B4496" s="8"/>
    </row>
    <row r="4497" spans="1:2">
      <c r="A4497" s="7"/>
      <c r="B4497" s="8"/>
    </row>
    <row r="4498" spans="1:2">
      <c r="A4498" s="7"/>
      <c r="B4498" s="8"/>
    </row>
    <row r="4499" spans="1:2">
      <c r="A4499" s="7"/>
      <c r="B4499" s="8"/>
    </row>
    <row r="4500" spans="1:2">
      <c r="A4500" s="7"/>
      <c r="B4500" s="8"/>
    </row>
    <row r="4501" spans="1:2">
      <c r="A4501" s="7"/>
      <c r="B4501" s="8"/>
    </row>
    <row r="4502" spans="1:2">
      <c r="A4502" s="7"/>
      <c r="B4502" s="8"/>
    </row>
    <row r="4503" spans="1:2">
      <c r="A4503" s="7"/>
      <c r="B4503" s="8"/>
    </row>
    <row r="4504" spans="1:2">
      <c r="A4504" s="7"/>
      <c r="B4504" s="8"/>
    </row>
    <row r="4505" spans="1:2">
      <c r="A4505" s="7"/>
      <c r="B4505" s="8"/>
    </row>
    <row r="4506" spans="1:2">
      <c r="A4506" s="7"/>
      <c r="B4506" s="8"/>
    </row>
    <row r="4507" spans="1:2">
      <c r="A4507" s="7"/>
      <c r="B4507" s="8"/>
    </row>
    <row r="4508" spans="1:2">
      <c r="A4508" s="7"/>
      <c r="B4508" s="8"/>
    </row>
    <row r="4509" spans="1:2">
      <c r="A4509" s="7"/>
      <c r="B4509" s="8"/>
    </row>
    <row r="4510" spans="1:2">
      <c r="A4510" s="7"/>
      <c r="B4510" s="8"/>
    </row>
    <row r="4511" spans="1:2">
      <c r="A4511" s="7"/>
      <c r="B4511" s="8"/>
    </row>
    <row r="4512" spans="1:2">
      <c r="A4512" s="7"/>
      <c r="B4512" s="8"/>
    </row>
    <row r="4513" spans="1:2">
      <c r="A4513" s="7"/>
      <c r="B4513" s="8"/>
    </row>
    <row r="4514" spans="1:2">
      <c r="A4514" s="7"/>
      <c r="B4514" s="8"/>
    </row>
    <row r="4515" spans="1:2">
      <c r="A4515" s="7"/>
      <c r="B4515" s="8"/>
    </row>
    <row r="4516" spans="1:2">
      <c r="A4516" s="7"/>
      <c r="B4516" s="8"/>
    </row>
    <row r="4517" spans="1:2">
      <c r="A4517" s="7"/>
      <c r="B4517" s="8"/>
    </row>
    <row r="4518" spans="1:2">
      <c r="A4518" s="7"/>
      <c r="B4518" s="8"/>
    </row>
    <row r="4519" spans="1:2">
      <c r="A4519" s="7"/>
      <c r="B4519" s="8"/>
    </row>
    <row r="4520" spans="1:2">
      <c r="A4520" s="7"/>
      <c r="B4520" s="8"/>
    </row>
    <row r="4521" spans="1:2">
      <c r="A4521" s="7"/>
      <c r="B4521" s="8"/>
    </row>
    <row r="4522" spans="1:2">
      <c r="A4522" s="7"/>
      <c r="B4522" s="8"/>
    </row>
    <row r="4523" spans="1:2">
      <c r="A4523" s="7"/>
      <c r="B4523" s="8"/>
    </row>
    <row r="4524" spans="1:2">
      <c r="A4524" s="7"/>
      <c r="B4524" s="8"/>
    </row>
    <row r="4525" spans="1:2">
      <c r="A4525" s="7"/>
      <c r="B4525" s="8"/>
    </row>
    <row r="4526" spans="1:2">
      <c r="A4526" s="7"/>
      <c r="B4526" s="8"/>
    </row>
    <row r="4527" spans="1:2">
      <c r="A4527" s="7"/>
      <c r="B4527" s="8"/>
    </row>
    <row r="4528" spans="1:2">
      <c r="A4528" s="7"/>
      <c r="B4528" s="8"/>
    </row>
    <row r="4529" spans="1:2">
      <c r="A4529" s="7"/>
      <c r="B4529" s="8"/>
    </row>
    <row r="4530" spans="1:2">
      <c r="A4530" s="7"/>
      <c r="B4530" s="8"/>
    </row>
    <row r="4531" spans="1:2">
      <c r="A4531" s="7"/>
      <c r="B4531" s="8"/>
    </row>
    <row r="4532" spans="1:2">
      <c r="A4532" s="7"/>
      <c r="B4532" s="8"/>
    </row>
    <row r="4533" spans="1:2">
      <c r="A4533" s="7"/>
      <c r="B4533" s="8"/>
    </row>
    <row r="4534" spans="1:2">
      <c r="A4534" s="7"/>
      <c r="B4534" s="8"/>
    </row>
    <row r="4535" spans="1:2">
      <c r="A4535" s="7"/>
      <c r="B4535" s="8"/>
    </row>
    <row r="4536" spans="1:2">
      <c r="A4536" s="7"/>
      <c r="B4536" s="8"/>
    </row>
    <row r="4537" spans="1:2">
      <c r="A4537" s="7"/>
      <c r="B4537" s="8"/>
    </row>
    <row r="4538" spans="1:2">
      <c r="A4538" s="7"/>
      <c r="B4538" s="8"/>
    </row>
    <row r="4539" spans="1:2">
      <c r="A4539" s="7"/>
      <c r="B4539" s="8"/>
    </row>
    <row r="4540" spans="1:2">
      <c r="A4540" s="7"/>
      <c r="B4540" s="8"/>
    </row>
    <row r="4541" spans="1:2">
      <c r="A4541" s="7"/>
      <c r="B4541" s="8"/>
    </row>
    <row r="4542" spans="1:2">
      <c r="A4542" s="7"/>
      <c r="B4542" s="8"/>
    </row>
    <row r="4543" spans="1:2">
      <c r="A4543" s="7"/>
      <c r="B4543" s="8"/>
    </row>
    <row r="4544" spans="1:2">
      <c r="A4544" s="7"/>
      <c r="B4544" s="8"/>
    </row>
    <row r="4545" spans="1:2">
      <c r="A4545" s="7"/>
      <c r="B4545" s="8"/>
    </row>
    <row r="4546" spans="1:2">
      <c r="A4546" s="7"/>
      <c r="B4546" s="8"/>
    </row>
    <row r="4547" spans="1:2">
      <c r="A4547" s="7"/>
      <c r="B4547" s="8"/>
    </row>
    <row r="4548" spans="1:2">
      <c r="A4548" s="7"/>
      <c r="B4548" s="8"/>
    </row>
    <row r="4549" spans="1:2">
      <c r="A4549" s="7"/>
      <c r="B4549" s="8"/>
    </row>
    <row r="4550" spans="1:2">
      <c r="A4550" s="7"/>
      <c r="B4550" s="8"/>
    </row>
    <row r="4551" spans="1:2">
      <c r="A4551" s="7"/>
      <c r="B4551" s="8"/>
    </row>
    <row r="4552" spans="1:2">
      <c r="A4552" s="7"/>
      <c r="B4552" s="8"/>
    </row>
    <row r="4553" spans="1:2">
      <c r="A4553" s="7"/>
      <c r="B4553" s="8"/>
    </row>
    <row r="4554" spans="1:2">
      <c r="A4554" s="7"/>
      <c r="B4554" s="8"/>
    </row>
    <row r="4555" spans="1:2">
      <c r="A4555" s="7"/>
      <c r="B4555" s="8"/>
    </row>
    <row r="4556" spans="1:2">
      <c r="A4556" s="7"/>
      <c r="B4556" s="8"/>
    </row>
    <row r="4557" spans="1:2">
      <c r="A4557" s="7"/>
      <c r="B4557" s="8"/>
    </row>
    <row r="4558" spans="1:2">
      <c r="A4558" s="7"/>
      <c r="B4558" s="8"/>
    </row>
    <row r="4559" spans="1:2">
      <c r="A4559" s="7"/>
      <c r="B4559" s="8"/>
    </row>
    <row r="4560" spans="1:2">
      <c r="A4560" s="7"/>
      <c r="B4560" s="8"/>
    </row>
    <row r="4561" spans="1:2">
      <c r="A4561" s="7"/>
      <c r="B4561" s="8"/>
    </row>
    <row r="4562" spans="1:2">
      <c r="A4562" s="7"/>
      <c r="B4562" s="8"/>
    </row>
    <row r="4563" spans="1:2">
      <c r="A4563" s="7"/>
      <c r="B4563" s="8"/>
    </row>
    <row r="4564" spans="1:2">
      <c r="A4564" s="7"/>
      <c r="B4564" s="8"/>
    </row>
    <row r="4565" spans="1:2">
      <c r="A4565" s="7"/>
      <c r="B4565" s="8"/>
    </row>
    <row r="4566" spans="1:2">
      <c r="A4566" s="7"/>
      <c r="B4566" s="8"/>
    </row>
    <row r="4567" spans="1:2">
      <c r="A4567" s="7"/>
      <c r="B4567" s="8"/>
    </row>
    <row r="4568" spans="1:2">
      <c r="A4568" s="7"/>
      <c r="B4568" s="8"/>
    </row>
    <row r="4569" spans="1:2">
      <c r="A4569" s="7"/>
      <c r="B4569" s="8"/>
    </row>
    <row r="4570" spans="1:2">
      <c r="A4570" s="7"/>
      <c r="B4570" s="8"/>
    </row>
    <row r="4571" spans="1:2">
      <c r="A4571" s="7"/>
      <c r="B4571" s="8"/>
    </row>
    <row r="4572" spans="1:2">
      <c r="A4572" s="7"/>
      <c r="B4572" s="8"/>
    </row>
    <row r="4573" spans="1:2">
      <c r="A4573" s="7"/>
      <c r="B4573" s="8"/>
    </row>
    <row r="4574" spans="1:2">
      <c r="A4574" s="7"/>
      <c r="B4574" s="8"/>
    </row>
    <row r="4575" spans="1:2">
      <c r="A4575" s="7"/>
      <c r="B4575" s="8"/>
    </row>
    <row r="4576" spans="1:2">
      <c r="A4576" s="7"/>
      <c r="B4576" s="8"/>
    </row>
    <row r="4577" spans="1:2">
      <c r="A4577" s="7"/>
      <c r="B4577" s="8"/>
    </row>
    <row r="4578" spans="1:2">
      <c r="A4578" s="7"/>
      <c r="B4578" s="8"/>
    </row>
    <row r="4579" spans="1:2">
      <c r="A4579" s="7"/>
      <c r="B4579" s="8"/>
    </row>
    <row r="4580" spans="1:2">
      <c r="A4580" s="7"/>
      <c r="B4580" s="8"/>
    </row>
    <row r="4581" spans="1:2">
      <c r="A4581" s="7"/>
      <c r="B4581" s="8"/>
    </row>
    <row r="4582" spans="1:2">
      <c r="A4582" s="7"/>
      <c r="B4582" s="8"/>
    </row>
    <row r="4583" spans="1:2">
      <c r="A4583" s="7"/>
      <c r="B4583" s="8"/>
    </row>
    <row r="4584" spans="1:2">
      <c r="A4584" s="7"/>
      <c r="B4584" s="8"/>
    </row>
    <row r="4585" spans="1:2">
      <c r="A4585" s="7"/>
      <c r="B4585" s="8"/>
    </row>
    <row r="4586" spans="1:2">
      <c r="A4586" s="7"/>
      <c r="B4586" s="8"/>
    </row>
    <row r="4587" spans="1:2">
      <c r="A4587" s="7"/>
      <c r="B4587" s="8"/>
    </row>
    <row r="4588" spans="1:2">
      <c r="A4588" s="7"/>
      <c r="B4588" s="8"/>
    </row>
    <row r="4589" spans="1:2">
      <c r="A4589" s="7"/>
      <c r="B4589" s="8"/>
    </row>
    <row r="4590" spans="1:2">
      <c r="A4590" s="7"/>
      <c r="B4590" s="8"/>
    </row>
    <row r="4591" spans="1:2">
      <c r="A4591" s="7"/>
      <c r="B4591" s="8"/>
    </row>
    <row r="4592" spans="1:2">
      <c r="A4592" s="7"/>
      <c r="B4592" s="8"/>
    </row>
    <row r="4593" spans="1:2">
      <c r="A4593" s="7"/>
      <c r="B4593" s="8"/>
    </row>
    <row r="4594" spans="1:2">
      <c r="A4594" s="7"/>
      <c r="B4594" s="8"/>
    </row>
    <row r="4595" spans="1:2">
      <c r="A4595" s="7"/>
      <c r="B4595" s="8"/>
    </row>
    <row r="4596" spans="1:2">
      <c r="A4596" s="7"/>
      <c r="B4596" s="8"/>
    </row>
    <row r="4597" spans="1:2">
      <c r="A4597" s="7"/>
      <c r="B4597" s="8"/>
    </row>
    <row r="4598" spans="1:2">
      <c r="A4598" s="7"/>
      <c r="B4598" s="8"/>
    </row>
    <row r="4599" spans="1:2">
      <c r="A4599" s="7"/>
      <c r="B4599" s="8"/>
    </row>
    <row r="4600" spans="1:2">
      <c r="A4600" s="7"/>
      <c r="B4600" s="8"/>
    </row>
    <row r="4601" spans="1:2">
      <c r="A4601" s="7"/>
      <c r="B4601" s="8"/>
    </row>
    <row r="4602" spans="1:2">
      <c r="A4602" s="7"/>
      <c r="B4602" s="8"/>
    </row>
    <row r="4603" spans="1:2">
      <c r="A4603" s="7"/>
      <c r="B4603" s="8"/>
    </row>
    <row r="4604" spans="1:2">
      <c r="A4604" s="7"/>
      <c r="B4604" s="8"/>
    </row>
    <row r="4605" spans="1:2">
      <c r="A4605" s="7"/>
      <c r="B4605" s="8"/>
    </row>
    <row r="4606" spans="1:2">
      <c r="A4606" s="7"/>
      <c r="B4606" s="8"/>
    </row>
    <row r="4607" spans="1:2">
      <c r="A4607" s="7"/>
      <c r="B4607" s="8"/>
    </row>
    <row r="4608" spans="1:2">
      <c r="A4608" s="7"/>
      <c r="B4608" s="8"/>
    </row>
    <row r="4609" spans="1:2">
      <c r="A4609" s="7"/>
      <c r="B4609" s="8"/>
    </row>
    <row r="4610" spans="1:2">
      <c r="A4610" s="7"/>
      <c r="B4610" s="8"/>
    </row>
    <row r="4611" spans="1:2">
      <c r="A4611" s="7"/>
      <c r="B4611" s="8"/>
    </row>
    <row r="4612" spans="1:2">
      <c r="A4612" s="7"/>
      <c r="B4612" s="8"/>
    </row>
    <row r="4613" spans="1:2">
      <c r="A4613" s="7"/>
      <c r="B4613" s="8"/>
    </row>
    <row r="4614" spans="1:2">
      <c r="A4614" s="7"/>
      <c r="B4614" s="8"/>
    </row>
    <row r="4615" spans="1:2">
      <c r="A4615" s="7"/>
      <c r="B4615" s="8"/>
    </row>
    <row r="4616" spans="1:2">
      <c r="A4616" s="7"/>
      <c r="B4616" s="8"/>
    </row>
    <row r="4617" spans="1:2">
      <c r="A4617" s="7"/>
      <c r="B4617" s="8"/>
    </row>
    <row r="4618" spans="1:2">
      <c r="A4618" s="7"/>
      <c r="B4618" s="8"/>
    </row>
    <row r="4619" spans="1:2">
      <c r="A4619" s="7"/>
      <c r="B4619" s="8"/>
    </row>
    <row r="4620" spans="1:2">
      <c r="A4620" s="7"/>
      <c r="B4620" s="8"/>
    </row>
    <row r="4621" spans="1:2">
      <c r="A4621" s="7"/>
      <c r="B4621" s="8"/>
    </row>
    <row r="4622" spans="1:2">
      <c r="A4622" s="7"/>
      <c r="B4622" s="8"/>
    </row>
    <row r="4623" spans="1:2">
      <c r="A4623" s="7"/>
      <c r="B4623" s="8"/>
    </row>
    <row r="4624" spans="1:2">
      <c r="A4624" s="7"/>
      <c r="B4624" s="8"/>
    </row>
    <row r="4625" spans="1:2">
      <c r="A4625" s="7"/>
      <c r="B4625" s="8"/>
    </row>
    <row r="4626" spans="1:2">
      <c r="A4626" s="7"/>
      <c r="B4626" s="8"/>
    </row>
    <row r="4627" spans="1:2">
      <c r="A4627" s="7"/>
      <c r="B4627" s="8"/>
    </row>
    <row r="4628" spans="1:2">
      <c r="A4628" s="7"/>
      <c r="B4628" s="8"/>
    </row>
    <row r="4629" spans="1:2">
      <c r="A4629" s="7"/>
      <c r="B4629" s="8"/>
    </row>
    <row r="4630" spans="1:2">
      <c r="A4630" s="7"/>
      <c r="B4630" s="8"/>
    </row>
    <row r="4631" spans="1:2">
      <c r="A4631" s="7"/>
      <c r="B4631" s="8"/>
    </row>
    <row r="4632" spans="1:2">
      <c r="A4632" s="7"/>
      <c r="B4632" s="8"/>
    </row>
    <row r="4633" spans="1:2">
      <c r="A4633" s="7"/>
      <c r="B4633" s="8"/>
    </row>
    <row r="4634" spans="1:2">
      <c r="A4634" s="7"/>
      <c r="B4634" s="8"/>
    </row>
    <row r="4635" spans="1:2">
      <c r="A4635" s="7"/>
      <c r="B4635" s="8"/>
    </row>
    <row r="4636" spans="1:2">
      <c r="A4636" s="7"/>
      <c r="B4636" s="8"/>
    </row>
    <row r="4637" spans="1:2">
      <c r="A4637" s="7"/>
      <c r="B4637" s="8"/>
    </row>
    <row r="4638" spans="1:2">
      <c r="A4638" s="7"/>
      <c r="B4638" s="8"/>
    </row>
    <row r="4639" spans="1:2">
      <c r="A4639" s="7"/>
      <c r="B4639" s="8"/>
    </row>
    <row r="4640" spans="1:2">
      <c r="A4640" s="7"/>
      <c r="B4640" s="8"/>
    </row>
    <row r="4641" spans="1:2">
      <c r="A4641" s="7"/>
      <c r="B4641" s="8"/>
    </row>
    <row r="4642" spans="1:2">
      <c r="A4642" s="7"/>
      <c r="B4642" s="8"/>
    </row>
    <row r="4643" spans="1:2">
      <c r="A4643" s="7"/>
      <c r="B4643" s="8"/>
    </row>
    <row r="4644" spans="1:2">
      <c r="A4644" s="7"/>
      <c r="B4644" s="8"/>
    </row>
    <row r="4645" spans="1:2">
      <c r="A4645" s="7"/>
      <c r="B4645" s="8"/>
    </row>
    <row r="4646" spans="1:2">
      <c r="A4646" s="7"/>
      <c r="B4646" s="8"/>
    </row>
    <row r="4647" spans="1:2">
      <c r="A4647" s="7"/>
      <c r="B4647" s="8"/>
    </row>
    <row r="4648" spans="1:2">
      <c r="A4648" s="7"/>
      <c r="B4648" s="8"/>
    </row>
    <row r="4649" spans="1:2">
      <c r="A4649" s="7"/>
      <c r="B4649" s="8"/>
    </row>
    <row r="4650" spans="1:2">
      <c r="A4650" s="7"/>
      <c r="B4650" s="8"/>
    </row>
    <row r="4651" spans="1:2">
      <c r="A4651" s="7"/>
      <c r="B4651" s="8"/>
    </row>
    <row r="4652" spans="1:2">
      <c r="A4652" s="7"/>
      <c r="B4652" s="8"/>
    </row>
    <row r="4653" spans="1:2">
      <c r="A4653" s="7"/>
      <c r="B4653" s="8"/>
    </row>
    <row r="4654" spans="1:2">
      <c r="A4654" s="7"/>
      <c r="B4654" s="8"/>
    </row>
    <row r="4655" spans="1:2">
      <c r="A4655" s="7"/>
      <c r="B4655" s="8"/>
    </row>
    <row r="4656" spans="1:2">
      <c r="A4656" s="7"/>
      <c r="B4656" s="8"/>
    </row>
    <row r="4657" spans="1:2">
      <c r="A4657" s="7"/>
      <c r="B4657" s="8"/>
    </row>
    <row r="4658" spans="1:2">
      <c r="A4658" s="7"/>
      <c r="B4658" s="8"/>
    </row>
    <row r="4659" spans="1:2">
      <c r="A4659" s="7"/>
      <c r="B4659" s="8"/>
    </row>
    <row r="4660" spans="1:2">
      <c r="A4660" s="7"/>
      <c r="B4660" s="8"/>
    </row>
    <row r="4661" spans="1:2">
      <c r="A4661" s="7"/>
      <c r="B4661" s="8"/>
    </row>
    <row r="4662" spans="1:2">
      <c r="A4662" s="7"/>
      <c r="B4662" s="8"/>
    </row>
    <row r="4663" spans="1:2">
      <c r="A4663" s="7"/>
      <c r="B4663" s="8"/>
    </row>
    <row r="4664" spans="1:2">
      <c r="A4664" s="7"/>
      <c r="B4664" s="8"/>
    </row>
    <row r="4665" spans="1:2">
      <c r="A4665" s="7"/>
      <c r="B4665" s="8"/>
    </row>
    <row r="4666" spans="1:2">
      <c r="A4666" s="7"/>
      <c r="B4666" s="8"/>
    </row>
    <row r="4667" spans="1:2">
      <c r="A4667" s="7"/>
      <c r="B4667" s="8"/>
    </row>
    <row r="4668" spans="1:2">
      <c r="A4668" s="7"/>
      <c r="B4668" s="8"/>
    </row>
    <row r="4669" spans="1:2">
      <c r="A4669" s="7"/>
      <c r="B4669" s="8"/>
    </row>
    <row r="4670" spans="1:2">
      <c r="A4670" s="7"/>
      <c r="B4670" s="8"/>
    </row>
    <row r="4671" spans="1:2">
      <c r="A4671" s="7"/>
      <c r="B4671" s="8"/>
    </row>
    <row r="4672" spans="1:2">
      <c r="A4672" s="7"/>
      <c r="B4672" s="8"/>
    </row>
    <row r="4673" spans="1:2">
      <c r="A4673" s="7"/>
      <c r="B4673" s="8"/>
    </row>
    <row r="4674" spans="1:2">
      <c r="A4674" s="7"/>
      <c r="B4674" s="8"/>
    </row>
    <row r="4675" spans="1:2">
      <c r="A4675" s="7"/>
      <c r="B4675" s="8"/>
    </row>
    <row r="4676" spans="1:2">
      <c r="A4676" s="7"/>
      <c r="B4676" s="8"/>
    </row>
    <row r="4677" spans="1:2">
      <c r="A4677" s="7"/>
      <c r="B4677" s="8"/>
    </row>
    <row r="4678" spans="1:2">
      <c r="A4678" s="7"/>
      <c r="B4678" s="8"/>
    </row>
    <row r="4679" spans="1:2">
      <c r="A4679" s="7"/>
      <c r="B4679" s="8"/>
    </row>
    <row r="4680" spans="1:2">
      <c r="A4680" s="7"/>
      <c r="B4680" s="8"/>
    </row>
    <row r="4681" spans="1:2">
      <c r="A4681" s="7"/>
      <c r="B4681" s="8"/>
    </row>
    <row r="4682" spans="1:2">
      <c r="A4682" s="7"/>
      <c r="B4682" s="8"/>
    </row>
    <row r="4683" spans="1:2">
      <c r="A4683" s="7"/>
      <c r="B4683" s="8"/>
    </row>
    <row r="4684" spans="1:2">
      <c r="A4684" s="7"/>
      <c r="B4684" s="8"/>
    </row>
    <row r="4685" spans="1:2">
      <c r="A4685" s="7"/>
      <c r="B4685" s="8"/>
    </row>
    <row r="4686" spans="1:2">
      <c r="A4686" s="7"/>
      <c r="B4686" s="8"/>
    </row>
    <row r="4687" spans="1:2">
      <c r="A4687" s="7"/>
      <c r="B4687" s="8"/>
    </row>
    <row r="4688" spans="1:2">
      <c r="A4688" s="7"/>
      <c r="B4688" s="8"/>
    </row>
    <row r="4689" spans="1:2">
      <c r="A4689" s="7"/>
      <c r="B4689" s="8"/>
    </row>
    <row r="4690" spans="1:2">
      <c r="A4690" s="7"/>
      <c r="B4690" s="8"/>
    </row>
    <row r="4691" spans="1:2">
      <c r="A4691" s="7"/>
      <c r="B4691" s="8"/>
    </row>
    <row r="4692" spans="1:2">
      <c r="A4692" s="7"/>
      <c r="B4692" s="8"/>
    </row>
    <row r="4693" spans="1:2">
      <c r="A4693" s="7"/>
      <c r="B4693" s="8"/>
    </row>
    <row r="4694" spans="1:2">
      <c r="A4694" s="7"/>
      <c r="B4694" s="8"/>
    </row>
    <row r="4695" spans="1:2">
      <c r="A4695" s="7"/>
      <c r="B4695" s="8"/>
    </row>
    <row r="4696" spans="1:2">
      <c r="A4696" s="7"/>
      <c r="B4696" s="8"/>
    </row>
    <row r="4697" spans="1:2">
      <c r="A4697" s="7"/>
      <c r="B4697" s="8"/>
    </row>
    <row r="4698" spans="1:2">
      <c r="A4698" s="7"/>
      <c r="B4698" s="8"/>
    </row>
    <row r="4699" spans="1:2">
      <c r="A4699" s="7"/>
      <c r="B4699" s="8"/>
    </row>
    <row r="4700" spans="1:2">
      <c r="A4700" s="7"/>
      <c r="B4700" s="8"/>
    </row>
    <row r="4701" spans="1:2">
      <c r="A4701" s="7"/>
      <c r="B4701" s="8"/>
    </row>
    <row r="4702" spans="1:2">
      <c r="A4702" s="7"/>
      <c r="B4702" s="8"/>
    </row>
    <row r="4703" spans="1:2">
      <c r="A4703" s="7"/>
      <c r="B4703" s="8"/>
    </row>
    <row r="4704" spans="1:2">
      <c r="A4704" s="7"/>
      <c r="B4704" s="8"/>
    </row>
    <row r="4705" spans="1:2">
      <c r="A4705" s="7"/>
      <c r="B4705" s="8"/>
    </row>
    <row r="4706" spans="1:2">
      <c r="A4706" s="7"/>
      <c r="B4706" s="8"/>
    </row>
    <row r="4707" spans="1:2">
      <c r="A4707" s="7"/>
      <c r="B4707" s="8"/>
    </row>
    <row r="4708" spans="1:2">
      <c r="A4708" s="7"/>
      <c r="B4708" s="8"/>
    </row>
    <row r="4709" spans="1:2">
      <c r="A4709" s="7"/>
      <c r="B4709" s="8"/>
    </row>
    <row r="4710" spans="1:2">
      <c r="A4710" s="7"/>
      <c r="B4710" s="8"/>
    </row>
    <row r="4711" spans="1:2">
      <c r="A4711" s="7"/>
      <c r="B4711" s="8"/>
    </row>
    <row r="4712" spans="1:2">
      <c r="A4712" s="7"/>
      <c r="B4712" s="8"/>
    </row>
    <row r="4713" spans="1:2">
      <c r="A4713" s="7"/>
      <c r="B4713" s="8"/>
    </row>
    <row r="4714" spans="1:2">
      <c r="A4714" s="7"/>
      <c r="B4714" s="8"/>
    </row>
    <row r="4715" spans="1:2">
      <c r="A4715" s="7"/>
      <c r="B4715" s="8"/>
    </row>
    <row r="4716" spans="1:2">
      <c r="A4716" s="7"/>
      <c r="B4716" s="8"/>
    </row>
    <row r="4717" spans="1:2">
      <c r="A4717" s="7"/>
      <c r="B4717" s="8"/>
    </row>
    <row r="4718" spans="1:2">
      <c r="A4718" s="7"/>
      <c r="B4718" s="8"/>
    </row>
    <row r="4719" spans="1:2">
      <c r="A4719" s="7"/>
      <c r="B4719" s="8"/>
    </row>
    <row r="4720" spans="1:2">
      <c r="A4720" s="7"/>
      <c r="B4720" s="8"/>
    </row>
    <row r="4721" spans="1:2">
      <c r="A4721" s="7"/>
      <c r="B4721" s="8"/>
    </row>
    <row r="4722" spans="1:2">
      <c r="A4722" s="7"/>
      <c r="B4722" s="8"/>
    </row>
    <row r="4723" spans="1:2">
      <c r="A4723" s="7"/>
      <c r="B4723" s="8"/>
    </row>
    <row r="4724" spans="1:2">
      <c r="A4724" s="7"/>
      <c r="B4724" s="8"/>
    </row>
    <row r="4725" spans="1:2">
      <c r="A4725" s="7"/>
      <c r="B4725" s="8"/>
    </row>
    <row r="4726" spans="1:2">
      <c r="A4726" s="7"/>
      <c r="B4726" s="8"/>
    </row>
    <row r="4727" spans="1:2">
      <c r="A4727" s="7"/>
      <c r="B4727" s="8"/>
    </row>
    <row r="4728" spans="1:2">
      <c r="A4728" s="7"/>
      <c r="B4728" s="8"/>
    </row>
    <row r="4729" spans="1:2">
      <c r="A4729" s="7"/>
      <c r="B4729" s="8"/>
    </row>
    <row r="4730" spans="1:2">
      <c r="A4730" s="7"/>
      <c r="B4730" s="8"/>
    </row>
    <row r="4731" spans="1:2">
      <c r="A4731" s="7"/>
      <c r="B4731" s="8"/>
    </row>
    <row r="4732" spans="1:2">
      <c r="A4732" s="7"/>
      <c r="B4732" s="8"/>
    </row>
    <row r="4733" spans="1:2">
      <c r="A4733" s="7"/>
      <c r="B4733" s="8"/>
    </row>
    <row r="4734" spans="1:2">
      <c r="A4734" s="7"/>
      <c r="B4734" s="8"/>
    </row>
    <row r="4735" spans="1:2">
      <c r="A4735" s="7"/>
      <c r="B4735" s="8"/>
    </row>
    <row r="4736" spans="1:2">
      <c r="A4736" s="7"/>
      <c r="B4736" s="8"/>
    </row>
    <row r="4737" spans="1:2">
      <c r="A4737" s="7"/>
      <c r="B4737" s="8"/>
    </row>
    <row r="4738" spans="1:2">
      <c r="A4738" s="7"/>
      <c r="B4738" s="8"/>
    </row>
    <row r="4739" spans="1:2">
      <c r="A4739" s="7"/>
      <c r="B4739" s="8"/>
    </row>
    <row r="4740" spans="1:2">
      <c r="A4740" s="7"/>
      <c r="B4740" s="8"/>
    </row>
    <row r="4741" spans="1:2">
      <c r="A4741" s="7"/>
      <c r="B4741" s="8"/>
    </row>
    <row r="4742" spans="1:2">
      <c r="A4742" s="7"/>
      <c r="B4742" s="8"/>
    </row>
    <row r="4743" spans="1:2">
      <c r="A4743" s="7"/>
      <c r="B4743" s="8"/>
    </row>
    <row r="4744" spans="1:2">
      <c r="A4744" s="7"/>
      <c r="B4744" s="8"/>
    </row>
    <row r="4745" spans="1:2">
      <c r="A4745" s="7"/>
      <c r="B4745" s="8"/>
    </row>
    <row r="4746" spans="1:2">
      <c r="A4746" s="7"/>
      <c r="B4746" s="8"/>
    </row>
    <row r="4747" spans="1:2">
      <c r="A4747" s="7"/>
      <c r="B4747" s="8"/>
    </row>
    <row r="4748" spans="1:2">
      <c r="A4748" s="7"/>
      <c r="B4748" s="8"/>
    </row>
    <row r="4749" spans="1:2">
      <c r="A4749" s="7"/>
      <c r="B4749" s="8"/>
    </row>
    <row r="4750" spans="1:2">
      <c r="A4750" s="7"/>
      <c r="B4750" s="8"/>
    </row>
    <row r="4751" spans="1:2">
      <c r="A4751" s="7"/>
      <c r="B4751" s="8"/>
    </row>
    <row r="4752" spans="1:2">
      <c r="A4752" s="7"/>
      <c r="B4752" s="8"/>
    </row>
    <row r="4753" spans="1:2">
      <c r="A4753" s="7"/>
      <c r="B4753" s="8"/>
    </row>
    <row r="4754" spans="1:2">
      <c r="A4754" s="7"/>
      <c r="B4754" s="8"/>
    </row>
    <row r="4755" spans="1:2">
      <c r="A4755" s="7"/>
      <c r="B4755" s="8"/>
    </row>
    <row r="4756" spans="1:2">
      <c r="A4756" s="7"/>
      <c r="B4756" s="8"/>
    </row>
    <row r="4757" spans="1:2">
      <c r="A4757" s="7"/>
      <c r="B4757" s="8"/>
    </row>
    <row r="4758" spans="1:2">
      <c r="A4758" s="7"/>
      <c r="B4758" s="8"/>
    </row>
    <row r="4759" spans="1:2">
      <c r="A4759" s="7"/>
      <c r="B4759" s="8"/>
    </row>
    <row r="4760" spans="1:2">
      <c r="A4760" s="7"/>
      <c r="B4760" s="8"/>
    </row>
    <row r="4761" spans="1:2">
      <c r="A4761" s="7"/>
      <c r="B4761" s="8"/>
    </row>
    <row r="4762" spans="1:2">
      <c r="A4762" s="7"/>
      <c r="B4762" s="8"/>
    </row>
    <row r="4763" spans="1:2">
      <c r="A4763" s="7"/>
      <c r="B4763" s="8"/>
    </row>
    <row r="4764" spans="1:2">
      <c r="A4764" s="7"/>
      <c r="B4764" s="8"/>
    </row>
    <row r="4765" spans="1:2">
      <c r="A4765" s="7"/>
      <c r="B4765" s="8"/>
    </row>
    <row r="4766" spans="1:2">
      <c r="A4766" s="7"/>
      <c r="B4766" s="8"/>
    </row>
    <row r="4767" spans="1:2">
      <c r="A4767" s="7"/>
      <c r="B4767" s="8"/>
    </row>
    <row r="4768" spans="1:2">
      <c r="A4768" s="7"/>
      <c r="B4768" s="8"/>
    </row>
    <row r="4769" spans="1:2">
      <c r="A4769" s="7"/>
      <c r="B4769" s="8"/>
    </row>
    <row r="4770" spans="1:2">
      <c r="A4770" s="7"/>
      <c r="B4770" s="8"/>
    </row>
    <row r="4771" spans="1:2">
      <c r="A4771" s="7"/>
      <c r="B4771" s="8"/>
    </row>
    <row r="4772" spans="1:2">
      <c r="A4772" s="7"/>
      <c r="B4772" s="8"/>
    </row>
    <row r="4773" spans="1:2">
      <c r="A4773" s="7"/>
      <c r="B4773" s="8"/>
    </row>
    <row r="4774" spans="1:2">
      <c r="A4774" s="7"/>
      <c r="B4774" s="8"/>
    </row>
    <row r="4775" spans="1:2">
      <c r="A4775" s="7"/>
      <c r="B4775" s="8"/>
    </row>
    <row r="4776" spans="1:2">
      <c r="A4776" s="7"/>
      <c r="B4776" s="8"/>
    </row>
    <row r="4777" spans="1:2">
      <c r="A4777" s="7"/>
      <c r="B4777" s="8"/>
    </row>
    <row r="4778" spans="1:2">
      <c r="A4778" s="7"/>
      <c r="B4778" s="8"/>
    </row>
    <row r="4779" spans="1:2">
      <c r="A4779" s="7"/>
      <c r="B4779" s="8"/>
    </row>
    <row r="4780" spans="1:2">
      <c r="A4780" s="7"/>
      <c r="B4780" s="8"/>
    </row>
    <row r="4781" spans="1:2">
      <c r="A4781" s="7"/>
      <c r="B4781" s="8"/>
    </row>
    <row r="4782" spans="1:2">
      <c r="A4782" s="7"/>
      <c r="B4782" s="8"/>
    </row>
    <row r="4783" spans="1:2">
      <c r="A4783" s="7"/>
      <c r="B4783" s="8"/>
    </row>
    <row r="4784" spans="1:2">
      <c r="A4784" s="7"/>
      <c r="B4784" s="8"/>
    </row>
    <row r="4785" spans="1:2">
      <c r="A4785" s="7"/>
      <c r="B4785" s="8"/>
    </row>
    <row r="4786" spans="1:2">
      <c r="A4786" s="7"/>
      <c r="B4786" s="8"/>
    </row>
    <row r="4787" spans="1:2">
      <c r="A4787" s="7"/>
      <c r="B4787" s="8"/>
    </row>
    <row r="4788" spans="1:2">
      <c r="A4788" s="7"/>
      <c r="B4788" s="8"/>
    </row>
    <row r="4789" spans="1:2">
      <c r="A4789" s="7"/>
      <c r="B4789" s="8"/>
    </row>
    <row r="4790" spans="1:2">
      <c r="A4790" s="7"/>
      <c r="B4790" s="8"/>
    </row>
    <row r="4791" spans="1:2">
      <c r="A4791" s="7"/>
      <c r="B4791" s="8"/>
    </row>
    <row r="4792" spans="1:2">
      <c r="A4792" s="7"/>
      <c r="B4792" s="8"/>
    </row>
    <row r="4793" spans="1:2">
      <c r="A4793" s="7"/>
      <c r="B4793" s="8"/>
    </row>
    <row r="4794" spans="1:2">
      <c r="A4794" s="7"/>
      <c r="B4794" s="8"/>
    </row>
    <row r="4795" spans="1:2">
      <c r="A4795" s="7"/>
      <c r="B4795" s="8"/>
    </row>
    <row r="4796" spans="1:2">
      <c r="A4796" s="7"/>
      <c r="B4796" s="8"/>
    </row>
    <row r="4797" spans="1:2">
      <c r="A4797" s="7"/>
      <c r="B4797" s="8"/>
    </row>
    <row r="4798" spans="1:2">
      <c r="A4798" s="7"/>
      <c r="B4798" s="8"/>
    </row>
    <row r="4799" spans="1:2">
      <c r="A4799" s="7"/>
      <c r="B4799" s="8"/>
    </row>
    <row r="4800" spans="1:2">
      <c r="A4800" s="7"/>
      <c r="B4800" s="8"/>
    </row>
    <row r="4801" spans="1:2">
      <c r="A4801" s="7"/>
      <c r="B4801" s="8"/>
    </row>
    <row r="4802" spans="1:2">
      <c r="A4802" s="7"/>
      <c r="B4802" s="8"/>
    </row>
    <row r="4803" spans="1:2">
      <c r="A4803" s="7"/>
      <c r="B4803" s="8"/>
    </row>
    <row r="4804" spans="1:2">
      <c r="A4804" s="7"/>
      <c r="B4804" s="8"/>
    </row>
    <row r="4805" spans="1:2">
      <c r="A4805" s="7"/>
      <c r="B4805" s="8"/>
    </row>
    <row r="4806" spans="1:2">
      <c r="A4806" s="7"/>
      <c r="B4806" s="8"/>
    </row>
    <row r="4807" spans="1:2">
      <c r="A4807" s="7"/>
      <c r="B4807" s="8"/>
    </row>
    <row r="4808" spans="1:2">
      <c r="A4808" s="7"/>
      <c r="B4808" s="8"/>
    </row>
    <row r="4809" spans="1:2">
      <c r="A4809" s="7"/>
      <c r="B4809" s="8"/>
    </row>
    <row r="4810" spans="1:2">
      <c r="A4810" s="7"/>
      <c r="B4810" s="8"/>
    </row>
    <row r="4811" spans="1:2">
      <c r="A4811" s="7"/>
      <c r="B4811" s="8"/>
    </row>
    <row r="4812" spans="1:2">
      <c r="A4812" s="7"/>
      <c r="B4812" s="8"/>
    </row>
    <row r="4813" spans="1:2">
      <c r="A4813" s="7"/>
      <c r="B4813" s="8"/>
    </row>
    <row r="4814" spans="1:2">
      <c r="A4814" s="7"/>
      <c r="B4814" s="8"/>
    </row>
    <row r="4815" spans="1:2">
      <c r="A4815" s="7"/>
      <c r="B4815" s="8"/>
    </row>
    <row r="4816" spans="1:2">
      <c r="A4816" s="7"/>
      <c r="B4816" s="8"/>
    </row>
    <row r="4817" spans="1:2">
      <c r="A4817" s="7"/>
      <c r="B4817" s="8"/>
    </row>
    <row r="4818" spans="1:2">
      <c r="A4818" s="7"/>
      <c r="B4818" s="8"/>
    </row>
    <row r="4819" spans="1:2">
      <c r="A4819" s="7"/>
      <c r="B4819" s="8"/>
    </row>
    <row r="4820" spans="1:2">
      <c r="A4820" s="7"/>
      <c r="B4820" s="8"/>
    </row>
    <row r="4821" spans="1:2">
      <c r="A4821" s="7"/>
      <c r="B4821" s="8"/>
    </row>
    <row r="4822" spans="1:2">
      <c r="A4822" s="7"/>
      <c r="B4822" s="8"/>
    </row>
    <row r="4823" spans="1:2">
      <c r="A4823" s="7"/>
      <c r="B4823" s="8"/>
    </row>
    <row r="4824" spans="1:2">
      <c r="A4824" s="7"/>
      <c r="B4824" s="8"/>
    </row>
    <row r="4825" spans="1:2">
      <c r="A4825" s="7"/>
      <c r="B4825" s="8"/>
    </row>
    <row r="4826" spans="1:2">
      <c r="A4826" s="7"/>
      <c r="B4826" s="8"/>
    </row>
    <row r="4827" spans="1:2">
      <c r="A4827" s="7"/>
      <c r="B4827" s="8"/>
    </row>
    <row r="4828" spans="1:2">
      <c r="A4828" s="7"/>
      <c r="B4828" s="8"/>
    </row>
    <row r="4829" spans="1:2">
      <c r="A4829" s="7"/>
      <c r="B4829" s="8"/>
    </row>
    <row r="4830" spans="1:2">
      <c r="A4830" s="7"/>
      <c r="B4830" s="8"/>
    </row>
    <row r="4831" spans="1:2">
      <c r="A4831" s="7"/>
      <c r="B4831" s="8"/>
    </row>
    <row r="4832" spans="1:2">
      <c r="A4832" s="7"/>
      <c r="B4832" s="8"/>
    </row>
    <row r="4833" spans="1:2">
      <c r="A4833" s="7"/>
      <c r="B4833" s="8"/>
    </row>
    <row r="4834" spans="1:2">
      <c r="A4834" s="7"/>
      <c r="B4834" s="8"/>
    </row>
    <row r="4835" spans="1:2">
      <c r="A4835" s="7"/>
      <c r="B4835" s="8"/>
    </row>
    <row r="4836" spans="1:2">
      <c r="A4836" s="7"/>
      <c r="B4836" s="8"/>
    </row>
    <row r="4837" spans="1:2">
      <c r="A4837" s="7"/>
      <c r="B4837" s="8"/>
    </row>
    <row r="4838" spans="1:2">
      <c r="A4838" s="7"/>
      <c r="B4838" s="8"/>
    </row>
    <row r="4839" spans="1:2">
      <c r="A4839" s="7"/>
      <c r="B4839" s="8"/>
    </row>
    <row r="4840" spans="1:2">
      <c r="A4840" s="7"/>
      <c r="B4840" s="8"/>
    </row>
    <row r="4841" spans="1:2">
      <c r="A4841" s="7"/>
      <c r="B4841" s="8"/>
    </row>
    <row r="4842" spans="1:2">
      <c r="A4842" s="7"/>
      <c r="B4842" s="8"/>
    </row>
    <row r="4843" spans="1:2">
      <c r="A4843" s="7"/>
      <c r="B4843" s="8"/>
    </row>
    <row r="4844" spans="1:2">
      <c r="A4844" s="7"/>
      <c r="B4844" s="8"/>
    </row>
    <row r="4845" spans="1:2">
      <c r="A4845" s="7"/>
      <c r="B4845" s="8"/>
    </row>
    <row r="4846" spans="1:2">
      <c r="A4846" s="7"/>
      <c r="B4846" s="8"/>
    </row>
    <row r="4847" spans="1:2">
      <c r="A4847" s="7"/>
      <c r="B4847" s="8"/>
    </row>
    <row r="4848" spans="1:2">
      <c r="A4848" s="7"/>
      <c r="B4848" s="8"/>
    </row>
    <row r="4849" spans="1:2">
      <c r="A4849" s="7"/>
      <c r="B4849" s="8"/>
    </row>
    <row r="4850" spans="1:2">
      <c r="A4850" s="7"/>
      <c r="B4850" s="8"/>
    </row>
    <row r="4851" spans="1:2">
      <c r="A4851" s="7"/>
      <c r="B4851" s="8"/>
    </row>
    <row r="4852" spans="1:2">
      <c r="A4852" s="7"/>
      <c r="B4852" s="8"/>
    </row>
    <row r="4853" spans="1:2">
      <c r="A4853" s="7"/>
      <c r="B4853" s="8"/>
    </row>
    <row r="4854" spans="1:2">
      <c r="A4854" s="7"/>
      <c r="B4854" s="8"/>
    </row>
    <row r="4855" spans="1:2">
      <c r="A4855" s="7"/>
      <c r="B4855" s="8"/>
    </row>
    <row r="4856" spans="1:2">
      <c r="A4856" s="7"/>
      <c r="B4856" s="8"/>
    </row>
    <row r="4857" spans="1:2">
      <c r="A4857" s="7"/>
      <c r="B4857" s="8"/>
    </row>
    <row r="4858" spans="1:2">
      <c r="A4858" s="7"/>
      <c r="B4858" s="8"/>
    </row>
    <row r="4859" spans="1:2">
      <c r="A4859" s="7"/>
      <c r="B4859" s="8"/>
    </row>
    <row r="4860" spans="1:2">
      <c r="A4860" s="7"/>
      <c r="B4860" s="8"/>
    </row>
    <row r="4861" spans="1:2">
      <c r="A4861" s="7"/>
      <c r="B4861" s="8"/>
    </row>
    <row r="4862" spans="1:2">
      <c r="A4862" s="7"/>
      <c r="B4862" s="8"/>
    </row>
    <row r="4863" spans="1:2">
      <c r="A4863" s="7"/>
      <c r="B4863" s="8"/>
    </row>
    <row r="4864" spans="1:2">
      <c r="A4864" s="7"/>
      <c r="B4864" s="8"/>
    </row>
    <row r="4865" spans="1:2">
      <c r="A4865" s="7"/>
      <c r="B4865" s="8"/>
    </row>
    <row r="4866" spans="1:2">
      <c r="A4866" s="7"/>
      <c r="B4866" s="8"/>
    </row>
    <row r="4867" spans="1:2">
      <c r="A4867" s="7"/>
      <c r="B4867" s="8"/>
    </row>
    <row r="4868" spans="1:2">
      <c r="A4868" s="7"/>
      <c r="B4868" s="8"/>
    </row>
    <row r="4869" spans="1:2">
      <c r="A4869" s="7"/>
      <c r="B4869" s="8"/>
    </row>
    <row r="4870" spans="1:2">
      <c r="A4870" s="7"/>
      <c r="B4870" s="8"/>
    </row>
    <row r="4871" spans="1:2">
      <c r="A4871" s="7"/>
      <c r="B4871" s="8"/>
    </row>
    <row r="4872" spans="1:2">
      <c r="A4872" s="7"/>
      <c r="B4872" s="8"/>
    </row>
    <row r="4873" spans="1:2">
      <c r="A4873" s="7"/>
      <c r="B4873" s="8"/>
    </row>
    <row r="4874" spans="1:2">
      <c r="A4874" s="7"/>
      <c r="B4874" s="8"/>
    </row>
    <row r="4875" spans="1:2">
      <c r="A4875" s="7"/>
      <c r="B4875" s="8"/>
    </row>
    <row r="4876" spans="1:2">
      <c r="A4876" s="7"/>
      <c r="B4876" s="8"/>
    </row>
    <row r="4877" spans="1:2">
      <c r="A4877" s="7"/>
      <c r="B4877" s="8"/>
    </row>
    <row r="4878" spans="1:2">
      <c r="A4878" s="7"/>
      <c r="B4878" s="8"/>
    </row>
    <row r="4879" spans="1:2">
      <c r="A4879" s="7"/>
      <c r="B4879" s="8"/>
    </row>
    <row r="4880" spans="1:2">
      <c r="A4880" s="7"/>
      <c r="B4880" s="8"/>
    </row>
    <row r="4881" spans="1:2">
      <c r="A4881" s="7"/>
      <c r="B4881" s="8"/>
    </row>
    <row r="4882" spans="1:2">
      <c r="A4882" s="7"/>
      <c r="B4882" s="8"/>
    </row>
    <row r="4883" spans="1:2">
      <c r="A4883" s="7"/>
      <c r="B4883" s="8"/>
    </row>
    <row r="4884" spans="1:2">
      <c r="A4884" s="7"/>
      <c r="B4884" s="8"/>
    </row>
    <row r="4885" spans="1:2">
      <c r="A4885" s="7"/>
      <c r="B4885" s="8"/>
    </row>
    <row r="4886" spans="1:2">
      <c r="A4886" s="7"/>
      <c r="B4886" s="8"/>
    </row>
    <row r="4887" spans="1:2">
      <c r="A4887" s="7"/>
      <c r="B4887" s="8"/>
    </row>
    <row r="4888" spans="1:2">
      <c r="A4888" s="7"/>
      <c r="B4888" s="8"/>
    </row>
    <row r="4889" spans="1:2">
      <c r="A4889" s="7"/>
      <c r="B4889" s="8"/>
    </row>
    <row r="4890" spans="1:2">
      <c r="A4890" s="7"/>
      <c r="B4890" s="8"/>
    </row>
    <row r="4891" spans="1:2">
      <c r="A4891" s="7"/>
      <c r="B4891" s="8"/>
    </row>
    <row r="4892" spans="1:2">
      <c r="A4892" s="7"/>
      <c r="B4892" s="8"/>
    </row>
    <row r="4893" spans="1:2">
      <c r="A4893" s="7"/>
      <c r="B4893" s="8"/>
    </row>
    <row r="4894" spans="1:2">
      <c r="A4894" s="7"/>
      <c r="B4894" s="8"/>
    </row>
    <row r="4895" spans="1:2">
      <c r="A4895" s="7"/>
      <c r="B4895" s="8"/>
    </row>
    <row r="4896" spans="1:2">
      <c r="A4896" s="7"/>
      <c r="B4896" s="8"/>
    </row>
    <row r="4897" spans="1:2">
      <c r="A4897" s="7"/>
      <c r="B4897" s="8"/>
    </row>
    <row r="4898" spans="1:2">
      <c r="A4898" s="7"/>
      <c r="B4898" s="8"/>
    </row>
    <row r="4899" spans="1:2">
      <c r="A4899" s="7"/>
      <c r="B4899" s="8"/>
    </row>
    <row r="4900" spans="1:2">
      <c r="A4900" s="7"/>
      <c r="B4900" s="8"/>
    </row>
    <row r="4901" spans="1:2">
      <c r="A4901" s="7"/>
      <c r="B4901" s="8"/>
    </row>
    <row r="4902" spans="1:2">
      <c r="A4902" s="7"/>
      <c r="B4902" s="8"/>
    </row>
    <row r="4903" spans="1:2">
      <c r="A4903" s="7"/>
      <c r="B4903" s="8"/>
    </row>
    <row r="4904" spans="1:2">
      <c r="A4904" s="7"/>
      <c r="B4904" s="8"/>
    </row>
    <row r="4905" spans="1:2">
      <c r="A4905" s="7"/>
      <c r="B4905" s="8"/>
    </row>
    <row r="4906" spans="1:2">
      <c r="A4906" s="7"/>
      <c r="B4906" s="8"/>
    </row>
    <row r="4907" spans="1:2">
      <c r="A4907" s="7"/>
      <c r="B4907" s="8"/>
    </row>
    <row r="4908" spans="1:2">
      <c r="A4908" s="7"/>
      <c r="B4908" s="8"/>
    </row>
    <row r="4909" spans="1:2">
      <c r="A4909" s="7"/>
      <c r="B4909" s="8"/>
    </row>
    <row r="4910" spans="1:2">
      <c r="A4910" s="7"/>
      <c r="B4910" s="8"/>
    </row>
    <row r="4911" spans="1:2">
      <c r="A4911" s="7"/>
      <c r="B4911" s="8"/>
    </row>
    <row r="4912" spans="1:2">
      <c r="A4912" s="7"/>
      <c r="B4912" s="8"/>
    </row>
    <row r="4913" spans="1:2">
      <c r="A4913" s="7"/>
      <c r="B4913" s="8"/>
    </row>
    <row r="4914" spans="1:2">
      <c r="A4914" s="7"/>
      <c r="B4914" s="8"/>
    </row>
    <row r="4915" spans="1:2">
      <c r="A4915" s="7"/>
      <c r="B4915" s="8"/>
    </row>
    <row r="4916" spans="1:2">
      <c r="A4916" s="7"/>
      <c r="B4916" s="8"/>
    </row>
    <row r="4917" spans="1:2">
      <c r="A4917" s="7"/>
      <c r="B4917" s="8"/>
    </row>
    <row r="4918" spans="1:2">
      <c r="A4918" s="7"/>
      <c r="B4918" s="8"/>
    </row>
    <row r="4919" spans="1:2">
      <c r="A4919" s="7"/>
      <c r="B4919" s="8"/>
    </row>
    <row r="4920" spans="1:2">
      <c r="A4920" s="7"/>
      <c r="B4920" s="8"/>
    </row>
    <row r="4921" spans="1:2">
      <c r="A4921" s="7"/>
      <c r="B4921" s="8"/>
    </row>
    <row r="4922" spans="1:2">
      <c r="A4922" s="7"/>
      <c r="B4922" s="8"/>
    </row>
    <row r="4923" spans="1:2">
      <c r="A4923" s="7"/>
      <c r="B4923" s="8"/>
    </row>
    <row r="4924" spans="1:2">
      <c r="A4924" s="7"/>
      <c r="B4924" s="8"/>
    </row>
    <row r="4925" spans="1:2">
      <c r="A4925" s="7"/>
      <c r="B4925" s="8"/>
    </row>
    <row r="4926" spans="1:2">
      <c r="A4926" s="7"/>
      <c r="B4926" s="8"/>
    </row>
    <row r="4927" spans="1:2">
      <c r="A4927" s="7"/>
      <c r="B4927" s="8"/>
    </row>
    <row r="4928" spans="1:2">
      <c r="A4928" s="7"/>
      <c r="B4928" s="8"/>
    </row>
    <row r="4929" spans="1:2">
      <c r="A4929" s="7"/>
      <c r="B4929" s="8"/>
    </row>
    <row r="4930" spans="1:2">
      <c r="A4930" s="7"/>
      <c r="B4930" s="8"/>
    </row>
    <row r="4931" spans="1:2">
      <c r="A4931" s="7"/>
      <c r="B4931" s="8"/>
    </row>
    <row r="4932" spans="1:2">
      <c r="A4932" s="7"/>
      <c r="B4932" s="8"/>
    </row>
    <row r="4933" spans="1:2">
      <c r="A4933" s="7"/>
      <c r="B4933" s="8"/>
    </row>
    <row r="4934" spans="1:2">
      <c r="A4934" s="7"/>
      <c r="B4934" s="8"/>
    </row>
    <row r="4935" spans="1:2">
      <c r="A4935" s="7"/>
      <c r="B4935" s="8"/>
    </row>
    <row r="4936" spans="1:2">
      <c r="A4936" s="7"/>
      <c r="B4936" s="8"/>
    </row>
    <row r="4937" spans="1:2">
      <c r="A4937" s="7"/>
      <c r="B4937" s="8"/>
    </row>
    <row r="4938" spans="1:2">
      <c r="A4938" s="7"/>
      <c r="B4938" s="8"/>
    </row>
    <row r="4939" spans="1:2">
      <c r="A4939" s="7"/>
      <c r="B4939" s="8"/>
    </row>
    <row r="4940" spans="1:2">
      <c r="A4940" s="7"/>
      <c r="B4940" s="8"/>
    </row>
    <row r="4941" spans="1:2">
      <c r="A4941" s="7"/>
      <c r="B4941" s="8"/>
    </row>
    <row r="4942" spans="1:2">
      <c r="A4942" s="7"/>
      <c r="B4942" s="8"/>
    </row>
    <row r="4943" spans="1:2">
      <c r="A4943" s="7"/>
      <c r="B4943" s="8"/>
    </row>
    <row r="4944" spans="1:2">
      <c r="A4944" s="7"/>
      <c r="B4944" s="8"/>
    </row>
    <row r="4945" spans="1:2">
      <c r="A4945" s="7"/>
      <c r="B4945" s="8"/>
    </row>
    <row r="4946" spans="1:2">
      <c r="A4946" s="7"/>
      <c r="B4946" s="8"/>
    </row>
    <row r="4947" spans="1:2">
      <c r="A4947" s="7"/>
      <c r="B4947" s="8"/>
    </row>
    <row r="4948" spans="1:2">
      <c r="A4948" s="7"/>
      <c r="B4948" s="8"/>
    </row>
    <row r="4949" spans="1:2">
      <c r="A4949" s="7"/>
      <c r="B4949" s="8"/>
    </row>
    <row r="4950" spans="1:2">
      <c r="A4950" s="7"/>
      <c r="B4950" s="8"/>
    </row>
    <row r="4951" spans="1:2">
      <c r="A4951" s="7"/>
      <c r="B4951" s="8"/>
    </row>
    <row r="4952" spans="1:2">
      <c r="A4952" s="7"/>
      <c r="B4952" s="8"/>
    </row>
    <row r="4953" spans="1:2">
      <c r="A4953" s="7"/>
      <c r="B4953" s="8"/>
    </row>
    <row r="4954" spans="1:2">
      <c r="A4954" s="7"/>
      <c r="B4954" s="8"/>
    </row>
    <row r="4955" spans="1:2">
      <c r="A4955" s="7"/>
      <c r="B4955" s="8"/>
    </row>
    <row r="4956" spans="1:2">
      <c r="A4956" s="7"/>
      <c r="B4956" s="8"/>
    </row>
    <row r="4957" spans="1:2">
      <c r="A4957" s="7"/>
      <c r="B4957" s="8"/>
    </row>
    <row r="4958" spans="1:2">
      <c r="A4958" s="7"/>
      <c r="B4958" s="8"/>
    </row>
    <row r="4959" spans="1:2">
      <c r="A4959" s="7"/>
      <c r="B4959" s="8"/>
    </row>
    <row r="4960" spans="1:2">
      <c r="A4960" s="7"/>
      <c r="B4960" s="8"/>
    </row>
    <row r="4961" spans="1:2">
      <c r="A4961" s="7"/>
      <c r="B4961" s="8"/>
    </row>
    <row r="4962" spans="1:2">
      <c r="A4962" s="7"/>
      <c r="B4962" s="8"/>
    </row>
    <row r="4963" spans="1:2">
      <c r="A4963" s="7"/>
      <c r="B4963" s="8"/>
    </row>
    <row r="4964" spans="1:2">
      <c r="A4964" s="7"/>
      <c r="B4964" s="8"/>
    </row>
    <row r="4965" spans="1:2">
      <c r="A4965" s="7"/>
      <c r="B4965" s="8"/>
    </row>
    <row r="4966" spans="1:2">
      <c r="A4966" s="7"/>
      <c r="B4966" s="8"/>
    </row>
    <row r="4967" spans="1:2">
      <c r="A4967" s="7"/>
      <c r="B4967" s="8"/>
    </row>
    <row r="4968" spans="1:2">
      <c r="A4968" s="7"/>
      <c r="B4968" s="8"/>
    </row>
    <row r="4969" spans="1:2">
      <c r="A4969" s="7"/>
      <c r="B4969" s="8"/>
    </row>
    <row r="4970" spans="1:2">
      <c r="A4970" s="7"/>
      <c r="B4970" s="8"/>
    </row>
    <row r="4971" spans="1:2">
      <c r="A4971" s="7"/>
      <c r="B4971" s="8"/>
    </row>
    <row r="4972" spans="1:2">
      <c r="A4972" s="7"/>
      <c r="B4972" s="8"/>
    </row>
    <row r="4973" spans="1:2">
      <c r="A4973" s="7"/>
      <c r="B4973" s="8"/>
    </row>
    <row r="4974" spans="1:2">
      <c r="A4974" s="7"/>
      <c r="B4974" s="8"/>
    </row>
    <row r="4975" spans="1:2">
      <c r="A4975" s="7"/>
      <c r="B4975" s="8"/>
    </row>
    <row r="4976" spans="1:2">
      <c r="A4976" s="7"/>
      <c r="B4976" s="8"/>
    </row>
    <row r="4977" spans="1:2">
      <c r="A4977" s="7"/>
      <c r="B4977" s="8"/>
    </row>
    <row r="4978" spans="1:2">
      <c r="A4978" s="7"/>
      <c r="B4978" s="8"/>
    </row>
    <row r="4979" spans="1:2">
      <c r="A4979" s="7"/>
      <c r="B4979" s="8"/>
    </row>
    <row r="4980" spans="1:2">
      <c r="A4980" s="7"/>
      <c r="B4980" s="8"/>
    </row>
    <row r="4981" spans="1:2">
      <c r="A4981" s="7"/>
      <c r="B4981" s="8"/>
    </row>
    <row r="4982" spans="1:2">
      <c r="A4982" s="7"/>
      <c r="B4982" s="8"/>
    </row>
    <row r="4983" spans="1:2">
      <c r="A4983" s="7"/>
      <c r="B4983" s="8"/>
    </row>
    <row r="4984" spans="1:2">
      <c r="A4984" s="7"/>
      <c r="B4984" s="8"/>
    </row>
    <row r="4985" spans="1:2">
      <c r="A4985" s="7"/>
      <c r="B4985" s="8"/>
    </row>
    <row r="4986" spans="1:2">
      <c r="A4986" s="7"/>
      <c r="B4986" s="8"/>
    </row>
    <row r="4987" spans="1:2">
      <c r="A4987" s="7"/>
      <c r="B4987" s="8"/>
    </row>
    <row r="4988" spans="1:2">
      <c r="A4988" s="7"/>
      <c r="B4988" s="8"/>
    </row>
    <row r="4989" spans="1:2">
      <c r="A4989" s="7"/>
      <c r="B4989" s="8"/>
    </row>
    <row r="4990" spans="1:2">
      <c r="A4990" s="7"/>
      <c r="B4990" s="8"/>
    </row>
    <row r="4991" spans="1:2">
      <c r="A4991" s="7"/>
      <c r="B4991" s="8"/>
    </row>
    <row r="4992" spans="1:2">
      <c r="A4992" s="7"/>
      <c r="B4992" s="8"/>
    </row>
    <row r="4993" spans="1:2">
      <c r="A4993" s="7"/>
      <c r="B4993" s="8"/>
    </row>
    <row r="4994" spans="1:2">
      <c r="A4994" s="7"/>
      <c r="B4994" s="8"/>
    </row>
    <row r="4995" spans="1:2">
      <c r="A4995" s="7"/>
      <c r="B4995" s="8"/>
    </row>
    <row r="4996" spans="1:2">
      <c r="A4996" s="7"/>
      <c r="B4996" s="8"/>
    </row>
    <row r="4997" spans="1:2">
      <c r="A4997" s="7"/>
      <c r="B4997" s="8"/>
    </row>
    <row r="4998" spans="1:2">
      <c r="A4998" s="7"/>
      <c r="B4998" s="8"/>
    </row>
    <row r="4999" spans="1:2">
      <c r="A4999" s="7"/>
      <c r="B4999" s="8"/>
    </row>
    <row r="5000" spans="1:2">
      <c r="A5000" s="7"/>
      <c r="B5000" s="8"/>
    </row>
    <row r="5001" spans="1:2">
      <c r="A5001" s="7"/>
      <c r="B5001" s="8"/>
    </row>
    <row r="5002" spans="1:2">
      <c r="A5002" s="7"/>
      <c r="B5002" s="8"/>
    </row>
    <row r="5003" spans="1:2">
      <c r="A5003" s="7"/>
      <c r="B5003" s="8"/>
    </row>
    <row r="5004" spans="1:2">
      <c r="A5004" s="7"/>
      <c r="B5004" s="8"/>
    </row>
    <row r="5005" spans="1:2">
      <c r="A5005" s="7"/>
      <c r="B5005" s="8"/>
    </row>
    <row r="5006" spans="1:2">
      <c r="A5006" s="7"/>
      <c r="B5006" s="8"/>
    </row>
    <row r="5007" spans="1:2">
      <c r="A5007" s="7"/>
      <c r="B5007" s="8"/>
    </row>
    <row r="5008" spans="1:2">
      <c r="A5008" s="7"/>
      <c r="B5008" s="8"/>
    </row>
    <row r="5009" spans="1:2">
      <c r="A5009" s="7"/>
      <c r="B5009" s="8"/>
    </row>
    <row r="5010" spans="1:2">
      <c r="A5010" s="7"/>
      <c r="B5010" s="8"/>
    </row>
    <row r="5011" spans="1:2">
      <c r="A5011" s="7"/>
      <c r="B5011" s="8"/>
    </row>
    <row r="5012" spans="1:2">
      <c r="A5012" s="7"/>
      <c r="B5012" s="8"/>
    </row>
    <row r="5013" spans="1:2">
      <c r="A5013" s="7"/>
      <c r="B5013" s="8"/>
    </row>
    <row r="5014" spans="1:2">
      <c r="A5014" s="7"/>
      <c r="B5014" s="8"/>
    </row>
    <row r="5015" spans="1:2">
      <c r="A5015" s="7"/>
      <c r="B5015" s="8"/>
    </row>
    <row r="5016" spans="1:2">
      <c r="A5016" s="7"/>
      <c r="B5016" s="8"/>
    </row>
    <row r="5017" spans="1:2">
      <c r="A5017" s="7"/>
      <c r="B5017" s="8"/>
    </row>
    <row r="5018" spans="1:2">
      <c r="A5018" s="7"/>
      <c r="B5018" s="8"/>
    </row>
    <row r="5019" spans="1:2">
      <c r="A5019" s="7"/>
      <c r="B5019" s="8"/>
    </row>
    <row r="5020" spans="1:2">
      <c r="A5020" s="7"/>
      <c r="B5020" s="8"/>
    </row>
    <row r="5021" spans="1:2">
      <c r="A5021" s="7"/>
      <c r="B5021" s="8"/>
    </row>
    <row r="5022" spans="1:2">
      <c r="A5022" s="7"/>
      <c r="B5022" s="8"/>
    </row>
    <row r="5023" spans="1:2">
      <c r="A5023" s="7"/>
      <c r="B5023" s="8"/>
    </row>
    <row r="5024" spans="1:2">
      <c r="A5024" s="7"/>
      <c r="B5024" s="8"/>
    </row>
    <row r="5025" spans="1:2">
      <c r="A5025" s="7"/>
      <c r="B5025" s="8"/>
    </row>
    <row r="5026" spans="1:2">
      <c r="A5026" s="7"/>
      <c r="B5026" s="8"/>
    </row>
    <row r="5027" spans="1:2">
      <c r="A5027" s="7"/>
      <c r="B5027" s="8"/>
    </row>
    <row r="5028" spans="1:2">
      <c r="A5028" s="7"/>
      <c r="B5028" s="8"/>
    </row>
    <row r="5029" spans="1:2">
      <c r="A5029" s="7"/>
      <c r="B5029" s="8"/>
    </row>
    <row r="5030" spans="1:2">
      <c r="A5030" s="7"/>
      <c r="B5030" s="8"/>
    </row>
    <row r="5031" spans="1:2">
      <c r="A5031" s="7"/>
      <c r="B5031" s="8"/>
    </row>
    <row r="5032" spans="1:2">
      <c r="A5032" s="7"/>
      <c r="B5032" s="8"/>
    </row>
    <row r="5033" spans="1:2">
      <c r="A5033" s="7"/>
      <c r="B5033" s="8"/>
    </row>
    <row r="5034" spans="1:2">
      <c r="A5034" s="7"/>
      <c r="B5034" s="8"/>
    </row>
    <row r="5035" spans="1:2">
      <c r="A5035" s="7"/>
      <c r="B5035" s="8"/>
    </row>
    <row r="5036" spans="1:2">
      <c r="A5036" s="7"/>
      <c r="B5036" s="8"/>
    </row>
    <row r="5037" spans="1:2">
      <c r="A5037" s="7"/>
      <c r="B5037" s="8"/>
    </row>
    <row r="5038" spans="1:2">
      <c r="A5038" s="7"/>
      <c r="B5038" s="8"/>
    </row>
    <row r="5039" spans="1:2">
      <c r="A5039" s="7"/>
      <c r="B5039" s="8"/>
    </row>
    <row r="5040" spans="1:2">
      <c r="A5040" s="7"/>
      <c r="B5040" s="8"/>
    </row>
    <row r="5041" spans="1:2">
      <c r="A5041" s="7"/>
      <c r="B5041" s="8"/>
    </row>
    <row r="5042" spans="1:2">
      <c r="A5042" s="7"/>
      <c r="B5042" s="8"/>
    </row>
    <row r="5043" spans="1:2">
      <c r="A5043" s="7"/>
      <c r="B5043" s="8"/>
    </row>
    <row r="5044" spans="1:2">
      <c r="A5044" s="7"/>
      <c r="B5044" s="8"/>
    </row>
    <row r="5045" spans="1:2">
      <c r="A5045" s="7"/>
      <c r="B5045" s="8"/>
    </row>
    <row r="5046" spans="1:2">
      <c r="A5046" s="7"/>
      <c r="B5046" s="8"/>
    </row>
    <row r="5047" spans="1:2">
      <c r="A5047" s="7"/>
      <c r="B5047" s="8"/>
    </row>
    <row r="5048" spans="1:2">
      <c r="A5048" s="7"/>
      <c r="B5048" s="8"/>
    </row>
    <row r="5049" spans="1:2">
      <c r="A5049" s="7"/>
      <c r="B5049" s="8"/>
    </row>
    <row r="5050" spans="1:2">
      <c r="A5050" s="7"/>
      <c r="B5050" s="8"/>
    </row>
    <row r="5051" spans="1:2">
      <c r="A5051" s="7"/>
      <c r="B5051" s="8"/>
    </row>
    <row r="5052" spans="1:2">
      <c r="A5052" s="7"/>
      <c r="B5052" s="8"/>
    </row>
    <row r="5053" spans="1:2">
      <c r="A5053" s="7"/>
      <c r="B5053" s="8"/>
    </row>
    <row r="5054" spans="1:2">
      <c r="A5054" s="7"/>
      <c r="B5054" s="8"/>
    </row>
    <row r="5055" spans="1:2">
      <c r="A5055" s="7"/>
      <c r="B5055" s="8"/>
    </row>
    <row r="5056" spans="1:2">
      <c r="A5056" s="7"/>
      <c r="B5056" s="8"/>
    </row>
    <row r="5057" spans="1:2">
      <c r="A5057" s="7"/>
      <c r="B5057" s="8"/>
    </row>
    <row r="5058" spans="1:2">
      <c r="A5058" s="7"/>
      <c r="B5058" s="8"/>
    </row>
    <row r="5059" spans="1:2">
      <c r="A5059" s="7"/>
      <c r="B5059" s="8"/>
    </row>
    <row r="5060" spans="1:2">
      <c r="A5060" s="7"/>
      <c r="B5060" s="8"/>
    </row>
    <row r="5061" spans="1:2">
      <c r="A5061" s="7"/>
      <c r="B5061" s="8"/>
    </row>
    <row r="5062" spans="1:2">
      <c r="A5062" s="7"/>
      <c r="B5062" s="8"/>
    </row>
    <row r="5063" spans="1:2">
      <c r="A5063" s="7"/>
      <c r="B5063" s="8"/>
    </row>
    <row r="5064" spans="1:2">
      <c r="A5064" s="7"/>
      <c r="B5064" s="8"/>
    </row>
    <row r="5065" spans="1:2">
      <c r="A5065" s="7"/>
      <c r="B5065" s="8"/>
    </row>
    <row r="5066" spans="1:2">
      <c r="A5066" s="7"/>
      <c r="B5066" s="8"/>
    </row>
    <row r="5067" spans="1:2">
      <c r="A5067" s="7"/>
      <c r="B5067" s="8"/>
    </row>
    <row r="5068" spans="1:2">
      <c r="A5068" s="7"/>
      <c r="B5068" s="8"/>
    </row>
    <row r="5069" spans="1:2">
      <c r="A5069" s="7"/>
      <c r="B5069" s="8"/>
    </row>
    <row r="5070" spans="1:2">
      <c r="A5070" s="7"/>
      <c r="B5070" s="8"/>
    </row>
    <row r="5071" spans="1:2">
      <c r="A5071" s="7"/>
      <c r="B5071" s="8"/>
    </row>
    <row r="5072" spans="1:2">
      <c r="A5072" s="7"/>
      <c r="B5072" s="8"/>
    </row>
    <row r="5073" spans="1:2">
      <c r="A5073" s="7"/>
      <c r="B5073" s="8"/>
    </row>
    <row r="5074" spans="1:2">
      <c r="A5074" s="7"/>
      <c r="B5074" s="8"/>
    </row>
    <row r="5075" spans="1:2">
      <c r="A5075" s="7"/>
      <c r="B5075" s="8"/>
    </row>
    <row r="5076" spans="1:2">
      <c r="A5076" s="7"/>
      <c r="B5076" s="8"/>
    </row>
    <row r="5077" spans="1:2">
      <c r="A5077" s="7"/>
      <c r="B5077" s="8"/>
    </row>
    <row r="5078" spans="1:2">
      <c r="A5078" s="7"/>
      <c r="B5078" s="8"/>
    </row>
    <row r="5079" spans="1:2">
      <c r="A5079" s="7"/>
      <c r="B5079" s="8"/>
    </row>
    <row r="5080" spans="1:2">
      <c r="A5080" s="7"/>
      <c r="B5080" s="8"/>
    </row>
    <row r="5081" spans="1:2">
      <c r="A5081" s="7"/>
      <c r="B5081" s="8"/>
    </row>
    <row r="5082" spans="1:2">
      <c r="A5082" s="7"/>
      <c r="B5082" s="8"/>
    </row>
    <row r="5083" spans="1:2">
      <c r="A5083" s="7"/>
      <c r="B5083" s="8"/>
    </row>
    <row r="5084" spans="1:2">
      <c r="A5084" s="7"/>
      <c r="B5084" s="8"/>
    </row>
    <row r="5085" spans="1:2">
      <c r="A5085" s="7"/>
      <c r="B5085" s="8"/>
    </row>
    <row r="5086" spans="1:2">
      <c r="A5086" s="7"/>
      <c r="B5086" s="8"/>
    </row>
    <row r="5087" spans="1:2">
      <c r="A5087" s="7"/>
      <c r="B5087" s="8"/>
    </row>
    <row r="5088" spans="1:2">
      <c r="A5088" s="7"/>
      <c r="B5088" s="8"/>
    </row>
    <row r="5089" spans="1:2">
      <c r="A5089" s="7"/>
      <c r="B5089" s="8"/>
    </row>
    <row r="5090" spans="1:2">
      <c r="A5090" s="7"/>
      <c r="B5090" s="8"/>
    </row>
    <row r="5091" spans="1:2">
      <c r="A5091" s="7"/>
      <c r="B5091" s="8"/>
    </row>
    <row r="5092" spans="1:2">
      <c r="A5092" s="7"/>
      <c r="B5092" s="8"/>
    </row>
    <row r="5093" spans="1:2">
      <c r="A5093" s="7"/>
      <c r="B5093" s="8"/>
    </row>
    <row r="5094" spans="1:2">
      <c r="A5094" s="7"/>
      <c r="B5094" s="8"/>
    </row>
    <row r="5095" spans="1:2">
      <c r="A5095" s="7"/>
      <c r="B5095" s="8"/>
    </row>
    <row r="5096" spans="1:2">
      <c r="A5096" s="7"/>
      <c r="B5096" s="8"/>
    </row>
    <row r="5097" spans="1:2">
      <c r="A5097" s="7"/>
      <c r="B5097" s="8"/>
    </row>
    <row r="5098" spans="1:2">
      <c r="A5098" s="7"/>
      <c r="B5098" s="8"/>
    </row>
    <row r="5099" spans="1:2">
      <c r="A5099" s="7"/>
      <c r="B5099" s="8"/>
    </row>
    <row r="5100" spans="1:2">
      <c r="A5100" s="7"/>
      <c r="B5100" s="8"/>
    </row>
    <row r="5101" spans="1:2">
      <c r="A5101" s="7"/>
      <c r="B5101" s="8"/>
    </row>
    <row r="5102" spans="1:2">
      <c r="A5102" s="7"/>
      <c r="B5102" s="8"/>
    </row>
    <row r="5103" spans="1:2">
      <c r="A5103" s="7"/>
      <c r="B5103" s="8"/>
    </row>
    <row r="5104" spans="1:2">
      <c r="A5104" s="7"/>
      <c r="B5104" s="8"/>
    </row>
    <row r="5105" spans="1:2">
      <c r="A5105" s="7"/>
      <c r="B5105" s="8"/>
    </row>
    <row r="5106" spans="1:2">
      <c r="A5106" s="7"/>
      <c r="B5106" s="8"/>
    </row>
    <row r="5107" spans="1:2">
      <c r="A5107" s="7"/>
      <c r="B5107" s="8"/>
    </row>
    <row r="5108" spans="1:2">
      <c r="A5108" s="7"/>
      <c r="B5108" s="8"/>
    </row>
    <row r="5109" spans="1:2">
      <c r="A5109" s="7"/>
      <c r="B5109" s="8"/>
    </row>
    <row r="5110" spans="1:2">
      <c r="A5110" s="7"/>
      <c r="B5110" s="8"/>
    </row>
    <row r="5111" spans="1:2">
      <c r="A5111" s="7"/>
      <c r="B5111" s="8"/>
    </row>
    <row r="5112" spans="1:2">
      <c r="A5112" s="7"/>
      <c r="B5112" s="8"/>
    </row>
    <row r="5113" spans="1:2">
      <c r="A5113" s="7"/>
      <c r="B5113" s="8"/>
    </row>
    <row r="5114" spans="1:2">
      <c r="A5114" s="7"/>
      <c r="B5114" s="8"/>
    </row>
    <row r="5115" spans="1:2">
      <c r="A5115" s="7"/>
      <c r="B5115" s="8"/>
    </row>
    <row r="5116" spans="1:2">
      <c r="A5116" s="7"/>
      <c r="B5116" s="8"/>
    </row>
    <row r="5117" spans="1:2">
      <c r="A5117" s="7"/>
      <c r="B5117" s="8"/>
    </row>
    <row r="5118" spans="1:2">
      <c r="A5118" s="7"/>
      <c r="B5118" s="8"/>
    </row>
    <row r="5119" spans="1:2">
      <c r="A5119" s="7"/>
      <c r="B5119" s="8"/>
    </row>
    <row r="5120" spans="1:2">
      <c r="A5120" s="7"/>
      <c r="B5120" s="8"/>
    </row>
    <row r="5121" spans="1:2">
      <c r="A5121" s="7"/>
      <c r="B5121" s="8"/>
    </row>
    <row r="5122" spans="1:2">
      <c r="A5122" s="7"/>
      <c r="B5122" s="8"/>
    </row>
    <row r="5123" spans="1:2">
      <c r="A5123" s="7"/>
      <c r="B5123" s="8"/>
    </row>
    <row r="5124" spans="1:2">
      <c r="A5124" s="7"/>
      <c r="B5124" s="8"/>
    </row>
    <row r="5125" spans="1:2">
      <c r="A5125" s="7"/>
      <c r="B5125" s="8"/>
    </row>
    <row r="5126" spans="1:2">
      <c r="A5126" s="7"/>
      <c r="B5126" s="8"/>
    </row>
    <row r="5127" spans="1:2">
      <c r="A5127" s="7"/>
      <c r="B5127" s="8"/>
    </row>
    <row r="5128" spans="1:2">
      <c r="A5128" s="7"/>
      <c r="B5128" s="8"/>
    </row>
    <row r="5129" spans="1:2">
      <c r="A5129" s="7"/>
      <c r="B5129" s="8"/>
    </row>
    <row r="5130" spans="1:2">
      <c r="A5130" s="7"/>
      <c r="B5130" s="8"/>
    </row>
    <row r="5131" spans="1:2">
      <c r="A5131" s="7"/>
      <c r="B5131" s="8"/>
    </row>
    <row r="5132" spans="1:2">
      <c r="A5132" s="7"/>
      <c r="B5132" s="8"/>
    </row>
    <row r="5133" spans="1:2">
      <c r="A5133" s="7"/>
      <c r="B5133" s="8"/>
    </row>
    <row r="5134" spans="1:2">
      <c r="A5134" s="7"/>
      <c r="B5134" s="8"/>
    </row>
    <row r="5135" spans="1:2">
      <c r="A5135" s="7"/>
      <c r="B5135" s="8"/>
    </row>
    <row r="5136" spans="1:2">
      <c r="A5136" s="7"/>
      <c r="B5136" s="8"/>
    </row>
    <row r="5137" spans="1:2">
      <c r="A5137" s="7"/>
      <c r="B5137" s="8"/>
    </row>
    <row r="5138" spans="1:2">
      <c r="A5138" s="7"/>
      <c r="B5138" s="8"/>
    </row>
    <row r="5139" spans="1:2">
      <c r="A5139" s="7"/>
      <c r="B5139" s="8"/>
    </row>
    <row r="5140" spans="1:2">
      <c r="A5140" s="7"/>
      <c r="B5140" s="8"/>
    </row>
    <row r="5141" spans="1:2">
      <c r="A5141" s="7"/>
      <c r="B5141" s="8"/>
    </row>
    <row r="5142" spans="1:2">
      <c r="A5142" s="7"/>
      <c r="B5142" s="8"/>
    </row>
    <row r="5143" spans="1:2">
      <c r="A5143" s="7"/>
      <c r="B5143" s="8"/>
    </row>
    <row r="5144" spans="1:2">
      <c r="A5144" s="7"/>
      <c r="B5144" s="8"/>
    </row>
    <row r="5145" spans="1:2">
      <c r="A5145" s="7"/>
      <c r="B5145" s="8"/>
    </row>
    <row r="5146" spans="1:2">
      <c r="A5146" s="7"/>
      <c r="B5146" s="8"/>
    </row>
    <row r="5147" spans="1:2">
      <c r="A5147" s="7"/>
      <c r="B5147" s="8"/>
    </row>
    <row r="5148" spans="1:2">
      <c r="A5148" s="7"/>
      <c r="B5148" s="8"/>
    </row>
    <row r="5149" spans="1:2">
      <c r="A5149" s="7"/>
      <c r="B5149" s="8"/>
    </row>
    <row r="5150" spans="1:2">
      <c r="A5150" s="7"/>
      <c r="B5150" s="8"/>
    </row>
    <row r="5151" spans="1:2">
      <c r="A5151" s="7"/>
      <c r="B5151" s="8"/>
    </row>
    <row r="5152" spans="1:2">
      <c r="A5152" s="7"/>
      <c r="B5152" s="8"/>
    </row>
    <row r="5153" spans="1:2">
      <c r="A5153" s="7"/>
      <c r="B5153" s="8"/>
    </row>
    <row r="5154" spans="1:2">
      <c r="A5154" s="7"/>
      <c r="B5154" s="8"/>
    </row>
    <row r="5155" spans="1:2">
      <c r="A5155" s="7"/>
      <c r="B5155" s="8"/>
    </row>
    <row r="5156" spans="1:2">
      <c r="A5156" s="7"/>
      <c r="B5156" s="8"/>
    </row>
    <row r="5157" spans="1:2">
      <c r="A5157" s="7"/>
      <c r="B5157" s="8"/>
    </row>
    <row r="5158" spans="1:2">
      <c r="A5158" s="7"/>
      <c r="B5158" s="8"/>
    </row>
    <row r="5159" spans="1:2">
      <c r="A5159" s="7"/>
      <c r="B5159" s="8"/>
    </row>
    <row r="5160" spans="1:2">
      <c r="A5160" s="7"/>
      <c r="B5160" s="8"/>
    </row>
    <row r="5161" spans="1:2">
      <c r="A5161" s="7"/>
      <c r="B5161" s="8"/>
    </row>
    <row r="5162" spans="1:2">
      <c r="A5162" s="7"/>
      <c r="B5162" s="8"/>
    </row>
    <row r="5163" spans="1:2">
      <c r="A5163" s="7"/>
      <c r="B5163" s="8"/>
    </row>
    <row r="5164" spans="1:2">
      <c r="A5164" s="7"/>
      <c r="B5164" s="8"/>
    </row>
    <row r="5165" spans="1:2">
      <c r="A5165" s="7"/>
      <c r="B5165" s="8"/>
    </row>
    <row r="5166" spans="1:2">
      <c r="A5166" s="7"/>
      <c r="B5166" s="8"/>
    </row>
    <row r="5167" spans="1:2">
      <c r="A5167" s="7"/>
      <c r="B5167" s="8"/>
    </row>
    <row r="5168" spans="1:2">
      <c r="A5168" s="7"/>
      <c r="B5168" s="8"/>
    </row>
    <row r="5169" spans="1:2">
      <c r="A5169" s="7"/>
      <c r="B5169" s="8"/>
    </row>
    <row r="5170" spans="1:2">
      <c r="A5170" s="7"/>
      <c r="B5170" s="8"/>
    </row>
    <row r="5171" spans="1:2">
      <c r="A5171" s="7"/>
      <c r="B5171" s="8"/>
    </row>
    <row r="5172" spans="1:2">
      <c r="A5172" s="7"/>
      <c r="B5172" s="8"/>
    </row>
    <row r="5173" spans="1:2">
      <c r="A5173" s="7"/>
      <c r="B5173" s="8"/>
    </row>
    <row r="5174" spans="1:2">
      <c r="A5174" s="7"/>
      <c r="B5174" s="8"/>
    </row>
    <row r="5175" spans="1:2">
      <c r="A5175" s="7"/>
      <c r="B5175" s="8"/>
    </row>
    <row r="5176" spans="1:2">
      <c r="A5176" s="7"/>
      <c r="B5176" s="8"/>
    </row>
    <row r="5177" spans="1:2">
      <c r="A5177" s="7"/>
      <c r="B5177" s="8"/>
    </row>
    <row r="5178" spans="1:2">
      <c r="A5178" s="7"/>
      <c r="B5178" s="8"/>
    </row>
    <row r="5179" spans="1:2">
      <c r="A5179" s="7"/>
      <c r="B5179" s="8"/>
    </row>
    <row r="5180" spans="1:2">
      <c r="A5180" s="7"/>
      <c r="B5180" s="8"/>
    </row>
    <row r="5181" spans="1:2">
      <c r="A5181" s="7"/>
      <c r="B5181" s="8"/>
    </row>
    <row r="5182" spans="1:2">
      <c r="A5182" s="7"/>
      <c r="B5182" s="8"/>
    </row>
    <row r="5183" spans="1:2">
      <c r="A5183" s="7"/>
      <c r="B5183" s="8"/>
    </row>
    <row r="5184" spans="1:2">
      <c r="A5184" s="7"/>
      <c r="B5184" s="8"/>
    </row>
    <row r="5185" spans="1:2">
      <c r="A5185" s="7"/>
      <c r="B5185" s="8"/>
    </row>
    <row r="5186" spans="1:2">
      <c r="A5186" s="7"/>
      <c r="B5186" s="8"/>
    </row>
    <row r="5187" spans="1:2">
      <c r="A5187" s="7"/>
      <c r="B5187" s="8"/>
    </row>
    <row r="5188" spans="1:2">
      <c r="A5188" s="7"/>
      <c r="B5188" s="8"/>
    </row>
    <row r="5189" spans="1:2">
      <c r="A5189" s="7"/>
      <c r="B5189" s="8"/>
    </row>
    <row r="5190" spans="1:2">
      <c r="A5190" s="7"/>
      <c r="B5190" s="8"/>
    </row>
    <row r="5191" spans="1:2">
      <c r="A5191" s="7"/>
      <c r="B5191" s="8"/>
    </row>
    <row r="5192" spans="1:2">
      <c r="A5192" s="7"/>
      <c r="B5192" s="8"/>
    </row>
    <row r="5193" spans="1:2">
      <c r="A5193" s="7"/>
      <c r="B5193" s="8"/>
    </row>
    <row r="5194" spans="1:2">
      <c r="A5194" s="7"/>
      <c r="B5194" s="8"/>
    </row>
    <row r="5195" spans="1:2">
      <c r="A5195" s="7"/>
      <c r="B5195" s="8"/>
    </row>
    <row r="5196" spans="1:2">
      <c r="A5196" s="7"/>
      <c r="B5196" s="8"/>
    </row>
    <row r="5197" spans="1:2">
      <c r="A5197" s="7"/>
      <c r="B5197" s="8"/>
    </row>
    <row r="5198" spans="1:2">
      <c r="A5198" s="7"/>
      <c r="B5198" s="8"/>
    </row>
    <row r="5199" spans="1:2">
      <c r="A5199" s="7"/>
      <c r="B5199" s="8"/>
    </row>
    <row r="5200" spans="1:2">
      <c r="A5200" s="7"/>
      <c r="B5200" s="8"/>
    </row>
    <row r="5201" spans="1:2">
      <c r="A5201" s="7"/>
      <c r="B5201" s="8"/>
    </row>
    <row r="5202" spans="1:2">
      <c r="A5202" s="7"/>
      <c r="B5202" s="8"/>
    </row>
    <row r="5203" spans="1:2">
      <c r="A5203" s="7"/>
      <c r="B5203" s="8"/>
    </row>
    <row r="5204" spans="1:2">
      <c r="A5204" s="7"/>
      <c r="B5204" s="8"/>
    </row>
    <row r="5205" spans="1:2">
      <c r="A5205" s="7"/>
      <c r="B5205" s="8"/>
    </row>
    <row r="5206" spans="1:2">
      <c r="A5206" s="7"/>
      <c r="B5206" s="8"/>
    </row>
    <row r="5207" spans="1:2">
      <c r="A5207" s="7"/>
      <c r="B5207" s="8"/>
    </row>
    <row r="5208" spans="1:2">
      <c r="A5208" s="7"/>
      <c r="B5208" s="8"/>
    </row>
    <row r="5209" spans="1:2">
      <c r="A5209" s="7"/>
      <c r="B5209" s="8"/>
    </row>
    <row r="5210" spans="1:2">
      <c r="A5210" s="7"/>
      <c r="B5210" s="8"/>
    </row>
    <row r="5211" spans="1:2">
      <c r="A5211" s="7"/>
      <c r="B5211" s="8"/>
    </row>
    <row r="5212" spans="1:2">
      <c r="A5212" s="7"/>
      <c r="B5212" s="8"/>
    </row>
    <row r="5213" spans="1:2">
      <c r="A5213" s="7"/>
      <c r="B5213" s="8"/>
    </row>
    <row r="5214" spans="1:2">
      <c r="A5214" s="7"/>
      <c r="B5214" s="8"/>
    </row>
    <row r="5215" spans="1:2">
      <c r="A5215" s="7"/>
      <c r="B5215" s="8"/>
    </row>
    <row r="5216" spans="1:2">
      <c r="A5216" s="7"/>
      <c r="B5216" s="8"/>
    </row>
    <row r="5217" spans="1:2">
      <c r="A5217" s="7"/>
      <c r="B5217" s="8"/>
    </row>
    <row r="5218" spans="1:2">
      <c r="A5218" s="7"/>
      <c r="B5218" s="8"/>
    </row>
    <row r="5219" spans="1:2">
      <c r="A5219" s="7"/>
      <c r="B5219" s="8"/>
    </row>
    <row r="5220" spans="1:2">
      <c r="A5220" s="7"/>
      <c r="B5220" s="8"/>
    </row>
    <row r="5221" spans="1:2">
      <c r="A5221" s="7"/>
      <c r="B5221" s="8"/>
    </row>
    <row r="5222" spans="1:2">
      <c r="A5222" s="7"/>
      <c r="B5222" s="8"/>
    </row>
    <row r="5223" spans="1:2">
      <c r="A5223" s="7"/>
      <c r="B5223" s="8"/>
    </row>
    <row r="5224" spans="1:2">
      <c r="A5224" s="7"/>
      <c r="B5224" s="8"/>
    </row>
    <row r="5225" spans="1:2">
      <c r="A5225" s="7"/>
      <c r="B5225" s="8"/>
    </row>
    <row r="5226" spans="1:2">
      <c r="A5226" s="7"/>
      <c r="B5226" s="8"/>
    </row>
    <row r="5227" spans="1:2">
      <c r="A5227" s="7"/>
      <c r="B5227" s="8"/>
    </row>
    <row r="5228" spans="1:2">
      <c r="A5228" s="7"/>
      <c r="B5228" s="8"/>
    </row>
    <row r="5229" spans="1:2">
      <c r="A5229" s="7"/>
      <c r="B5229" s="8"/>
    </row>
    <row r="5230" spans="1:2">
      <c r="A5230" s="7"/>
      <c r="B5230" s="8"/>
    </row>
    <row r="5231" spans="1:2">
      <c r="A5231" s="7"/>
      <c r="B5231" s="8"/>
    </row>
    <row r="5232" spans="1:2">
      <c r="A5232" s="7"/>
      <c r="B5232" s="8"/>
    </row>
    <row r="5233" spans="1:2">
      <c r="A5233" s="7"/>
      <c r="B5233" s="8"/>
    </row>
    <row r="5234" spans="1:2">
      <c r="A5234" s="7"/>
      <c r="B5234" s="8"/>
    </row>
    <row r="5235" spans="1:2">
      <c r="A5235" s="7"/>
      <c r="B5235" s="8"/>
    </row>
    <row r="5236" spans="1:2">
      <c r="A5236" s="7"/>
      <c r="B5236" s="8"/>
    </row>
    <row r="5237" spans="1:2">
      <c r="A5237" s="7"/>
      <c r="B5237" s="8"/>
    </row>
    <row r="5238" spans="1:2">
      <c r="A5238" s="7"/>
      <c r="B5238" s="8"/>
    </row>
    <row r="5239" spans="1:2">
      <c r="A5239" s="7"/>
      <c r="B5239" s="8"/>
    </row>
    <row r="5240" spans="1:2">
      <c r="A5240" s="7"/>
      <c r="B5240" s="8"/>
    </row>
    <row r="5241" spans="1:2">
      <c r="A5241" s="7"/>
      <c r="B5241" s="8"/>
    </row>
    <row r="5242" spans="1:2">
      <c r="A5242" s="7"/>
      <c r="B5242" s="8"/>
    </row>
    <row r="5243" spans="1:2">
      <c r="A5243" s="7"/>
      <c r="B5243" s="8"/>
    </row>
    <row r="5244" spans="1:2">
      <c r="A5244" s="7"/>
      <c r="B5244" s="8"/>
    </row>
    <row r="5245" spans="1:2">
      <c r="A5245" s="7"/>
      <c r="B5245" s="8"/>
    </row>
    <row r="5246" spans="1:2">
      <c r="A5246" s="7"/>
      <c r="B5246" s="8"/>
    </row>
    <row r="5247" spans="1:2">
      <c r="A5247" s="7"/>
      <c r="B5247" s="8"/>
    </row>
    <row r="5248" spans="1:2">
      <c r="A5248" s="7"/>
      <c r="B5248" s="8"/>
    </row>
    <row r="5249" spans="1:2">
      <c r="A5249" s="7"/>
      <c r="B5249" s="8"/>
    </row>
    <row r="5250" spans="1:2">
      <c r="A5250" s="7"/>
      <c r="B5250" s="8"/>
    </row>
    <row r="5251" spans="1:2">
      <c r="A5251" s="7"/>
      <c r="B5251" s="8"/>
    </row>
    <row r="5252" spans="1:2">
      <c r="A5252" s="7"/>
      <c r="B5252" s="8"/>
    </row>
    <row r="5253" spans="1:2">
      <c r="A5253" s="7"/>
      <c r="B5253" s="8"/>
    </row>
    <row r="5254" spans="1:2">
      <c r="A5254" s="7"/>
      <c r="B5254" s="8"/>
    </row>
    <row r="5255" spans="1:2">
      <c r="A5255" s="7"/>
      <c r="B5255" s="8"/>
    </row>
    <row r="5256" spans="1:2">
      <c r="A5256" s="7"/>
      <c r="B5256" s="8"/>
    </row>
    <row r="5257" spans="1:2">
      <c r="A5257" s="7"/>
      <c r="B5257" s="8"/>
    </row>
    <row r="5258" spans="1:2">
      <c r="A5258" s="7"/>
      <c r="B5258" s="8"/>
    </row>
    <row r="5259" spans="1:2">
      <c r="A5259" s="7"/>
      <c r="B5259" s="8"/>
    </row>
    <row r="5260" spans="1:2">
      <c r="A5260" s="7"/>
      <c r="B5260" s="8"/>
    </row>
    <row r="5261" spans="1:2">
      <c r="A5261" s="7"/>
      <c r="B5261" s="8"/>
    </row>
    <row r="5262" spans="1:2">
      <c r="A5262" s="7"/>
      <c r="B5262" s="8"/>
    </row>
    <row r="5263" spans="1:2">
      <c r="A5263" s="7"/>
      <c r="B5263" s="8"/>
    </row>
    <row r="5264" spans="1:2">
      <c r="A5264" s="7"/>
      <c r="B5264" s="8"/>
    </row>
    <row r="5265" spans="1:2">
      <c r="A5265" s="7"/>
      <c r="B5265" s="8"/>
    </row>
    <row r="5266" spans="1:2">
      <c r="A5266" s="7"/>
      <c r="B5266" s="8"/>
    </row>
    <row r="5267" spans="1:2">
      <c r="A5267" s="7"/>
      <c r="B5267" s="8"/>
    </row>
    <row r="5268" spans="1:2">
      <c r="A5268" s="7"/>
      <c r="B5268" s="8"/>
    </row>
    <row r="5269" spans="1:2">
      <c r="A5269" s="7"/>
      <c r="B5269" s="8"/>
    </row>
    <row r="5270" spans="1:2">
      <c r="A5270" s="7"/>
      <c r="B5270" s="8"/>
    </row>
    <row r="5271" spans="1:2">
      <c r="A5271" s="7"/>
      <c r="B5271" s="8"/>
    </row>
    <row r="5272" spans="1:2">
      <c r="A5272" s="7"/>
      <c r="B5272" s="8"/>
    </row>
    <row r="5273" spans="1:2">
      <c r="A5273" s="7"/>
      <c r="B5273" s="8"/>
    </row>
    <row r="5274" spans="1:2">
      <c r="A5274" s="7"/>
      <c r="B5274" s="8"/>
    </row>
    <row r="5275" spans="1:2">
      <c r="A5275" s="7"/>
      <c r="B5275" s="8"/>
    </row>
    <row r="5276" spans="1:2">
      <c r="A5276" s="7"/>
      <c r="B5276" s="8"/>
    </row>
    <row r="5277" spans="1:2">
      <c r="A5277" s="7"/>
      <c r="B5277" s="8"/>
    </row>
    <row r="5278" spans="1:2">
      <c r="A5278" s="7"/>
      <c r="B5278" s="8"/>
    </row>
    <row r="5279" spans="1:2">
      <c r="A5279" s="7"/>
      <c r="B5279" s="8"/>
    </row>
    <row r="5280" spans="1:2">
      <c r="A5280" s="7"/>
      <c r="B5280" s="8"/>
    </row>
    <row r="5281" spans="1:2">
      <c r="A5281" s="7"/>
      <c r="B5281" s="8"/>
    </row>
    <row r="5282" spans="1:2">
      <c r="A5282" s="7"/>
      <c r="B5282" s="8"/>
    </row>
    <row r="5283" spans="1:2">
      <c r="A5283" s="7"/>
      <c r="B5283" s="8"/>
    </row>
    <row r="5284" spans="1:2">
      <c r="A5284" s="7"/>
      <c r="B5284" s="8"/>
    </row>
    <row r="5285" spans="1:2">
      <c r="A5285" s="7"/>
      <c r="B5285" s="8"/>
    </row>
    <row r="5286" spans="1:2">
      <c r="A5286" s="7"/>
      <c r="B5286" s="8"/>
    </row>
    <row r="5287" spans="1:2">
      <c r="A5287" s="7"/>
      <c r="B5287" s="8"/>
    </row>
    <row r="5288" spans="1:2">
      <c r="A5288" s="7"/>
      <c r="B5288" s="8"/>
    </row>
    <row r="5289" spans="1:2">
      <c r="A5289" s="7"/>
      <c r="B5289" s="8"/>
    </row>
    <row r="5290" spans="1:2">
      <c r="A5290" s="7"/>
      <c r="B5290" s="8"/>
    </row>
    <row r="5291" spans="1:2">
      <c r="A5291" s="7"/>
      <c r="B5291" s="8"/>
    </row>
    <row r="5292" spans="1:2">
      <c r="A5292" s="7"/>
      <c r="B5292" s="8"/>
    </row>
    <row r="5293" spans="1:2">
      <c r="A5293" s="7"/>
      <c r="B5293" s="8"/>
    </row>
    <row r="5294" spans="1:2">
      <c r="A5294" s="7"/>
      <c r="B5294" s="8"/>
    </row>
    <row r="5295" spans="1:2">
      <c r="A5295" s="7"/>
      <c r="B5295" s="8"/>
    </row>
    <row r="5296" spans="1:2">
      <c r="A5296" s="7"/>
      <c r="B5296" s="8"/>
    </row>
    <row r="5297" spans="1:2">
      <c r="A5297" s="7"/>
      <c r="B5297" s="8"/>
    </row>
    <row r="5298" spans="1:2">
      <c r="A5298" s="7"/>
      <c r="B5298" s="8"/>
    </row>
    <row r="5299" spans="1:2">
      <c r="A5299" s="7"/>
      <c r="B5299" s="8"/>
    </row>
    <row r="5300" spans="1:2">
      <c r="A5300" s="7"/>
      <c r="B5300" s="8"/>
    </row>
    <row r="5301" spans="1:2">
      <c r="A5301" s="7"/>
      <c r="B5301" s="8"/>
    </row>
    <row r="5302" spans="1:2">
      <c r="A5302" s="7"/>
      <c r="B5302" s="8"/>
    </row>
    <row r="5303" spans="1:2">
      <c r="A5303" s="7"/>
      <c r="B5303" s="8"/>
    </row>
    <row r="5304" spans="1:2">
      <c r="A5304" s="7"/>
      <c r="B5304" s="8"/>
    </row>
    <row r="5305" spans="1:2">
      <c r="A5305" s="7"/>
      <c r="B5305" s="8"/>
    </row>
    <row r="5306" spans="1:2">
      <c r="A5306" s="7"/>
      <c r="B5306" s="8"/>
    </row>
    <row r="5307" spans="1:2">
      <c r="A5307" s="7"/>
      <c r="B5307" s="8"/>
    </row>
    <row r="5308" spans="1:2">
      <c r="A5308" s="7"/>
      <c r="B5308" s="8"/>
    </row>
    <row r="5309" spans="1:2">
      <c r="A5309" s="7"/>
      <c r="B5309" s="8"/>
    </row>
    <row r="5310" spans="1:2">
      <c r="A5310" s="7"/>
      <c r="B5310" s="8"/>
    </row>
    <row r="5311" spans="1:2">
      <c r="A5311" s="7"/>
      <c r="B5311" s="8"/>
    </row>
    <row r="5312" spans="1:2">
      <c r="A5312" s="7"/>
      <c r="B5312" s="8"/>
    </row>
    <row r="5313" spans="1:2">
      <c r="A5313" s="7"/>
      <c r="B5313" s="8"/>
    </row>
    <row r="5314" spans="1:2">
      <c r="A5314" s="7"/>
      <c r="B5314" s="8"/>
    </row>
    <row r="5315" spans="1:2">
      <c r="A5315" s="7"/>
      <c r="B5315" s="8"/>
    </row>
    <row r="5316" spans="1:2">
      <c r="A5316" s="7"/>
      <c r="B5316" s="8"/>
    </row>
    <row r="5317" spans="1:2">
      <c r="A5317" s="7"/>
      <c r="B5317" s="8"/>
    </row>
    <row r="5318" spans="1:2">
      <c r="A5318" s="7"/>
      <c r="B5318" s="8"/>
    </row>
    <row r="5319" spans="1:2">
      <c r="A5319" s="7"/>
      <c r="B5319" s="8"/>
    </row>
    <row r="5320" spans="1:2">
      <c r="A5320" s="7"/>
      <c r="B5320" s="8"/>
    </row>
    <row r="5321" spans="1:2">
      <c r="A5321" s="7"/>
      <c r="B5321" s="8"/>
    </row>
    <row r="5322" spans="1:2">
      <c r="A5322" s="7"/>
      <c r="B5322" s="8"/>
    </row>
    <row r="5323" spans="1:2">
      <c r="A5323" s="7"/>
      <c r="B5323" s="8"/>
    </row>
    <row r="5324" spans="1:2">
      <c r="A5324" s="7"/>
      <c r="B5324" s="8"/>
    </row>
    <row r="5325" spans="1:2">
      <c r="A5325" s="7"/>
      <c r="B5325" s="8"/>
    </row>
    <row r="5326" spans="1:2">
      <c r="A5326" s="7"/>
      <c r="B5326" s="8"/>
    </row>
    <row r="5327" spans="1:2">
      <c r="A5327" s="7"/>
      <c r="B5327" s="8"/>
    </row>
    <row r="5328" spans="1:2">
      <c r="A5328" s="7"/>
      <c r="B5328" s="8"/>
    </row>
    <row r="5329" spans="1:2">
      <c r="A5329" s="7"/>
      <c r="B5329" s="8"/>
    </row>
    <row r="5330" spans="1:2">
      <c r="A5330" s="7"/>
      <c r="B5330" s="8"/>
    </row>
    <row r="5331" spans="1:2">
      <c r="A5331" s="7"/>
      <c r="B5331" s="8"/>
    </row>
    <row r="5332" spans="1:2">
      <c r="A5332" s="7"/>
      <c r="B5332" s="8"/>
    </row>
    <row r="5333" spans="1:2">
      <c r="A5333" s="7"/>
      <c r="B5333" s="8"/>
    </row>
    <row r="5334" spans="1:2">
      <c r="A5334" s="7"/>
      <c r="B5334" s="8"/>
    </row>
    <row r="5335" spans="1:2">
      <c r="A5335" s="7"/>
      <c r="B5335" s="8"/>
    </row>
    <row r="5336" spans="1:2">
      <c r="A5336" s="7"/>
      <c r="B5336" s="8"/>
    </row>
    <row r="5337" spans="1:2">
      <c r="A5337" s="7"/>
      <c r="B5337" s="8"/>
    </row>
    <row r="5338" spans="1:2">
      <c r="A5338" s="7"/>
      <c r="B5338" s="8"/>
    </row>
    <row r="5339" spans="1:2">
      <c r="A5339" s="7"/>
      <c r="B5339" s="8"/>
    </row>
    <row r="5340" spans="1:2">
      <c r="A5340" s="7"/>
      <c r="B5340" s="8"/>
    </row>
    <row r="5341" spans="1:2">
      <c r="A5341" s="7"/>
      <c r="B5341" s="8"/>
    </row>
    <row r="5342" spans="1:2">
      <c r="A5342" s="7"/>
      <c r="B5342" s="8"/>
    </row>
    <row r="5343" spans="1:2">
      <c r="A5343" s="7"/>
      <c r="B5343" s="8"/>
    </row>
    <row r="5344" spans="1:2">
      <c r="A5344" s="7"/>
      <c r="B5344" s="8"/>
    </row>
    <row r="5345" spans="1:2">
      <c r="A5345" s="7"/>
      <c r="B5345" s="8"/>
    </row>
    <row r="5346" spans="1:2">
      <c r="A5346" s="7"/>
      <c r="B5346" s="8"/>
    </row>
    <row r="5347" spans="1:2">
      <c r="A5347" s="7"/>
      <c r="B5347" s="8"/>
    </row>
    <row r="5348" spans="1:2">
      <c r="A5348" s="7"/>
      <c r="B5348" s="8"/>
    </row>
    <row r="5349" spans="1:2">
      <c r="A5349" s="7"/>
      <c r="B5349" s="8"/>
    </row>
    <row r="5350" spans="1:2">
      <c r="A5350" s="7"/>
      <c r="B5350" s="8"/>
    </row>
    <row r="5351" spans="1:2">
      <c r="A5351" s="7"/>
      <c r="B5351" s="8"/>
    </row>
    <row r="5352" spans="1:2">
      <c r="A5352" s="7"/>
      <c r="B5352" s="8"/>
    </row>
    <row r="5353" spans="1:2">
      <c r="A5353" s="7"/>
      <c r="B5353" s="8"/>
    </row>
    <row r="5354" spans="1:2">
      <c r="A5354" s="7"/>
      <c r="B5354" s="8"/>
    </row>
    <row r="5355" spans="1:2">
      <c r="A5355" s="7"/>
      <c r="B5355" s="8"/>
    </row>
    <row r="5356" spans="1:2">
      <c r="A5356" s="7"/>
      <c r="B5356" s="8"/>
    </row>
    <row r="5357" spans="1:2">
      <c r="A5357" s="7"/>
      <c r="B5357" s="8"/>
    </row>
    <row r="5358" spans="1:2">
      <c r="A5358" s="7"/>
      <c r="B5358" s="8"/>
    </row>
    <row r="5359" spans="1:2">
      <c r="A5359" s="7"/>
      <c r="B5359" s="8"/>
    </row>
    <row r="5360" spans="1:2">
      <c r="A5360" s="7"/>
      <c r="B5360" s="8"/>
    </row>
    <row r="5361" spans="1:2">
      <c r="A5361" s="7"/>
      <c r="B5361" s="8"/>
    </row>
    <row r="5362" spans="1:2">
      <c r="A5362" s="7"/>
      <c r="B5362" s="8"/>
    </row>
    <row r="5363" spans="1:2">
      <c r="A5363" s="7"/>
      <c r="B5363" s="8"/>
    </row>
    <row r="5364" spans="1:2">
      <c r="A5364" s="7"/>
      <c r="B5364" s="8"/>
    </row>
    <row r="5365" spans="1:2">
      <c r="A5365" s="7"/>
      <c r="B5365" s="8"/>
    </row>
    <row r="5366" spans="1:2">
      <c r="A5366" s="7"/>
      <c r="B5366" s="8"/>
    </row>
    <row r="5367" spans="1:2">
      <c r="A5367" s="7"/>
      <c r="B5367" s="8"/>
    </row>
    <row r="5368" spans="1:2">
      <c r="A5368" s="7"/>
      <c r="B5368" s="8"/>
    </row>
    <row r="5369" spans="1:2">
      <c r="A5369" s="7"/>
      <c r="B5369" s="8"/>
    </row>
    <row r="5370" spans="1:2">
      <c r="A5370" s="7"/>
      <c r="B5370" s="8"/>
    </row>
    <row r="5371" spans="1:2">
      <c r="A5371" s="7"/>
      <c r="B5371" s="8"/>
    </row>
    <row r="5372" spans="1:2">
      <c r="A5372" s="7"/>
      <c r="B5372" s="8"/>
    </row>
    <row r="5373" spans="1:2">
      <c r="A5373" s="7"/>
      <c r="B5373" s="8"/>
    </row>
    <row r="5374" spans="1:2">
      <c r="A5374" s="7"/>
      <c r="B5374" s="8"/>
    </row>
    <row r="5375" spans="1:2">
      <c r="A5375" s="7"/>
      <c r="B5375" s="8"/>
    </row>
    <row r="5376" spans="1:2">
      <c r="A5376" s="7"/>
      <c r="B5376" s="8"/>
    </row>
    <row r="5377" spans="1:2">
      <c r="A5377" s="7"/>
      <c r="B5377" s="8"/>
    </row>
    <row r="5378" spans="1:2">
      <c r="A5378" s="7"/>
      <c r="B5378" s="8"/>
    </row>
    <row r="5379" spans="1:2">
      <c r="A5379" s="7"/>
      <c r="B5379" s="8"/>
    </row>
    <row r="5380" spans="1:2">
      <c r="A5380" s="7"/>
      <c r="B5380" s="8"/>
    </row>
    <row r="5381" spans="1:2">
      <c r="A5381" s="7"/>
      <c r="B5381" s="8"/>
    </row>
    <row r="5382" spans="1:2">
      <c r="A5382" s="7"/>
      <c r="B5382" s="8"/>
    </row>
    <row r="5383" spans="1:2">
      <c r="A5383" s="7"/>
      <c r="B5383" s="8"/>
    </row>
    <row r="5384" spans="1:2">
      <c r="A5384" s="7"/>
      <c r="B5384" s="8"/>
    </row>
    <row r="5385" spans="1:2">
      <c r="A5385" s="7"/>
      <c r="B5385" s="8"/>
    </row>
    <row r="5386" spans="1:2">
      <c r="A5386" s="7"/>
      <c r="B5386" s="8"/>
    </row>
    <row r="5387" spans="1:2">
      <c r="A5387" s="7"/>
      <c r="B5387" s="8"/>
    </row>
    <row r="5388" spans="1:2">
      <c r="A5388" s="7"/>
      <c r="B5388" s="8"/>
    </row>
    <row r="5389" spans="1:2">
      <c r="A5389" s="7"/>
      <c r="B5389" s="8"/>
    </row>
    <row r="5390" spans="1:2">
      <c r="A5390" s="7"/>
      <c r="B5390" s="8"/>
    </row>
    <row r="5391" spans="1:2">
      <c r="A5391" s="7"/>
      <c r="B5391" s="8"/>
    </row>
    <row r="5392" spans="1:2">
      <c r="A5392" s="7"/>
      <c r="B5392" s="8"/>
    </row>
    <row r="5393" spans="1:2">
      <c r="A5393" s="7"/>
      <c r="B5393" s="8"/>
    </row>
    <row r="5394" spans="1:2">
      <c r="A5394" s="7"/>
      <c r="B5394" s="8"/>
    </row>
    <row r="5395" spans="1:2">
      <c r="A5395" s="7"/>
      <c r="B5395" s="8"/>
    </row>
    <row r="5396" spans="1:2">
      <c r="A5396" s="7"/>
      <c r="B5396" s="8"/>
    </row>
    <row r="5397" spans="1:2">
      <c r="A5397" s="7"/>
      <c r="B5397" s="8"/>
    </row>
    <row r="5398" spans="1:2">
      <c r="A5398" s="7"/>
      <c r="B5398" s="8"/>
    </row>
    <row r="5399" spans="1:2">
      <c r="A5399" s="7"/>
      <c r="B5399" s="8"/>
    </row>
    <row r="5400" spans="1:2">
      <c r="A5400" s="7"/>
      <c r="B5400" s="8"/>
    </row>
    <row r="5401" spans="1:2">
      <c r="A5401" s="7"/>
      <c r="B5401" s="8"/>
    </row>
    <row r="5402" spans="1:2">
      <c r="A5402" s="7"/>
      <c r="B5402" s="8"/>
    </row>
    <row r="5403" spans="1:2">
      <c r="A5403" s="7"/>
      <c r="B5403" s="8"/>
    </row>
    <row r="5404" spans="1:2">
      <c r="A5404" s="7"/>
      <c r="B5404" s="8"/>
    </row>
    <row r="5405" spans="1:2">
      <c r="A5405" s="7"/>
      <c r="B5405" s="8"/>
    </row>
    <row r="5406" spans="1:2">
      <c r="A5406" s="7"/>
      <c r="B5406" s="8"/>
    </row>
    <row r="5407" spans="1:2">
      <c r="A5407" s="7"/>
      <c r="B5407" s="8"/>
    </row>
    <row r="5408" spans="1:2">
      <c r="A5408" s="7"/>
      <c r="B5408" s="8"/>
    </row>
    <row r="5409" spans="1:2">
      <c r="A5409" s="7"/>
      <c r="B5409" s="8"/>
    </row>
    <row r="5410" spans="1:2">
      <c r="A5410" s="7"/>
      <c r="B5410" s="8"/>
    </row>
    <row r="5411" spans="1:2">
      <c r="A5411" s="7"/>
      <c r="B5411" s="8"/>
    </row>
    <row r="5412" spans="1:2">
      <c r="A5412" s="7"/>
      <c r="B5412" s="8"/>
    </row>
    <row r="5413" spans="1:2">
      <c r="A5413" s="7"/>
      <c r="B5413" s="8"/>
    </row>
    <row r="5414" spans="1:2">
      <c r="A5414" s="7"/>
      <c r="B5414" s="8"/>
    </row>
    <row r="5415" spans="1:2">
      <c r="A5415" s="7"/>
      <c r="B5415" s="8"/>
    </row>
    <row r="5416" spans="1:2">
      <c r="A5416" s="7"/>
      <c r="B5416" s="8"/>
    </row>
    <row r="5417" spans="1:2">
      <c r="A5417" s="7"/>
      <c r="B5417" s="8"/>
    </row>
    <row r="5418" spans="1:2">
      <c r="A5418" s="7"/>
      <c r="B5418" s="8"/>
    </row>
    <row r="5419" spans="1:2">
      <c r="A5419" s="7"/>
      <c r="B5419" s="8"/>
    </row>
    <row r="5420" spans="1:2">
      <c r="A5420" s="7"/>
      <c r="B5420" s="8"/>
    </row>
    <row r="5421" spans="1:2">
      <c r="A5421" s="7"/>
      <c r="B5421" s="8"/>
    </row>
    <row r="5422" spans="1:2">
      <c r="A5422" s="7"/>
      <c r="B5422" s="8"/>
    </row>
    <row r="5423" spans="1:2">
      <c r="A5423" s="7"/>
      <c r="B5423" s="8"/>
    </row>
    <row r="5424" spans="1:2">
      <c r="A5424" s="7"/>
      <c r="B5424" s="8"/>
    </row>
    <row r="5425" spans="1:2">
      <c r="A5425" s="7"/>
      <c r="B5425" s="8"/>
    </row>
    <row r="5426" spans="1:2">
      <c r="A5426" s="7"/>
      <c r="B5426" s="8"/>
    </row>
    <row r="5427" spans="1:2">
      <c r="A5427" s="7"/>
      <c r="B5427" s="8"/>
    </row>
    <row r="5428" spans="1:2">
      <c r="A5428" s="7"/>
      <c r="B5428" s="8"/>
    </row>
    <row r="5429" spans="1:2">
      <c r="A5429" s="7"/>
      <c r="B5429" s="8"/>
    </row>
    <row r="5430" spans="1:2">
      <c r="A5430" s="7"/>
      <c r="B5430" s="8"/>
    </row>
    <row r="5431" spans="1:2">
      <c r="A5431" s="7"/>
      <c r="B5431" s="8"/>
    </row>
    <row r="5432" spans="1:2">
      <c r="A5432" s="7"/>
      <c r="B5432" s="8"/>
    </row>
    <row r="5433" spans="1:2">
      <c r="A5433" s="7"/>
      <c r="B5433" s="8"/>
    </row>
    <row r="5434" spans="1:2">
      <c r="A5434" s="7"/>
      <c r="B5434" s="8"/>
    </row>
    <row r="5435" spans="1:2">
      <c r="A5435" s="7"/>
      <c r="B5435" s="8"/>
    </row>
    <row r="5436" spans="1:2">
      <c r="A5436" s="7"/>
      <c r="B5436" s="8"/>
    </row>
    <row r="5437" spans="1:2">
      <c r="A5437" s="7"/>
      <c r="B5437" s="8"/>
    </row>
    <row r="5438" spans="1:2">
      <c r="A5438" s="7"/>
      <c r="B5438" s="8"/>
    </row>
    <row r="5439" spans="1:2">
      <c r="A5439" s="7"/>
      <c r="B5439" s="8"/>
    </row>
    <row r="5440" spans="1:2">
      <c r="A5440" s="7"/>
      <c r="B5440" s="8"/>
    </row>
    <row r="5441" spans="1:2">
      <c r="A5441" s="7"/>
      <c r="B5441" s="8"/>
    </row>
    <row r="5442" spans="1:2">
      <c r="A5442" s="7"/>
      <c r="B5442" s="8"/>
    </row>
    <row r="5443" spans="1:2">
      <c r="A5443" s="7"/>
      <c r="B5443" s="8"/>
    </row>
    <row r="5444" spans="1:2">
      <c r="A5444" s="7"/>
      <c r="B5444" s="8"/>
    </row>
    <row r="5445" spans="1:2">
      <c r="A5445" s="7"/>
      <c r="B5445" s="8"/>
    </row>
    <row r="5446" spans="1:2">
      <c r="A5446" s="7"/>
      <c r="B5446" s="8"/>
    </row>
    <row r="5447" spans="1:2">
      <c r="A5447" s="7"/>
      <c r="B5447" s="8"/>
    </row>
    <row r="5448" spans="1:2">
      <c r="A5448" s="7"/>
      <c r="B5448" s="8"/>
    </row>
    <row r="5449" spans="1:2">
      <c r="A5449" s="7"/>
      <c r="B5449" s="8"/>
    </row>
    <row r="5450" spans="1:2">
      <c r="A5450" s="7"/>
      <c r="B5450" s="8"/>
    </row>
    <row r="5451" spans="1:2">
      <c r="A5451" s="7"/>
      <c r="B5451" s="8"/>
    </row>
    <row r="5452" spans="1:2">
      <c r="A5452" s="7"/>
      <c r="B5452" s="8"/>
    </row>
    <row r="5453" spans="1:2">
      <c r="A5453" s="7"/>
      <c r="B5453" s="8"/>
    </row>
    <row r="5454" spans="1:2">
      <c r="A5454" s="7"/>
      <c r="B5454" s="8"/>
    </row>
    <row r="5455" spans="1:2">
      <c r="A5455" s="7"/>
      <c r="B5455" s="8"/>
    </row>
    <row r="5456" spans="1:2">
      <c r="A5456" s="7"/>
      <c r="B5456" s="8"/>
    </row>
    <row r="5457" spans="1:2">
      <c r="A5457" s="7"/>
      <c r="B5457" s="8"/>
    </row>
    <row r="5458" spans="1:2">
      <c r="A5458" s="7"/>
      <c r="B5458" s="8"/>
    </row>
    <row r="5459" spans="1:2">
      <c r="A5459" s="7"/>
      <c r="B5459" s="8"/>
    </row>
    <row r="5460" spans="1:2">
      <c r="A5460" s="7"/>
      <c r="B5460" s="8"/>
    </row>
    <row r="5461" spans="1:2">
      <c r="A5461" s="7"/>
      <c r="B5461" s="8"/>
    </row>
    <row r="5462" spans="1:2">
      <c r="A5462" s="7"/>
      <c r="B5462" s="8"/>
    </row>
    <row r="5463" spans="1:2">
      <c r="A5463" s="7"/>
      <c r="B5463" s="8"/>
    </row>
    <row r="5464" spans="1:2">
      <c r="A5464" s="7"/>
      <c r="B5464" s="8"/>
    </row>
    <row r="5465" spans="1:2">
      <c r="A5465" s="7"/>
      <c r="B5465" s="8"/>
    </row>
    <row r="5466" spans="1:2">
      <c r="A5466" s="7"/>
      <c r="B5466" s="8"/>
    </row>
    <row r="5467" spans="1:2">
      <c r="A5467" s="7"/>
      <c r="B5467" s="8"/>
    </row>
    <row r="5468" spans="1:2">
      <c r="A5468" s="7"/>
      <c r="B5468" s="8"/>
    </row>
    <row r="5469" spans="1:2">
      <c r="A5469" s="7"/>
      <c r="B5469" s="8"/>
    </row>
    <row r="5470" spans="1:2">
      <c r="A5470" s="7"/>
      <c r="B5470" s="8"/>
    </row>
    <row r="5471" spans="1:2">
      <c r="A5471" s="7"/>
      <c r="B5471" s="8"/>
    </row>
    <row r="5472" spans="1:2">
      <c r="A5472" s="7"/>
      <c r="B5472" s="8"/>
    </row>
    <row r="5473" spans="1:2">
      <c r="A5473" s="7"/>
      <c r="B5473" s="8"/>
    </row>
    <row r="5474" spans="1:2">
      <c r="A5474" s="7"/>
      <c r="B5474" s="8"/>
    </row>
    <row r="5475" spans="1:2">
      <c r="A5475" s="7"/>
      <c r="B5475" s="8"/>
    </row>
    <row r="5476" spans="1:2">
      <c r="A5476" s="7"/>
      <c r="B5476" s="8"/>
    </row>
    <row r="5477" spans="1:2">
      <c r="A5477" s="7"/>
      <c r="B5477" s="8"/>
    </row>
    <row r="5478" spans="1:2">
      <c r="A5478" s="7"/>
      <c r="B5478" s="8"/>
    </row>
    <row r="5479" spans="1:2">
      <c r="A5479" s="7"/>
      <c r="B5479" s="8"/>
    </row>
    <row r="5480" spans="1:2">
      <c r="A5480" s="7"/>
      <c r="B5480" s="8"/>
    </row>
    <row r="5481" spans="1:2">
      <c r="A5481" s="7"/>
      <c r="B5481" s="8"/>
    </row>
    <row r="5482" spans="1:2">
      <c r="A5482" s="7"/>
      <c r="B5482" s="8"/>
    </row>
    <row r="5483" spans="1:2">
      <c r="A5483" s="7"/>
      <c r="B5483" s="8"/>
    </row>
    <row r="5484" spans="1:2">
      <c r="A5484" s="7"/>
      <c r="B5484" s="8"/>
    </row>
    <row r="5485" spans="1:2">
      <c r="A5485" s="7"/>
      <c r="B5485" s="8"/>
    </row>
    <row r="5486" spans="1:2">
      <c r="A5486" s="7"/>
      <c r="B5486" s="8"/>
    </row>
    <row r="5487" spans="1:2">
      <c r="A5487" s="7"/>
      <c r="B5487" s="8"/>
    </row>
    <row r="5488" spans="1:2">
      <c r="A5488" s="7"/>
      <c r="B5488" s="8"/>
    </row>
    <row r="5489" spans="1:2">
      <c r="A5489" s="7"/>
      <c r="B5489" s="8"/>
    </row>
    <row r="5490" spans="1:2">
      <c r="A5490" s="7"/>
      <c r="B5490" s="8"/>
    </row>
    <row r="5491" spans="1:2">
      <c r="A5491" s="7"/>
      <c r="B5491" s="8"/>
    </row>
    <row r="5492" spans="1:2">
      <c r="A5492" s="7"/>
      <c r="B5492" s="8"/>
    </row>
    <row r="5493" spans="1:2">
      <c r="A5493" s="7"/>
      <c r="B5493" s="8"/>
    </row>
    <row r="5494" spans="1:2">
      <c r="A5494" s="7"/>
      <c r="B5494" s="8"/>
    </row>
    <row r="5495" spans="1:2">
      <c r="A5495" s="7"/>
      <c r="B5495" s="8"/>
    </row>
    <row r="5496" spans="1:2">
      <c r="A5496" s="7"/>
      <c r="B5496" s="8"/>
    </row>
    <row r="5497" spans="1:2">
      <c r="A5497" s="7"/>
      <c r="B5497" s="8"/>
    </row>
    <row r="5498" spans="1:2">
      <c r="A5498" s="7"/>
      <c r="B5498" s="8"/>
    </row>
    <row r="5499" spans="1:2">
      <c r="A5499" s="7"/>
      <c r="B5499" s="8"/>
    </row>
    <row r="5500" spans="1:2">
      <c r="A5500" s="7"/>
      <c r="B5500" s="8"/>
    </row>
    <row r="5501" spans="1:2">
      <c r="A5501" s="7"/>
      <c r="B5501" s="8"/>
    </row>
    <row r="5502" spans="1:2">
      <c r="A5502" s="7"/>
      <c r="B5502" s="8"/>
    </row>
    <row r="5503" spans="1:2">
      <c r="A5503" s="7"/>
      <c r="B5503" s="8"/>
    </row>
    <row r="5504" spans="1:2">
      <c r="A5504" s="7"/>
      <c r="B5504" s="8"/>
    </row>
    <row r="5505" spans="1:2">
      <c r="A5505" s="7"/>
      <c r="B5505" s="8"/>
    </row>
    <row r="5506" spans="1:2">
      <c r="A5506" s="7"/>
      <c r="B5506" s="8"/>
    </row>
    <row r="5507" spans="1:2">
      <c r="A5507" s="7"/>
      <c r="B5507" s="8"/>
    </row>
    <row r="5508" spans="1:2">
      <c r="A5508" s="7"/>
      <c r="B5508" s="8"/>
    </row>
    <row r="5509" spans="1:2">
      <c r="A5509" s="7"/>
      <c r="B5509" s="8"/>
    </row>
    <row r="5510" spans="1:2">
      <c r="A5510" s="7"/>
      <c r="B5510" s="8"/>
    </row>
    <row r="5511" spans="1:2">
      <c r="A5511" s="7"/>
      <c r="B5511" s="8"/>
    </row>
    <row r="5512" spans="1:2">
      <c r="A5512" s="7"/>
      <c r="B5512" s="8"/>
    </row>
    <row r="5513" spans="1:2">
      <c r="A5513" s="7"/>
      <c r="B5513" s="8"/>
    </row>
    <row r="5514" spans="1:2">
      <c r="A5514" s="7"/>
      <c r="B5514" s="8"/>
    </row>
    <row r="5515" spans="1:2">
      <c r="A5515" s="7"/>
      <c r="B5515" s="8"/>
    </row>
    <row r="5516" spans="1:2">
      <c r="A5516" s="7"/>
      <c r="B5516" s="8"/>
    </row>
    <row r="5517" spans="1:2">
      <c r="A5517" s="7"/>
      <c r="B5517" s="8"/>
    </row>
    <row r="5518" spans="1:2">
      <c r="A5518" s="7"/>
      <c r="B5518" s="8"/>
    </row>
    <row r="5519" spans="1:2">
      <c r="A5519" s="7"/>
      <c r="B5519" s="8"/>
    </row>
    <row r="5520" spans="1:2">
      <c r="A5520" s="7"/>
      <c r="B5520" s="8"/>
    </row>
    <row r="5521" spans="1:2">
      <c r="A5521" s="7"/>
      <c r="B5521" s="8"/>
    </row>
    <row r="5522" spans="1:2">
      <c r="A5522" s="7"/>
      <c r="B5522" s="8"/>
    </row>
    <row r="5523" spans="1:2">
      <c r="A5523" s="7"/>
      <c r="B5523" s="8"/>
    </row>
    <row r="5524" spans="1:2">
      <c r="A5524" s="7"/>
      <c r="B5524" s="8"/>
    </row>
    <row r="5525" spans="1:2">
      <c r="A5525" s="7"/>
      <c r="B5525" s="8"/>
    </row>
    <row r="5526" spans="1:2">
      <c r="A5526" s="7"/>
      <c r="B5526" s="8"/>
    </row>
    <row r="5527" spans="1:2">
      <c r="A5527" s="7"/>
      <c r="B5527" s="8"/>
    </row>
    <row r="5528" spans="1:2">
      <c r="A5528" s="7"/>
      <c r="B5528" s="8"/>
    </row>
    <row r="5529" spans="1:2">
      <c r="A5529" s="7"/>
      <c r="B5529" s="8"/>
    </row>
    <row r="5530" spans="1:2">
      <c r="A5530" s="7"/>
      <c r="B5530" s="8"/>
    </row>
    <row r="5531" spans="1:2">
      <c r="A5531" s="7"/>
      <c r="B5531" s="8"/>
    </row>
    <row r="5532" spans="1:2">
      <c r="A5532" s="7"/>
      <c r="B5532" s="8"/>
    </row>
    <row r="5533" spans="1:2">
      <c r="A5533" s="7"/>
      <c r="B5533" s="8"/>
    </row>
    <row r="5534" spans="1:2">
      <c r="A5534" s="7"/>
      <c r="B5534" s="8"/>
    </row>
    <row r="5535" spans="1:2">
      <c r="A5535" s="7"/>
      <c r="B5535" s="8"/>
    </row>
    <row r="5536" spans="1:2">
      <c r="A5536" s="7"/>
      <c r="B5536" s="8"/>
    </row>
    <row r="5537" spans="1:2">
      <c r="A5537" s="7"/>
      <c r="B5537" s="8"/>
    </row>
    <row r="5538" spans="1:2">
      <c r="A5538" s="7"/>
      <c r="B5538" s="8"/>
    </row>
    <row r="5539" spans="1:2">
      <c r="A5539" s="7"/>
      <c r="B5539" s="8"/>
    </row>
    <row r="5540" spans="1:2">
      <c r="A5540" s="7"/>
      <c r="B5540" s="8"/>
    </row>
    <row r="5541" spans="1:2">
      <c r="A5541" s="7"/>
      <c r="B5541" s="8"/>
    </row>
    <row r="5542" spans="1:2">
      <c r="A5542" s="7"/>
      <c r="B5542" s="8"/>
    </row>
    <row r="5543" spans="1:2">
      <c r="A5543" s="7"/>
      <c r="B5543" s="8"/>
    </row>
    <row r="5544" spans="1:2">
      <c r="A5544" s="7"/>
      <c r="B5544" s="8"/>
    </row>
    <row r="5545" spans="1:2">
      <c r="A5545" s="7"/>
      <c r="B5545" s="8"/>
    </row>
    <row r="5546" spans="1:2">
      <c r="A5546" s="7"/>
      <c r="B5546" s="8"/>
    </row>
    <row r="5547" spans="1:2">
      <c r="A5547" s="7"/>
      <c r="B5547" s="8"/>
    </row>
    <row r="5548" spans="1:2">
      <c r="A5548" s="7"/>
      <c r="B5548" s="8"/>
    </row>
    <row r="5549" spans="1:2">
      <c r="A5549" s="7"/>
      <c r="B5549" s="8"/>
    </row>
    <row r="5550" spans="1:2">
      <c r="A5550" s="7"/>
      <c r="B5550" s="8"/>
    </row>
    <row r="5551" spans="1:2">
      <c r="A5551" s="7"/>
      <c r="B5551" s="8"/>
    </row>
    <row r="5552" spans="1:2">
      <c r="A5552" s="7"/>
      <c r="B5552" s="8"/>
    </row>
    <row r="5553" spans="1:2">
      <c r="A5553" s="7"/>
      <c r="B5553" s="8"/>
    </row>
    <row r="5554" spans="1:2">
      <c r="A5554" s="7"/>
      <c r="B5554" s="8"/>
    </row>
    <row r="5555" spans="1:2">
      <c r="A5555" s="7"/>
      <c r="B5555" s="8"/>
    </row>
    <row r="5556" spans="1:2">
      <c r="A5556" s="7"/>
      <c r="B5556" s="8"/>
    </row>
    <row r="5557" spans="1:2">
      <c r="A5557" s="7"/>
      <c r="B5557" s="8"/>
    </row>
    <row r="5558" spans="1:2">
      <c r="A5558" s="7"/>
      <c r="B5558" s="8"/>
    </row>
    <row r="5559" spans="1:2">
      <c r="A5559" s="7"/>
      <c r="B5559" s="8"/>
    </row>
    <row r="5560" spans="1:2">
      <c r="A5560" s="7"/>
      <c r="B5560" s="8"/>
    </row>
    <row r="5561" spans="1:2">
      <c r="A5561" s="7"/>
      <c r="B5561" s="8"/>
    </row>
    <row r="5562" spans="1:2">
      <c r="A5562" s="7"/>
      <c r="B5562" s="8"/>
    </row>
    <row r="5563" spans="1:2">
      <c r="A5563" s="7"/>
      <c r="B5563" s="8"/>
    </row>
    <row r="5564" spans="1:2">
      <c r="A5564" s="7"/>
      <c r="B5564" s="8"/>
    </row>
    <row r="5565" spans="1:2">
      <c r="A5565" s="7"/>
      <c r="B5565" s="8"/>
    </row>
    <row r="5566" spans="1:2">
      <c r="A5566" s="7"/>
      <c r="B5566" s="8"/>
    </row>
    <row r="5567" spans="1:2">
      <c r="A5567" s="7"/>
      <c r="B5567" s="8"/>
    </row>
    <row r="5568" spans="1:2">
      <c r="A5568" s="7"/>
      <c r="B5568" s="8"/>
    </row>
    <row r="5569" spans="1:2">
      <c r="A5569" s="7"/>
      <c r="B5569" s="8"/>
    </row>
    <row r="5570" spans="1:2">
      <c r="A5570" s="7"/>
      <c r="B5570" s="8"/>
    </row>
    <row r="5571" spans="1:2">
      <c r="A5571" s="7"/>
      <c r="B5571" s="8"/>
    </row>
    <row r="5572" spans="1:2">
      <c r="A5572" s="7"/>
      <c r="B5572" s="8"/>
    </row>
    <row r="5573" spans="1:2">
      <c r="A5573" s="7"/>
      <c r="B5573" s="8"/>
    </row>
    <row r="5574" spans="1:2">
      <c r="A5574" s="7"/>
      <c r="B5574" s="8"/>
    </row>
    <row r="5575" spans="1:2">
      <c r="A5575" s="7"/>
      <c r="B5575" s="8"/>
    </row>
    <row r="5576" spans="1:2">
      <c r="A5576" s="7"/>
      <c r="B5576" s="8"/>
    </row>
    <row r="5577" spans="1:2">
      <c r="A5577" s="7"/>
      <c r="B5577" s="8"/>
    </row>
    <row r="5578" spans="1:2">
      <c r="A5578" s="7"/>
      <c r="B5578" s="8"/>
    </row>
    <row r="5579" spans="1:2">
      <c r="A5579" s="7"/>
      <c r="B5579" s="8"/>
    </row>
    <row r="5580" spans="1:2">
      <c r="A5580" s="7"/>
      <c r="B5580" s="8"/>
    </row>
    <row r="5581" spans="1:2">
      <c r="A5581" s="7"/>
      <c r="B5581" s="8"/>
    </row>
    <row r="5582" spans="1:2">
      <c r="A5582" s="7"/>
      <c r="B5582" s="8"/>
    </row>
    <row r="5583" spans="1:2">
      <c r="A5583" s="7"/>
      <c r="B5583" s="8"/>
    </row>
    <row r="5584" spans="1:2">
      <c r="A5584" s="7"/>
      <c r="B5584" s="8"/>
    </row>
    <row r="5585" spans="1:2">
      <c r="A5585" s="7"/>
      <c r="B5585" s="8"/>
    </row>
    <row r="5586" spans="1:2">
      <c r="A5586" s="7"/>
      <c r="B5586" s="8"/>
    </row>
    <row r="5587" spans="1:2">
      <c r="A5587" s="7"/>
      <c r="B5587" s="8"/>
    </row>
    <row r="5588" spans="1:2">
      <c r="A5588" s="7"/>
      <c r="B5588" s="8"/>
    </row>
    <row r="5589" spans="1:2">
      <c r="A5589" s="7"/>
      <c r="B5589" s="8"/>
    </row>
    <row r="5590" spans="1:2">
      <c r="A5590" s="7"/>
      <c r="B5590" s="8"/>
    </row>
    <row r="5591" spans="1:2">
      <c r="A5591" s="7"/>
      <c r="B5591" s="8"/>
    </row>
    <row r="5592" spans="1:2">
      <c r="A5592" s="7"/>
      <c r="B5592" s="8"/>
    </row>
    <row r="5593" spans="1:2">
      <c r="A5593" s="7"/>
      <c r="B5593" s="8"/>
    </row>
    <row r="5594" spans="1:2">
      <c r="A5594" s="7"/>
      <c r="B5594" s="8"/>
    </row>
    <row r="5595" spans="1:2">
      <c r="A5595" s="7"/>
      <c r="B5595" s="8"/>
    </row>
    <row r="5596" spans="1:2">
      <c r="A5596" s="7"/>
      <c r="B5596" s="8"/>
    </row>
    <row r="5597" spans="1:2">
      <c r="A5597" s="7"/>
      <c r="B5597" s="8"/>
    </row>
    <row r="5598" spans="1:2">
      <c r="A5598" s="7"/>
      <c r="B5598" s="8"/>
    </row>
    <row r="5599" spans="1:2">
      <c r="A5599" s="7"/>
      <c r="B5599" s="8"/>
    </row>
    <row r="5600" spans="1:2">
      <c r="A5600" s="7"/>
      <c r="B5600" s="8"/>
    </row>
    <row r="5601" spans="1:2">
      <c r="A5601" s="7"/>
      <c r="B5601" s="8"/>
    </row>
    <row r="5602" spans="1:2">
      <c r="A5602" s="7"/>
      <c r="B5602" s="8"/>
    </row>
    <row r="5603" spans="1:2">
      <c r="A5603" s="7"/>
      <c r="B5603" s="8"/>
    </row>
    <row r="5604" spans="1:2">
      <c r="A5604" s="7"/>
      <c r="B5604" s="8"/>
    </row>
    <row r="5605" spans="1:2">
      <c r="A5605" s="7"/>
      <c r="B5605" s="8"/>
    </row>
    <row r="5606" spans="1:2">
      <c r="A5606" s="7"/>
      <c r="B5606" s="8"/>
    </row>
    <row r="5607" spans="1:2">
      <c r="A5607" s="7"/>
      <c r="B5607" s="8"/>
    </row>
    <row r="5608" spans="1:2">
      <c r="A5608" s="7"/>
      <c r="B5608" s="8"/>
    </row>
    <row r="5609" spans="1:2">
      <c r="A5609" s="7"/>
      <c r="B5609" s="8"/>
    </row>
    <row r="5610" spans="1:2">
      <c r="A5610" s="7"/>
      <c r="B5610" s="8"/>
    </row>
    <row r="5611" spans="1:2">
      <c r="A5611" s="7"/>
      <c r="B5611" s="8"/>
    </row>
    <row r="5612" spans="1:2">
      <c r="A5612" s="7"/>
      <c r="B5612" s="8"/>
    </row>
    <row r="5613" spans="1:2">
      <c r="A5613" s="7"/>
      <c r="B5613" s="8"/>
    </row>
    <row r="5614" spans="1:2">
      <c r="A5614" s="7"/>
      <c r="B5614" s="8"/>
    </row>
    <row r="5615" spans="1:2">
      <c r="A5615" s="7"/>
      <c r="B5615" s="8"/>
    </row>
    <row r="5616" spans="1:2">
      <c r="A5616" s="7"/>
      <c r="B5616" s="8"/>
    </row>
    <row r="5617" spans="1:2">
      <c r="A5617" s="7"/>
      <c r="B5617" s="8"/>
    </row>
    <row r="5618" spans="1:2">
      <c r="A5618" s="7"/>
      <c r="B5618" s="8"/>
    </row>
    <row r="5619" spans="1:2">
      <c r="A5619" s="7"/>
      <c r="B5619" s="8"/>
    </row>
    <row r="5620" spans="1:2">
      <c r="A5620" s="7"/>
      <c r="B5620" s="8"/>
    </row>
    <row r="5621" spans="1:2">
      <c r="A5621" s="7"/>
      <c r="B5621" s="8"/>
    </row>
    <row r="5622" spans="1:2">
      <c r="A5622" s="7"/>
      <c r="B5622" s="8"/>
    </row>
    <row r="5623" spans="1:2">
      <c r="A5623" s="7"/>
      <c r="B5623" s="8"/>
    </row>
    <row r="5624" spans="1:2">
      <c r="A5624" s="7"/>
      <c r="B5624" s="8"/>
    </row>
    <row r="5625" spans="1:2">
      <c r="A5625" s="7"/>
      <c r="B5625" s="8"/>
    </row>
    <row r="5626" spans="1:2">
      <c r="A5626" s="7"/>
      <c r="B5626" s="8"/>
    </row>
    <row r="5627" spans="1:2">
      <c r="A5627" s="7"/>
      <c r="B5627" s="8"/>
    </row>
    <row r="5628" spans="1:2">
      <c r="A5628" s="7"/>
      <c r="B5628" s="8"/>
    </row>
    <row r="5629" spans="1:2">
      <c r="A5629" s="7"/>
      <c r="B5629" s="8"/>
    </row>
    <row r="5630" spans="1:2">
      <c r="A5630" s="7"/>
      <c r="B5630" s="8"/>
    </row>
    <row r="5631" spans="1:2">
      <c r="A5631" s="7"/>
      <c r="B5631" s="8"/>
    </row>
    <row r="5632" spans="1:2">
      <c r="A5632" s="7"/>
      <c r="B5632" s="8"/>
    </row>
    <row r="5633" spans="1:2">
      <c r="A5633" s="7"/>
      <c r="B5633" s="8"/>
    </row>
    <row r="5634" spans="1:2">
      <c r="A5634" s="7"/>
      <c r="B5634" s="8"/>
    </row>
    <row r="5635" spans="1:2">
      <c r="A5635" s="7"/>
      <c r="B5635" s="8"/>
    </row>
    <row r="5636" spans="1:2">
      <c r="A5636" s="7"/>
      <c r="B5636" s="8"/>
    </row>
    <row r="5637" spans="1:2">
      <c r="A5637" s="7"/>
      <c r="B5637" s="8"/>
    </row>
    <row r="5638" spans="1:2">
      <c r="A5638" s="7"/>
      <c r="B5638" s="8"/>
    </row>
    <row r="5639" spans="1:2">
      <c r="A5639" s="7"/>
      <c r="B5639" s="8"/>
    </row>
    <row r="5640" spans="1:2">
      <c r="A5640" s="7"/>
      <c r="B5640" s="8"/>
    </row>
    <row r="5641" spans="1:2">
      <c r="A5641" s="7"/>
      <c r="B5641" s="8"/>
    </row>
    <row r="5642" spans="1:2">
      <c r="A5642" s="7"/>
      <c r="B5642" s="8"/>
    </row>
    <row r="5643" spans="1:2">
      <c r="A5643" s="7"/>
      <c r="B5643" s="8"/>
    </row>
    <row r="5644" spans="1:2">
      <c r="A5644" s="7"/>
      <c r="B5644" s="8"/>
    </row>
    <row r="5645" spans="1:2">
      <c r="A5645" s="7"/>
      <c r="B5645" s="8"/>
    </row>
    <row r="5646" spans="1:2">
      <c r="A5646" s="7"/>
      <c r="B5646" s="8"/>
    </row>
    <row r="5647" spans="1:2">
      <c r="A5647" s="7"/>
      <c r="B5647" s="8"/>
    </row>
    <row r="5648" spans="1:2">
      <c r="A5648" s="7"/>
      <c r="B5648" s="8"/>
    </row>
    <row r="5649" spans="1:2">
      <c r="A5649" s="7"/>
      <c r="B5649" s="8"/>
    </row>
    <row r="5650" spans="1:2">
      <c r="A5650" s="7"/>
      <c r="B5650" s="8"/>
    </row>
    <row r="5651" spans="1:2">
      <c r="A5651" s="7"/>
      <c r="B5651" s="8"/>
    </row>
    <row r="5652" spans="1:2">
      <c r="A5652" s="7"/>
      <c r="B5652" s="8"/>
    </row>
    <row r="5653" spans="1:2">
      <c r="A5653" s="7"/>
      <c r="B5653" s="8"/>
    </row>
    <row r="5654" spans="1:2">
      <c r="A5654" s="7"/>
      <c r="B5654" s="8"/>
    </row>
    <row r="5655" spans="1:2">
      <c r="A5655" s="7"/>
      <c r="B5655" s="8"/>
    </row>
    <row r="5656" spans="1:2">
      <c r="A5656" s="7"/>
      <c r="B5656" s="8"/>
    </row>
    <row r="5657" spans="1:2">
      <c r="A5657" s="7"/>
      <c r="B5657" s="8"/>
    </row>
    <row r="5658" spans="1:2">
      <c r="A5658" s="7"/>
      <c r="B5658" s="8"/>
    </row>
    <row r="5659" spans="1:2">
      <c r="A5659" s="7"/>
      <c r="B5659" s="8"/>
    </row>
    <row r="5660" spans="1:2">
      <c r="A5660" s="7"/>
      <c r="B5660" s="8"/>
    </row>
    <row r="5661" spans="1:2">
      <c r="A5661" s="7"/>
      <c r="B5661" s="8"/>
    </row>
    <row r="5662" spans="1:2">
      <c r="A5662" s="7"/>
      <c r="B5662" s="8"/>
    </row>
    <row r="5663" spans="1:2">
      <c r="A5663" s="7"/>
      <c r="B5663" s="8"/>
    </row>
    <row r="5664" spans="1:2">
      <c r="A5664" s="7"/>
      <c r="B5664" s="8"/>
    </row>
    <row r="5665" spans="1:2">
      <c r="A5665" s="7"/>
      <c r="B5665" s="8"/>
    </row>
    <row r="5666" spans="1:2">
      <c r="A5666" s="7"/>
      <c r="B5666" s="8"/>
    </row>
    <row r="5667" spans="1:2">
      <c r="A5667" s="7"/>
      <c r="B5667" s="8"/>
    </row>
    <row r="5668" spans="1:2">
      <c r="A5668" s="7"/>
      <c r="B5668" s="8"/>
    </row>
    <row r="5669" spans="1:2">
      <c r="A5669" s="7"/>
      <c r="B5669" s="8"/>
    </row>
    <row r="5670" spans="1:2">
      <c r="A5670" s="7"/>
      <c r="B5670" s="8"/>
    </row>
    <row r="5671" spans="1:2">
      <c r="A5671" s="7"/>
      <c r="B5671" s="8"/>
    </row>
    <row r="5672" spans="1:2">
      <c r="A5672" s="7"/>
      <c r="B5672" s="8"/>
    </row>
    <row r="5673" spans="1:2">
      <c r="A5673" s="7"/>
      <c r="B5673" s="8"/>
    </row>
    <row r="5674" spans="1:2">
      <c r="A5674" s="7"/>
      <c r="B5674" s="8"/>
    </row>
    <row r="5675" spans="1:2">
      <c r="A5675" s="7"/>
      <c r="B5675" s="8"/>
    </row>
    <row r="5676" spans="1:2">
      <c r="A5676" s="7"/>
      <c r="B5676" s="8"/>
    </row>
    <row r="5677" spans="1:2">
      <c r="A5677" s="7"/>
      <c r="B5677" s="8"/>
    </row>
    <row r="5678" spans="1:2">
      <c r="A5678" s="7"/>
      <c r="B5678" s="8"/>
    </row>
    <row r="5679" spans="1:2">
      <c r="A5679" s="7"/>
      <c r="B5679" s="8"/>
    </row>
    <row r="5680" spans="1:2">
      <c r="A5680" s="7"/>
      <c r="B5680" s="8"/>
    </row>
    <row r="5681" spans="1:2">
      <c r="A5681" s="7"/>
      <c r="B5681" s="8"/>
    </row>
    <row r="5682" spans="1:2">
      <c r="A5682" s="7"/>
      <c r="B5682" s="8"/>
    </row>
    <row r="5683" spans="1:2">
      <c r="A5683" s="7"/>
      <c r="B5683" s="8"/>
    </row>
    <row r="5684" spans="1:2">
      <c r="A5684" s="7"/>
      <c r="B5684" s="8"/>
    </row>
    <row r="5685" spans="1:2">
      <c r="A5685" s="7"/>
      <c r="B5685" s="8"/>
    </row>
    <row r="5686" spans="1:2">
      <c r="A5686" s="7"/>
      <c r="B5686" s="8"/>
    </row>
    <row r="5687" spans="1:2">
      <c r="A5687" s="7"/>
      <c r="B5687" s="8"/>
    </row>
    <row r="5688" spans="1:2">
      <c r="A5688" s="7"/>
      <c r="B5688" s="8"/>
    </row>
    <row r="5689" spans="1:2">
      <c r="A5689" s="7"/>
      <c r="B5689" s="8"/>
    </row>
    <row r="5690" spans="1:2">
      <c r="A5690" s="7"/>
      <c r="B5690" s="8"/>
    </row>
    <row r="5691" spans="1:2">
      <c r="A5691" s="7"/>
      <c r="B5691" s="8"/>
    </row>
    <row r="5692" spans="1:2">
      <c r="A5692" s="7"/>
      <c r="B5692" s="8"/>
    </row>
    <row r="5693" spans="1:2">
      <c r="A5693" s="7"/>
      <c r="B5693" s="8"/>
    </row>
    <row r="5694" spans="1:2">
      <c r="A5694" s="7"/>
      <c r="B5694" s="8"/>
    </row>
    <row r="5695" spans="1:2">
      <c r="A5695" s="7"/>
      <c r="B5695" s="8"/>
    </row>
    <row r="5696" spans="1:2">
      <c r="A5696" s="7"/>
      <c r="B5696" s="8"/>
    </row>
    <row r="5697" spans="1:2">
      <c r="A5697" s="7"/>
      <c r="B5697" s="8"/>
    </row>
    <row r="5698" spans="1:2">
      <c r="A5698" s="7"/>
      <c r="B5698" s="8"/>
    </row>
    <row r="5699" spans="1:2">
      <c r="A5699" s="7"/>
      <c r="B5699" s="8"/>
    </row>
    <row r="5700" spans="1:2">
      <c r="A5700" s="7"/>
      <c r="B5700" s="8"/>
    </row>
    <row r="5701" spans="1:2">
      <c r="A5701" s="7"/>
      <c r="B5701" s="8"/>
    </row>
    <row r="5702" spans="1:2">
      <c r="A5702" s="7"/>
      <c r="B5702" s="8"/>
    </row>
    <row r="5703" spans="1:2">
      <c r="A5703" s="7"/>
      <c r="B5703" s="8"/>
    </row>
    <row r="5704" spans="1:2">
      <c r="A5704" s="7"/>
      <c r="B5704" s="8"/>
    </row>
    <row r="5705" spans="1:2">
      <c r="A5705" s="7"/>
      <c r="B5705" s="8"/>
    </row>
    <row r="5706" spans="1:2">
      <c r="A5706" s="7"/>
      <c r="B5706" s="8"/>
    </row>
    <row r="5707" spans="1:2">
      <c r="A5707" s="7"/>
      <c r="B5707" s="8"/>
    </row>
    <row r="5708" spans="1:2">
      <c r="A5708" s="7"/>
      <c r="B5708" s="8"/>
    </row>
    <row r="5709" spans="1:2">
      <c r="A5709" s="7"/>
      <c r="B5709" s="8"/>
    </row>
    <row r="5710" spans="1:2">
      <c r="A5710" s="7"/>
      <c r="B5710" s="8"/>
    </row>
    <row r="5711" spans="1:2">
      <c r="A5711" s="7"/>
      <c r="B5711" s="8"/>
    </row>
    <row r="5712" spans="1:2">
      <c r="A5712" s="7"/>
      <c r="B5712" s="8"/>
    </row>
    <row r="5713" spans="1:2">
      <c r="A5713" s="7"/>
      <c r="B5713" s="8"/>
    </row>
    <row r="5714" spans="1:2">
      <c r="A5714" s="7"/>
      <c r="B5714" s="8"/>
    </row>
    <row r="5715" spans="1:2">
      <c r="A5715" s="7"/>
      <c r="B5715" s="8"/>
    </row>
    <row r="5716" spans="1:2">
      <c r="A5716" s="7"/>
      <c r="B5716" s="8"/>
    </row>
    <row r="5717" spans="1:2">
      <c r="A5717" s="7"/>
      <c r="B5717" s="8"/>
    </row>
    <row r="5718" spans="1:2">
      <c r="A5718" s="7"/>
      <c r="B5718" s="8"/>
    </row>
    <row r="5719" spans="1:2">
      <c r="A5719" s="7"/>
      <c r="B5719" s="8"/>
    </row>
    <row r="5720" spans="1:2">
      <c r="A5720" s="7"/>
      <c r="B5720" s="8"/>
    </row>
    <row r="5721" spans="1:2">
      <c r="A5721" s="7"/>
      <c r="B5721" s="8"/>
    </row>
    <row r="5722" spans="1:2">
      <c r="A5722" s="7"/>
      <c r="B5722" s="8"/>
    </row>
    <row r="5723" spans="1:2">
      <c r="A5723" s="7"/>
      <c r="B5723" s="8"/>
    </row>
    <row r="5724" spans="1:2">
      <c r="A5724" s="7"/>
      <c r="B5724" s="8"/>
    </row>
    <row r="5725" spans="1:2">
      <c r="A5725" s="7"/>
      <c r="B5725" s="8"/>
    </row>
    <row r="5726" spans="1:2">
      <c r="A5726" s="7"/>
      <c r="B5726" s="8"/>
    </row>
    <row r="5727" spans="1:2">
      <c r="A5727" s="7"/>
      <c r="B5727" s="8"/>
    </row>
    <row r="5728" spans="1:2">
      <c r="A5728" s="7"/>
      <c r="B5728" s="8"/>
    </row>
    <row r="5729" spans="1:2">
      <c r="A5729" s="7"/>
      <c r="B5729" s="8"/>
    </row>
    <row r="5730" spans="1:2">
      <c r="A5730" s="7"/>
      <c r="B5730" s="8"/>
    </row>
    <row r="5731" spans="1:2">
      <c r="A5731" s="7"/>
      <c r="B5731" s="8"/>
    </row>
    <row r="5732" spans="1:2">
      <c r="A5732" s="7"/>
      <c r="B5732" s="8"/>
    </row>
    <row r="5733" spans="1:2">
      <c r="A5733" s="7"/>
      <c r="B5733" s="8"/>
    </row>
    <row r="5734" spans="1:2">
      <c r="A5734" s="7"/>
      <c r="B5734" s="8"/>
    </row>
    <row r="5735" spans="1:2">
      <c r="A5735" s="7"/>
      <c r="B5735" s="8"/>
    </row>
    <row r="5736" spans="1:2">
      <c r="A5736" s="7"/>
      <c r="B5736" s="8"/>
    </row>
    <row r="5737" spans="1:2">
      <c r="A5737" s="7"/>
      <c r="B5737" s="8"/>
    </row>
    <row r="5738" spans="1:2">
      <c r="A5738" s="7"/>
      <c r="B5738" s="8"/>
    </row>
    <row r="5739" spans="1:2">
      <c r="A5739" s="7"/>
      <c r="B5739" s="8"/>
    </row>
    <row r="5740" spans="1:2">
      <c r="A5740" s="7"/>
      <c r="B5740" s="8"/>
    </row>
    <row r="5741" spans="1:2">
      <c r="A5741" s="7"/>
      <c r="B5741" s="8"/>
    </row>
    <row r="5742" spans="1:2">
      <c r="A5742" s="7"/>
      <c r="B5742" s="8"/>
    </row>
    <row r="5743" spans="1:2">
      <c r="A5743" s="7"/>
      <c r="B5743" s="8"/>
    </row>
    <row r="5744" spans="1:2">
      <c r="A5744" s="7"/>
      <c r="B5744" s="8"/>
    </row>
    <row r="5745" spans="1:2">
      <c r="A5745" s="7"/>
      <c r="B5745" s="8"/>
    </row>
    <row r="5746" spans="1:2">
      <c r="A5746" s="7"/>
      <c r="B5746" s="8"/>
    </row>
    <row r="5747" spans="1:2">
      <c r="A5747" s="7"/>
      <c r="B5747" s="8"/>
    </row>
    <row r="5748" spans="1:2">
      <c r="A5748" s="7"/>
      <c r="B5748" s="8"/>
    </row>
    <row r="5749" spans="1:2">
      <c r="A5749" s="7"/>
      <c r="B5749" s="8"/>
    </row>
    <row r="5750" spans="1:2">
      <c r="A5750" s="7"/>
      <c r="B5750" s="8"/>
    </row>
    <row r="5751" spans="1:2">
      <c r="A5751" s="7"/>
      <c r="B5751" s="8"/>
    </row>
    <row r="5752" spans="1:2">
      <c r="A5752" s="7"/>
      <c r="B5752" s="8"/>
    </row>
    <row r="5753" spans="1:2">
      <c r="A5753" s="7"/>
      <c r="B5753" s="8"/>
    </row>
    <row r="5754" spans="1:2">
      <c r="A5754" s="7"/>
      <c r="B5754" s="8"/>
    </row>
    <row r="5755" spans="1:2">
      <c r="A5755" s="7"/>
      <c r="B5755" s="8"/>
    </row>
    <row r="5756" spans="1:2">
      <c r="A5756" s="7"/>
      <c r="B5756" s="8"/>
    </row>
    <row r="5757" spans="1:2">
      <c r="A5757" s="7"/>
      <c r="B5757" s="8"/>
    </row>
    <row r="5758" spans="1:2">
      <c r="A5758" s="7"/>
      <c r="B5758" s="8"/>
    </row>
    <row r="5759" spans="1:2">
      <c r="A5759" s="7"/>
      <c r="B5759" s="8"/>
    </row>
    <row r="5760" spans="1:2">
      <c r="A5760" s="7"/>
      <c r="B5760" s="8"/>
    </row>
    <row r="5761" spans="1:2">
      <c r="A5761" s="7"/>
      <c r="B5761" s="8"/>
    </row>
    <row r="5762" spans="1:2">
      <c r="A5762" s="7"/>
      <c r="B5762" s="8"/>
    </row>
    <row r="5763" spans="1:2">
      <c r="A5763" s="7"/>
      <c r="B5763" s="8"/>
    </row>
    <row r="5764" spans="1:2">
      <c r="A5764" s="7"/>
      <c r="B5764" s="8"/>
    </row>
    <row r="5765" spans="1:2">
      <c r="A5765" s="7"/>
      <c r="B5765" s="8"/>
    </row>
    <row r="5766" spans="1:2">
      <c r="A5766" s="7"/>
      <c r="B5766" s="8"/>
    </row>
    <row r="5767" spans="1:2">
      <c r="A5767" s="7"/>
      <c r="B5767" s="8"/>
    </row>
    <row r="5768" spans="1:2">
      <c r="A5768" s="7"/>
      <c r="B5768" s="8"/>
    </row>
    <row r="5769" spans="1:2">
      <c r="A5769" s="7"/>
      <c r="B5769" s="8"/>
    </row>
    <row r="5770" spans="1:2">
      <c r="A5770" s="7"/>
      <c r="B5770" s="8"/>
    </row>
    <row r="5771" spans="1:2">
      <c r="A5771" s="7"/>
      <c r="B5771" s="8"/>
    </row>
    <row r="5772" spans="1:2">
      <c r="A5772" s="7"/>
      <c r="B5772" s="8"/>
    </row>
    <row r="5773" spans="1:2">
      <c r="A5773" s="7"/>
      <c r="B5773" s="8"/>
    </row>
    <row r="5774" spans="1:2">
      <c r="A5774" s="7"/>
      <c r="B5774" s="8"/>
    </row>
    <row r="5775" spans="1:2">
      <c r="A5775" s="7"/>
      <c r="B5775" s="8"/>
    </row>
    <row r="5776" spans="1:2">
      <c r="A5776" s="7"/>
      <c r="B5776" s="8"/>
    </row>
    <row r="5777" spans="1:2">
      <c r="A5777" s="7"/>
      <c r="B5777" s="8"/>
    </row>
    <row r="5778" spans="1:2">
      <c r="A5778" s="7"/>
      <c r="B5778" s="8"/>
    </row>
    <row r="5779" spans="1:2">
      <c r="A5779" s="7"/>
      <c r="B5779" s="8"/>
    </row>
    <row r="5780" spans="1:2">
      <c r="A5780" s="7"/>
      <c r="B5780" s="8"/>
    </row>
    <row r="5781" spans="1:2">
      <c r="A5781" s="7"/>
      <c r="B5781" s="8"/>
    </row>
    <row r="5782" spans="1:2">
      <c r="A5782" s="7"/>
      <c r="B5782" s="8"/>
    </row>
    <row r="5783" spans="1:2">
      <c r="A5783" s="7"/>
      <c r="B5783" s="8"/>
    </row>
    <row r="5784" spans="1:2">
      <c r="A5784" s="7"/>
      <c r="B5784" s="8"/>
    </row>
    <row r="5785" spans="1:2">
      <c r="A5785" s="7"/>
      <c r="B5785" s="8"/>
    </row>
    <row r="5786" spans="1:2">
      <c r="A5786" s="7"/>
      <c r="B5786" s="8"/>
    </row>
    <row r="5787" spans="1:2">
      <c r="A5787" s="7"/>
      <c r="B5787" s="8"/>
    </row>
    <row r="5788" spans="1:2">
      <c r="A5788" s="7"/>
      <c r="B5788" s="8"/>
    </row>
    <row r="5789" spans="1:2">
      <c r="A5789" s="7"/>
      <c r="B5789" s="8"/>
    </row>
    <row r="5790" spans="1:2">
      <c r="A5790" s="7"/>
      <c r="B5790" s="8"/>
    </row>
    <row r="5791" spans="1:2">
      <c r="A5791" s="7"/>
      <c r="B5791" s="8"/>
    </row>
    <row r="5792" spans="1:2">
      <c r="A5792" s="7"/>
      <c r="B5792" s="8"/>
    </row>
    <row r="5793" spans="1:2">
      <c r="A5793" s="7"/>
      <c r="B5793" s="8"/>
    </row>
    <row r="5794" spans="1:2">
      <c r="A5794" s="7"/>
      <c r="B5794" s="8"/>
    </row>
    <row r="5795" spans="1:2">
      <c r="A5795" s="7"/>
      <c r="B5795" s="8"/>
    </row>
    <row r="5796" spans="1:2">
      <c r="A5796" s="7"/>
      <c r="B5796" s="8"/>
    </row>
    <row r="5797" spans="1:2">
      <c r="A5797" s="7"/>
      <c r="B5797" s="8"/>
    </row>
    <row r="5798" spans="1:2">
      <c r="A5798" s="7"/>
      <c r="B5798" s="8"/>
    </row>
    <row r="5799" spans="1:2">
      <c r="A5799" s="7"/>
      <c r="B5799" s="8"/>
    </row>
    <row r="5800" spans="1:2">
      <c r="A5800" s="7"/>
      <c r="B5800" s="8"/>
    </row>
    <row r="5801" spans="1:2">
      <c r="A5801" s="7"/>
      <c r="B5801" s="8"/>
    </row>
    <row r="5802" spans="1:2">
      <c r="A5802" s="7"/>
      <c r="B5802" s="8"/>
    </row>
    <row r="5803" spans="1:2">
      <c r="A5803" s="7"/>
      <c r="B5803" s="8"/>
    </row>
    <row r="5804" spans="1:2">
      <c r="A5804" s="7"/>
      <c r="B5804" s="8"/>
    </row>
    <row r="5805" spans="1:2">
      <c r="A5805" s="7"/>
      <c r="B5805" s="8"/>
    </row>
    <row r="5806" spans="1:2">
      <c r="A5806" s="7"/>
      <c r="B5806" s="8"/>
    </row>
    <row r="5807" spans="1:2">
      <c r="A5807" s="7"/>
      <c r="B5807" s="8"/>
    </row>
    <row r="5808" spans="1:2">
      <c r="A5808" s="7"/>
      <c r="B5808" s="8"/>
    </row>
    <row r="5809" spans="1:2">
      <c r="A5809" s="7"/>
      <c r="B5809" s="8"/>
    </row>
    <row r="5810" spans="1:2">
      <c r="A5810" s="7"/>
      <c r="B5810" s="8"/>
    </row>
    <row r="5811" spans="1:2">
      <c r="A5811" s="7"/>
      <c r="B5811" s="8"/>
    </row>
    <row r="5812" spans="1:2">
      <c r="A5812" s="7"/>
      <c r="B5812" s="8"/>
    </row>
    <row r="5813" spans="1:2">
      <c r="A5813" s="7"/>
      <c r="B5813" s="8"/>
    </row>
    <row r="5814" spans="1:2">
      <c r="A5814" s="7"/>
      <c r="B5814" s="8"/>
    </row>
    <row r="5815" spans="1:2">
      <c r="A5815" s="7"/>
      <c r="B5815" s="8"/>
    </row>
    <row r="5816" spans="1:2">
      <c r="A5816" s="7"/>
      <c r="B5816" s="8"/>
    </row>
    <row r="5817" spans="1:2">
      <c r="A5817" s="7"/>
      <c r="B5817" s="8"/>
    </row>
    <row r="5818" spans="1:2">
      <c r="A5818" s="7"/>
      <c r="B5818" s="8"/>
    </row>
    <row r="5819" spans="1:2">
      <c r="A5819" s="7"/>
      <c r="B5819" s="8"/>
    </row>
    <row r="5820" spans="1:2">
      <c r="A5820" s="7"/>
      <c r="B5820" s="8"/>
    </row>
    <row r="5821" spans="1:2">
      <c r="A5821" s="7"/>
      <c r="B5821" s="8"/>
    </row>
    <row r="5822" spans="1:2">
      <c r="A5822" s="7"/>
      <c r="B5822" s="8"/>
    </row>
    <row r="5823" spans="1:2">
      <c r="A5823" s="7"/>
      <c r="B5823" s="8"/>
    </row>
    <row r="5824" spans="1:2">
      <c r="A5824" s="7"/>
      <c r="B5824" s="8"/>
    </row>
    <row r="5825" spans="1:2">
      <c r="A5825" s="7"/>
      <c r="B5825" s="8"/>
    </row>
    <row r="5826" spans="1:2">
      <c r="A5826" s="7"/>
      <c r="B5826" s="8"/>
    </row>
    <row r="5827" spans="1:2">
      <c r="A5827" s="7"/>
      <c r="B5827" s="8"/>
    </row>
    <row r="5828" spans="1:2">
      <c r="A5828" s="7"/>
      <c r="B5828" s="8"/>
    </row>
    <row r="5829" spans="1:2">
      <c r="A5829" s="7"/>
      <c r="B5829" s="8"/>
    </row>
    <row r="5830" spans="1:2">
      <c r="A5830" s="7"/>
      <c r="B5830" s="8"/>
    </row>
    <row r="5831" spans="1:2">
      <c r="A5831" s="7"/>
      <c r="B5831" s="8"/>
    </row>
    <row r="5832" spans="1:2">
      <c r="A5832" s="7"/>
      <c r="B5832" s="8"/>
    </row>
    <row r="5833" spans="1:2">
      <c r="A5833" s="7"/>
      <c r="B5833" s="8"/>
    </row>
    <row r="5834" spans="1:2">
      <c r="A5834" s="7"/>
      <c r="B5834" s="8"/>
    </row>
    <row r="5835" spans="1:2">
      <c r="A5835" s="7"/>
      <c r="B5835" s="8"/>
    </row>
    <row r="5836" spans="1:2">
      <c r="A5836" s="7"/>
      <c r="B5836" s="8"/>
    </row>
    <row r="5837" spans="1:2">
      <c r="A5837" s="7"/>
      <c r="B5837" s="8"/>
    </row>
    <row r="5838" spans="1:2">
      <c r="A5838" s="7"/>
      <c r="B5838" s="8"/>
    </row>
    <row r="5839" spans="1:2">
      <c r="A5839" s="7"/>
      <c r="B5839" s="8"/>
    </row>
    <row r="5840" spans="1:2">
      <c r="A5840" s="7"/>
      <c r="B5840" s="8"/>
    </row>
    <row r="5841" spans="1:2">
      <c r="A5841" s="7"/>
      <c r="B5841" s="8"/>
    </row>
    <row r="5842" spans="1:2">
      <c r="A5842" s="7"/>
      <c r="B5842" s="8"/>
    </row>
    <row r="5843" spans="1:2">
      <c r="A5843" s="7"/>
      <c r="B5843" s="8"/>
    </row>
    <row r="5844" spans="1:2">
      <c r="A5844" s="7"/>
      <c r="B5844" s="8"/>
    </row>
    <row r="5845" spans="1:2">
      <c r="A5845" s="7"/>
      <c r="B5845" s="8"/>
    </row>
    <row r="5846" spans="1:2">
      <c r="A5846" s="7"/>
      <c r="B5846" s="8"/>
    </row>
    <row r="5847" spans="1:2">
      <c r="A5847" s="7"/>
      <c r="B5847" s="8"/>
    </row>
    <row r="5848" spans="1:2">
      <c r="A5848" s="7"/>
      <c r="B5848" s="8"/>
    </row>
    <row r="5849" spans="1:2">
      <c r="A5849" s="7"/>
      <c r="B5849" s="8"/>
    </row>
    <row r="5850" spans="1:2">
      <c r="A5850" s="7"/>
      <c r="B5850" s="8"/>
    </row>
    <row r="5851" spans="1:2">
      <c r="A5851" s="7"/>
      <c r="B5851" s="8"/>
    </row>
    <row r="5852" spans="1:2">
      <c r="A5852" s="7"/>
      <c r="B5852" s="8"/>
    </row>
    <row r="5853" spans="1:2">
      <c r="A5853" s="7"/>
      <c r="B5853" s="8"/>
    </row>
    <row r="5854" spans="1:2">
      <c r="A5854" s="7"/>
      <c r="B5854" s="8"/>
    </row>
    <row r="5855" spans="1:2">
      <c r="A5855" s="7"/>
      <c r="B5855" s="8"/>
    </row>
    <row r="5856" spans="1:2">
      <c r="A5856" s="7"/>
      <c r="B5856" s="8"/>
    </row>
    <row r="5857" spans="1:2">
      <c r="A5857" s="7"/>
      <c r="B5857" s="8"/>
    </row>
    <row r="5858" spans="1:2">
      <c r="A5858" s="7"/>
      <c r="B5858" s="8"/>
    </row>
    <row r="5859" spans="1:2">
      <c r="A5859" s="7"/>
      <c r="B5859" s="8"/>
    </row>
    <row r="5860" spans="1:2">
      <c r="A5860" s="7"/>
      <c r="B5860" s="8"/>
    </row>
    <row r="5861" spans="1:2">
      <c r="A5861" s="7"/>
      <c r="B5861" s="8"/>
    </row>
    <row r="5862" spans="1:2">
      <c r="A5862" s="7"/>
      <c r="B5862" s="8"/>
    </row>
    <row r="5863" spans="1:2">
      <c r="A5863" s="7"/>
      <c r="B5863" s="8"/>
    </row>
    <row r="5864" spans="1:2">
      <c r="A5864" s="7"/>
      <c r="B5864" s="8"/>
    </row>
    <row r="5865" spans="1:2">
      <c r="A5865" s="7"/>
      <c r="B5865" s="8"/>
    </row>
    <row r="5866" spans="1:2">
      <c r="A5866" s="7"/>
      <c r="B5866" s="8"/>
    </row>
    <row r="5867" spans="1:2">
      <c r="A5867" s="7"/>
      <c r="B5867" s="8"/>
    </row>
    <row r="5868" spans="1:2">
      <c r="A5868" s="7"/>
      <c r="B5868" s="8"/>
    </row>
    <row r="5869" spans="1:2">
      <c r="A5869" s="7"/>
      <c r="B5869" s="8"/>
    </row>
    <row r="5870" spans="1:2">
      <c r="A5870" s="7"/>
      <c r="B5870" s="8"/>
    </row>
    <row r="5871" spans="1:2">
      <c r="A5871" s="7"/>
      <c r="B5871" s="8"/>
    </row>
    <row r="5872" spans="1:2">
      <c r="A5872" s="7"/>
      <c r="B5872" s="8"/>
    </row>
    <row r="5873" spans="1:2">
      <c r="A5873" s="7"/>
      <c r="B5873" s="8"/>
    </row>
    <row r="5874" spans="1:2">
      <c r="A5874" s="7"/>
      <c r="B5874" s="8"/>
    </row>
    <row r="5875" spans="1:2">
      <c r="A5875" s="7"/>
      <c r="B5875" s="8"/>
    </row>
    <row r="5876" spans="1:2">
      <c r="A5876" s="7"/>
      <c r="B5876" s="8"/>
    </row>
    <row r="5877" spans="1:2">
      <c r="A5877" s="7"/>
      <c r="B5877" s="8"/>
    </row>
    <row r="5878" spans="1:2">
      <c r="A5878" s="7"/>
      <c r="B5878" s="8"/>
    </row>
    <row r="5879" spans="1:2">
      <c r="A5879" s="7"/>
      <c r="B5879" s="8"/>
    </row>
    <row r="5880" spans="1:2">
      <c r="A5880" s="7"/>
      <c r="B5880" s="8"/>
    </row>
    <row r="5881" spans="1:2">
      <c r="A5881" s="7"/>
      <c r="B5881" s="8"/>
    </row>
    <row r="5882" spans="1:2">
      <c r="A5882" s="7"/>
      <c r="B5882" s="8"/>
    </row>
    <row r="5883" spans="1:2">
      <c r="A5883" s="7"/>
      <c r="B5883" s="8"/>
    </row>
    <row r="5884" spans="1:2">
      <c r="A5884" s="7"/>
      <c r="B5884" s="8"/>
    </row>
    <row r="5885" spans="1:2">
      <c r="A5885" s="7"/>
      <c r="B5885" s="8"/>
    </row>
    <row r="5886" spans="1:2">
      <c r="A5886" s="7"/>
      <c r="B5886" s="8"/>
    </row>
    <row r="5887" spans="1:2">
      <c r="A5887" s="7"/>
      <c r="B5887" s="8"/>
    </row>
    <row r="5888" spans="1:2">
      <c r="A5888" s="7"/>
      <c r="B5888" s="8"/>
    </row>
    <row r="5889" spans="1:2">
      <c r="A5889" s="7"/>
      <c r="B5889" s="8"/>
    </row>
    <row r="5890" spans="1:2">
      <c r="A5890" s="7"/>
      <c r="B5890" s="8"/>
    </row>
    <row r="5891" spans="1:2">
      <c r="A5891" s="7"/>
      <c r="B5891" s="8"/>
    </row>
    <row r="5892" spans="1:2">
      <c r="A5892" s="7"/>
      <c r="B5892" s="8"/>
    </row>
    <row r="5893" spans="1:2">
      <c r="A5893" s="7"/>
      <c r="B5893" s="8"/>
    </row>
    <row r="5894" spans="1:2">
      <c r="A5894" s="7"/>
      <c r="B5894" s="8"/>
    </row>
    <row r="5895" spans="1:2">
      <c r="A5895" s="7"/>
      <c r="B5895" s="8"/>
    </row>
    <row r="5896" spans="1:2">
      <c r="A5896" s="7"/>
      <c r="B5896" s="8"/>
    </row>
    <row r="5897" spans="1:2">
      <c r="A5897" s="7"/>
      <c r="B5897" s="8"/>
    </row>
    <row r="5898" spans="1:2">
      <c r="A5898" s="7"/>
      <c r="B5898" s="8"/>
    </row>
    <row r="5899" spans="1:2">
      <c r="A5899" s="7"/>
      <c r="B5899" s="8"/>
    </row>
    <row r="5900" spans="1:2">
      <c r="A5900" s="7"/>
      <c r="B5900" s="8"/>
    </row>
    <row r="5901" spans="1:2">
      <c r="A5901" s="7"/>
      <c r="B5901" s="8"/>
    </row>
    <row r="5902" spans="1:2">
      <c r="A5902" s="7"/>
      <c r="B5902" s="8"/>
    </row>
    <row r="5903" spans="1:2">
      <c r="A5903" s="7"/>
      <c r="B5903" s="8"/>
    </row>
    <row r="5904" spans="1:2">
      <c r="A5904" s="7"/>
      <c r="B5904" s="8"/>
    </row>
    <row r="5905" spans="1:2">
      <c r="A5905" s="7"/>
      <c r="B5905" s="8"/>
    </row>
    <row r="5906" spans="1:2">
      <c r="A5906" s="7"/>
      <c r="B5906" s="8"/>
    </row>
    <row r="5907" spans="1:2">
      <c r="A5907" s="7"/>
      <c r="B5907" s="8"/>
    </row>
    <row r="5908" spans="1:2">
      <c r="A5908" s="7"/>
      <c r="B5908" s="8"/>
    </row>
    <row r="5909" spans="1:2">
      <c r="A5909" s="7"/>
      <c r="B5909" s="8"/>
    </row>
    <row r="5910" spans="1:2">
      <c r="A5910" s="7"/>
      <c r="B5910" s="8"/>
    </row>
    <row r="5911" spans="1:2">
      <c r="A5911" s="7"/>
      <c r="B5911" s="8"/>
    </row>
    <row r="5912" spans="1:2">
      <c r="A5912" s="7"/>
      <c r="B5912" s="8"/>
    </row>
    <row r="5913" spans="1:2">
      <c r="A5913" s="7"/>
      <c r="B5913" s="8"/>
    </row>
    <row r="5914" spans="1:2">
      <c r="A5914" s="7"/>
      <c r="B5914" s="8"/>
    </row>
    <row r="5915" spans="1:2">
      <c r="A5915" s="7"/>
      <c r="B5915" s="8"/>
    </row>
    <row r="5916" spans="1:2">
      <c r="A5916" s="7"/>
      <c r="B5916" s="8"/>
    </row>
    <row r="5917" spans="1:2">
      <c r="A5917" s="7"/>
      <c r="B5917" s="8"/>
    </row>
    <row r="5918" spans="1:2">
      <c r="A5918" s="7"/>
      <c r="B5918" s="8"/>
    </row>
    <row r="5919" spans="1:2">
      <c r="A5919" s="7"/>
      <c r="B5919" s="8"/>
    </row>
    <row r="5920" spans="1:2">
      <c r="A5920" s="7"/>
      <c r="B5920" s="8"/>
    </row>
    <row r="5921" spans="1:2">
      <c r="A5921" s="7"/>
      <c r="B5921" s="8"/>
    </row>
    <row r="5922" spans="1:2">
      <c r="A5922" s="7"/>
      <c r="B5922" s="8"/>
    </row>
    <row r="5923" spans="1:2">
      <c r="A5923" s="7"/>
      <c r="B5923" s="8"/>
    </row>
    <row r="5924" spans="1:2">
      <c r="A5924" s="7"/>
      <c r="B5924" s="8"/>
    </row>
    <row r="5925" spans="1:2">
      <c r="A5925" s="7"/>
      <c r="B5925" s="8"/>
    </row>
    <row r="5926" spans="1:2">
      <c r="A5926" s="7"/>
      <c r="B5926" s="8"/>
    </row>
    <row r="5927" spans="1:2">
      <c r="A5927" s="7"/>
      <c r="B5927" s="8"/>
    </row>
    <row r="5928" spans="1:2">
      <c r="A5928" s="7"/>
      <c r="B5928" s="8"/>
    </row>
    <row r="5929" spans="1:2">
      <c r="A5929" s="7"/>
      <c r="B5929" s="8"/>
    </row>
    <row r="5930" spans="1:2">
      <c r="A5930" s="7"/>
      <c r="B5930" s="8"/>
    </row>
    <row r="5931" spans="1:2">
      <c r="A5931" s="7"/>
      <c r="B5931" s="8"/>
    </row>
    <row r="5932" spans="1:2">
      <c r="A5932" s="7"/>
      <c r="B5932" s="8"/>
    </row>
    <row r="5933" spans="1:2">
      <c r="A5933" s="7"/>
      <c r="B5933" s="8"/>
    </row>
    <row r="5934" spans="1:2">
      <c r="A5934" s="7"/>
      <c r="B5934" s="8"/>
    </row>
    <row r="5935" spans="1:2">
      <c r="A5935" s="7"/>
      <c r="B5935" s="8"/>
    </row>
    <row r="5936" spans="1:2">
      <c r="A5936" s="7"/>
      <c r="B5936" s="8"/>
    </row>
    <row r="5937" spans="1:2">
      <c r="A5937" s="7"/>
      <c r="B5937" s="8"/>
    </row>
    <row r="5938" spans="1:2">
      <c r="A5938" s="7"/>
      <c r="B5938" s="8"/>
    </row>
    <row r="5939" spans="1:2">
      <c r="A5939" s="7"/>
      <c r="B5939" s="8"/>
    </row>
    <row r="5940" spans="1:2">
      <c r="A5940" s="7"/>
      <c r="B5940" s="8"/>
    </row>
    <row r="5941" spans="1:2">
      <c r="A5941" s="7"/>
      <c r="B5941" s="8"/>
    </row>
    <row r="5942" spans="1:2">
      <c r="A5942" s="7"/>
      <c r="B5942" s="8"/>
    </row>
    <row r="5943" spans="1:2">
      <c r="A5943" s="7"/>
      <c r="B5943" s="8"/>
    </row>
    <row r="5944" spans="1:2">
      <c r="A5944" s="7"/>
      <c r="B5944" s="8"/>
    </row>
    <row r="5945" spans="1:2">
      <c r="A5945" s="7"/>
      <c r="B5945" s="8"/>
    </row>
    <row r="5946" spans="1:2">
      <c r="A5946" s="7"/>
      <c r="B5946" s="8"/>
    </row>
    <row r="5947" spans="1:2">
      <c r="A5947" s="7"/>
      <c r="B5947" s="8"/>
    </row>
    <row r="5948" spans="1:2">
      <c r="A5948" s="7"/>
      <c r="B5948" s="8"/>
    </row>
    <row r="5949" spans="1:2">
      <c r="A5949" s="7"/>
      <c r="B5949" s="8"/>
    </row>
    <row r="5950" spans="1:2">
      <c r="A5950" s="7"/>
      <c r="B5950" s="8"/>
    </row>
    <row r="5951" spans="1:2">
      <c r="A5951" s="7"/>
      <c r="B5951" s="8"/>
    </row>
    <row r="5952" spans="1:2">
      <c r="A5952" s="7"/>
      <c r="B5952" s="8"/>
    </row>
    <row r="5953" spans="1:2">
      <c r="A5953" s="7"/>
      <c r="B5953" s="8"/>
    </row>
    <row r="5954" spans="1:2">
      <c r="A5954" s="7"/>
      <c r="B5954" s="8"/>
    </row>
    <row r="5955" spans="1:2">
      <c r="A5955" s="7"/>
      <c r="B5955" s="8"/>
    </row>
    <row r="5956" spans="1:2">
      <c r="A5956" s="7"/>
      <c r="B5956" s="8"/>
    </row>
    <row r="5957" spans="1:2">
      <c r="A5957" s="7"/>
      <c r="B5957" s="8"/>
    </row>
    <row r="5958" spans="1:2">
      <c r="A5958" s="7"/>
      <c r="B5958" s="8"/>
    </row>
    <row r="5959" spans="1:2">
      <c r="A5959" s="7"/>
      <c r="B5959" s="8"/>
    </row>
    <row r="5960" spans="1:2">
      <c r="A5960" s="7"/>
      <c r="B5960" s="8"/>
    </row>
    <row r="5961" spans="1:2">
      <c r="A5961" s="7"/>
      <c r="B5961" s="8"/>
    </row>
    <row r="5962" spans="1:2">
      <c r="A5962" s="7"/>
      <c r="B5962" s="8"/>
    </row>
    <row r="5963" spans="1:2">
      <c r="A5963" s="7"/>
      <c r="B5963" s="8"/>
    </row>
    <row r="5964" spans="1:2">
      <c r="A5964" s="7"/>
      <c r="B5964" s="8"/>
    </row>
    <row r="5965" spans="1:2">
      <c r="A5965" s="7"/>
      <c r="B5965" s="8"/>
    </row>
    <row r="5966" spans="1:2">
      <c r="A5966" s="7"/>
      <c r="B5966" s="8"/>
    </row>
    <row r="5967" spans="1:2">
      <c r="A5967" s="7"/>
      <c r="B5967" s="8"/>
    </row>
    <row r="5968" spans="1:2">
      <c r="A5968" s="7"/>
      <c r="B5968" s="8"/>
    </row>
    <row r="5969" spans="1:2">
      <c r="A5969" s="7"/>
      <c r="B5969" s="8"/>
    </row>
    <row r="5970" spans="1:2">
      <c r="A5970" s="7"/>
      <c r="B5970" s="8"/>
    </row>
    <row r="5971" spans="1:2">
      <c r="A5971" s="7"/>
      <c r="B5971" s="8"/>
    </row>
    <row r="5972" spans="1:2">
      <c r="A5972" s="7"/>
      <c r="B5972" s="8"/>
    </row>
    <row r="5973" spans="1:2">
      <c r="A5973" s="7"/>
      <c r="B5973" s="8"/>
    </row>
    <row r="5974" spans="1:2">
      <c r="A5974" s="7"/>
      <c r="B5974" s="8"/>
    </row>
    <row r="5975" spans="1:2">
      <c r="A5975" s="7"/>
      <c r="B5975" s="8"/>
    </row>
    <row r="5976" spans="1:2">
      <c r="A5976" s="7"/>
      <c r="B5976" s="8"/>
    </row>
    <row r="5977" spans="1:2">
      <c r="A5977" s="7"/>
      <c r="B5977" s="8"/>
    </row>
    <row r="5978" spans="1:2">
      <c r="A5978" s="7"/>
      <c r="B5978" s="8"/>
    </row>
    <row r="5979" spans="1:2">
      <c r="A5979" s="7"/>
      <c r="B5979" s="8"/>
    </row>
    <row r="5980" spans="1:2">
      <c r="A5980" s="7"/>
      <c r="B5980" s="8"/>
    </row>
    <row r="5981" spans="1:2">
      <c r="A5981" s="7"/>
      <c r="B5981" s="8"/>
    </row>
    <row r="5982" spans="1:2">
      <c r="A5982" s="7"/>
      <c r="B5982" s="8"/>
    </row>
    <row r="5983" spans="1:2">
      <c r="A5983" s="7"/>
      <c r="B5983" s="8"/>
    </row>
    <row r="5984" spans="1:2">
      <c r="A5984" s="7"/>
      <c r="B5984" s="8"/>
    </row>
    <row r="5985" spans="1:2">
      <c r="A5985" s="7"/>
      <c r="B5985" s="8"/>
    </row>
    <row r="5986" spans="1:2">
      <c r="A5986" s="7"/>
      <c r="B5986" s="8"/>
    </row>
    <row r="5987" spans="1:2">
      <c r="A5987" s="7"/>
      <c r="B5987" s="8"/>
    </row>
    <row r="5988" spans="1:2">
      <c r="A5988" s="7"/>
      <c r="B5988" s="8"/>
    </row>
    <row r="5989" spans="1:2">
      <c r="A5989" s="7"/>
      <c r="B5989" s="8"/>
    </row>
    <row r="5990" spans="1:2">
      <c r="A5990" s="7"/>
      <c r="B5990" s="8"/>
    </row>
    <row r="5991" spans="1:2">
      <c r="A5991" s="7"/>
      <c r="B5991" s="8"/>
    </row>
    <row r="5992" spans="1:2">
      <c r="A5992" s="7"/>
      <c r="B5992" s="8"/>
    </row>
    <row r="5993" spans="1:2">
      <c r="A5993" s="7"/>
      <c r="B5993" s="8"/>
    </row>
    <row r="5994" spans="1:2">
      <c r="A5994" s="7"/>
      <c r="B5994" s="8"/>
    </row>
    <row r="5995" spans="1:2">
      <c r="A5995" s="7"/>
      <c r="B5995" s="8"/>
    </row>
    <row r="5996" spans="1:2">
      <c r="A5996" s="7"/>
      <c r="B5996" s="8"/>
    </row>
    <row r="5997" spans="1:2">
      <c r="A5997" s="7"/>
      <c r="B5997" s="8"/>
    </row>
    <row r="5998" spans="1:2">
      <c r="A5998" s="7"/>
      <c r="B5998" s="8"/>
    </row>
    <row r="5999" spans="1:2">
      <c r="A5999" s="7"/>
      <c r="B5999" s="8"/>
    </row>
    <row r="6000" spans="1:2">
      <c r="A6000" s="7"/>
      <c r="B6000" s="8"/>
    </row>
    <row r="6001" spans="1:2">
      <c r="A6001" s="7"/>
      <c r="B6001" s="8"/>
    </row>
    <row r="6002" spans="1:2">
      <c r="A6002" s="7"/>
      <c r="B6002" s="8"/>
    </row>
    <row r="6003" spans="1:2">
      <c r="A6003" s="7"/>
      <c r="B6003" s="8"/>
    </row>
    <row r="6004" spans="1:2">
      <c r="A6004" s="7"/>
      <c r="B6004" s="8"/>
    </row>
    <row r="6005" spans="1:2">
      <c r="A6005" s="7"/>
      <c r="B6005" s="8"/>
    </row>
    <row r="6006" spans="1:2">
      <c r="A6006" s="7"/>
      <c r="B6006" s="8"/>
    </row>
    <row r="6007" spans="1:2">
      <c r="A6007" s="7"/>
      <c r="B6007" s="8"/>
    </row>
    <row r="6008" spans="1:2">
      <c r="A6008" s="7"/>
      <c r="B6008" s="8"/>
    </row>
    <row r="6009" spans="1:2">
      <c r="A6009" s="7"/>
      <c r="B6009" s="8"/>
    </row>
    <row r="6010" spans="1:2">
      <c r="A6010" s="7"/>
      <c r="B6010" s="8"/>
    </row>
    <row r="6011" spans="1:2">
      <c r="A6011" s="7"/>
      <c r="B6011" s="8"/>
    </row>
    <row r="6012" spans="1:2">
      <c r="A6012" s="7"/>
      <c r="B6012" s="8"/>
    </row>
    <row r="6013" spans="1:2">
      <c r="A6013" s="7"/>
      <c r="B6013" s="8"/>
    </row>
    <row r="6014" spans="1:2">
      <c r="A6014" s="7"/>
      <c r="B6014" s="8"/>
    </row>
    <row r="6015" spans="1:2">
      <c r="A6015" s="7"/>
      <c r="B6015" s="8"/>
    </row>
    <row r="6016" spans="1:2">
      <c r="A6016" s="7"/>
      <c r="B6016" s="8"/>
    </row>
    <row r="6017" spans="1:2">
      <c r="A6017" s="7"/>
      <c r="B6017" s="8"/>
    </row>
    <row r="6018" spans="1:2">
      <c r="A6018" s="7"/>
      <c r="B6018" s="8"/>
    </row>
    <row r="6019" spans="1:2">
      <c r="A6019" s="7"/>
      <c r="B6019" s="8"/>
    </row>
    <row r="6020" spans="1:2">
      <c r="A6020" s="7"/>
      <c r="B6020" s="8"/>
    </row>
    <row r="6021" spans="1:2">
      <c r="A6021" s="7"/>
      <c r="B6021" s="8"/>
    </row>
    <row r="6022" spans="1:2">
      <c r="A6022" s="7"/>
      <c r="B6022" s="8"/>
    </row>
    <row r="6023" spans="1:2">
      <c r="A6023" s="7"/>
      <c r="B6023" s="8"/>
    </row>
    <row r="6024" spans="1:2">
      <c r="A6024" s="7"/>
      <c r="B6024" s="8"/>
    </row>
    <row r="6025" spans="1:2">
      <c r="A6025" s="7"/>
      <c r="B6025" s="8"/>
    </row>
    <row r="6026" spans="1:2">
      <c r="A6026" s="7"/>
      <c r="B6026" s="8"/>
    </row>
    <row r="6027" spans="1:2">
      <c r="A6027" s="7"/>
      <c r="B6027" s="8"/>
    </row>
    <row r="6028" spans="1:2">
      <c r="A6028" s="7"/>
      <c r="B6028" s="8"/>
    </row>
    <row r="6029" spans="1:2">
      <c r="A6029" s="7"/>
      <c r="B6029" s="8"/>
    </row>
    <row r="6030" spans="1:2">
      <c r="A6030" s="7"/>
      <c r="B6030" s="8"/>
    </row>
    <row r="6031" spans="1:2">
      <c r="A6031" s="7"/>
      <c r="B6031" s="8"/>
    </row>
    <row r="6032" spans="1:2">
      <c r="A6032" s="7"/>
      <c r="B6032" s="8"/>
    </row>
    <row r="6033" spans="1:2">
      <c r="A6033" s="7"/>
      <c r="B6033" s="8"/>
    </row>
    <row r="6034" spans="1:2">
      <c r="A6034" s="7"/>
      <c r="B6034" s="8"/>
    </row>
    <row r="6035" spans="1:2">
      <c r="A6035" s="7"/>
      <c r="B6035" s="8"/>
    </row>
    <row r="6036" spans="1:2">
      <c r="A6036" s="7"/>
      <c r="B6036" s="8"/>
    </row>
    <row r="6037" spans="1:2">
      <c r="A6037" s="7"/>
      <c r="B6037" s="8"/>
    </row>
    <row r="6038" spans="1:2">
      <c r="A6038" s="7"/>
      <c r="B6038" s="8"/>
    </row>
    <row r="6039" spans="1:2">
      <c r="A6039" s="7"/>
      <c r="B6039" s="8"/>
    </row>
    <row r="6040" spans="1:2">
      <c r="A6040" s="7"/>
      <c r="B6040" s="8"/>
    </row>
    <row r="6041" spans="1:2">
      <c r="A6041" s="7"/>
      <c r="B6041" s="8"/>
    </row>
    <row r="6042" spans="1:2">
      <c r="A6042" s="7"/>
      <c r="B6042" s="8"/>
    </row>
    <row r="6043" spans="1:2">
      <c r="A6043" s="7"/>
      <c r="B6043" s="8"/>
    </row>
    <row r="6044" spans="1:2">
      <c r="A6044" s="7"/>
      <c r="B6044" s="8"/>
    </row>
    <row r="6045" spans="1:2">
      <c r="A6045" s="7"/>
      <c r="B6045" s="8"/>
    </row>
    <row r="6046" spans="1:2">
      <c r="A6046" s="7"/>
      <c r="B6046" s="8"/>
    </row>
    <row r="6047" spans="1:2">
      <c r="A6047" s="7"/>
      <c r="B6047" s="8"/>
    </row>
    <row r="6048" spans="1:2">
      <c r="A6048" s="7"/>
      <c r="B6048" s="8"/>
    </row>
    <row r="6049" spans="1:2">
      <c r="A6049" s="7"/>
      <c r="B6049" s="8"/>
    </row>
    <row r="6050" spans="1:2">
      <c r="A6050" s="7"/>
      <c r="B6050" s="8"/>
    </row>
    <row r="6051" spans="1:2">
      <c r="A6051" s="7"/>
      <c r="B6051" s="8"/>
    </row>
    <row r="6052" spans="1:2">
      <c r="A6052" s="7"/>
      <c r="B6052" s="8"/>
    </row>
    <row r="6053" spans="1:2">
      <c r="A6053" s="7"/>
      <c r="B6053" s="8"/>
    </row>
    <row r="6054" spans="1:2">
      <c r="A6054" s="7"/>
      <c r="B6054" s="8"/>
    </row>
    <row r="6055" spans="1:2">
      <c r="A6055" s="7"/>
      <c r="B6055" s="8"/>
    </row>
    <row r="6056" spans="1:2">
      <c r="A6056" s="7"/>
      <c r="B6056" s="8"/>
    </row>
    <row r="6057" spans="1:2">
      <c r="A6057" s="7"/>
      <c r="B6057" s="8"/>
    </row>
    <row r="6058" spans="1:2">
      <c r="A6058" s="7"/>
      <c r="B6058" s="8"/>
    </row>
    <row r="6059" spans="1:2">
      <c r="A6059" s="7"/>
      <c r="B6059" s="8"/>
    </row>
    <row r="6060" spans="1:2">
      <c r="A6060" s="7"/>
      <c r="B6060" s="8"/>
    </row>
    <row r="6061" spans="1:2">
      <c r="A6061" s="7"/>
      <c r="B6061" s="8"/>
    </row>
    <row r="6062" spans="1:2">
      <c r="A6062" s="7"/>
      <c r="B6062" s="8"/>
    </row>
    <row r="6063" spans="1:2">
      <c r="A6063" s="7"/>
      <c r="B6063" s="8"/>
    </row>
    <row r="6064" spans="1:2">
      <c r="A6064" s="7"/>
      <c r="B6064" s="8"/>
    </row>
    <row r="6065" spans="1:2">
      <c r="A6065" s="7"/>
      <c r="B6065" s="8"/>
    </row>
    <row r="6066" spans="1:2">
      <c r="A6066" s="7"/>
      <c r="B6066" s="8"/>
    </row>
    <row r="6067" spans="1:2">
      <c r="A6067" s="7"/>
      <c r="B6067" s="8"/>
    </row>
    <row r="6068" spans="1:2">
      <c r="A6068" s="7"/>
      <c r="B6068" s="8"/>
    </row>
    <row r="6069" spans="1:2">
      <c r="A6069" s="7"/>
      <c r="B6069" s="8"/>
    </row>
    <row r="6070" spans="1:2">
      <c r="A6070" s="7"/>
      <c r="B6070" s="8"/>
    </row>
    <row r="6071" spans="1:2">
      <c r="A6071" s="7"/>
      <c r="B6071" s="8"/>
    </row>
    <row r="6072" spans="1:2">
      <c r="A6072" s="7"/>
      <c r="B6072" s="8"/>
    </row>
    <row r="6073" spans="1:2">
      <c r="A6073" s="7"/>
      <c r="B6073" s="8"/>
    </row>
    <row r="6074" spans="1:2">
      <c r="A6074" s="7"/>
      <c r="B6074" s="8"/>
    </row>
    <row r="6075" spans="1:2">
      <c r="A6075" s="7"/>
      <c r="B6075" s="8"/>
    </row>
    <row r="6076" spans="1:2">
      <c r="A6076" s="7"/>
      <c r="B6076" s="8"/>
    </row>
    <row r="6077" spans="1:2">
      <c r="A6077" s="7"/>
      <c r="B6077" s="8"/>
    </row>
    <row r="6078" spans="1:2">
      <c r="A6078" s="7"/>
      <c r="B6078" s="8"/>
    </row>
    <row r="6079" spans="1:2">
      <c r="A6079" s="7"/>
      <c r="B6079" s="8"/>
    </row>
    <row r="6080" spans="1:2">
      <c r="A6080" s="7"/>
      <c r="B6080" s="8"/>
    </row>
    <row r="6081" spans="1:2">
      <c r="A6081" s="7"/>
      <c r="B6081" s="8"/>
    </row>
    <row r="6082" spans="1:2">
      <c r="A6082" s="7"/>
      <c r="B6082" s="8"/>
    </row>
    <row r="6083" spans="1:2">
      <c r="A6083" s="7"/>
      <c r="B6083" s="8"/>
    </row>
    <row r="6084" spans="1:2">
      <c r="A6084" s="7"/>
      <c r="B6084" s="8"/>
    </row>
    <row r="6085" spans="1:2">
      <c r="A6085" s="7"/>
      <c r="B6085" s="8"/>
    </row>
    <row r="6086" spans="1:2">
      <c r="A6086" s="7"/>
      <c r="B6086" s="8"/>
    </row>
    <row r="6087" spans="1:2">
      <c r="A6087" s="7"/>
      <c r="B6087" s="8"/>
    </row>
    <row r="6088" spans="1:2">
      <c r="A6088" s="7"/>
      <c r="B6088" s="8"/>
    </row>
    <row r="6089" spans="1:2">
      <c r="A6089" s="7"/>
      <c r="B6089" s="8"/>
    </row>
    <row r="6090" spans="1:2">
      <c r="A6090" s="7"/>
      <c r="B6090" s="8"/>
    </row>
    <row r="6091" spans="1:2">
      <c r="A6091" s="7"/>
      <c r="B6091" s="8"/>
    </row>
    <row r="6092" spans="1:2">
      <c r="A6092" s="7"/>
      <c r="B6092" s="8"/>
    </row>
    <row r="6093" spans="1:2">
      <c r="A6093" s="7"/>
      <c r="B6093" s="8"/>
    </row>
    <row r="6094" spans="1:2">
      <c r="A6094" s="7"/>
      <c r="B6094" s="8"/>
    </row>
    <row r="6095" spans="1:2">
      <c r="A6095" s="7"/>
      <c r="B6095" s="8"/>
    </row>
    <row r="6096" spans="1:2">
      <c r="A6096" s="7"/>
      <c r="B6096" s="8"/>
    </row>
    <row r="6097" spans="1:2">
      <c r="A6097" s="7"/>
      <c r="B6097" s="8"/>
    </row>
    <row r="6098" spans="1:2">
      <c r="A6098" s="7"/>
      <c r="B6098" s="8"/>
    </row>
    <row r="6099" spans="1:2">
      <c r="A6099" s="7"/>
      <c r="B6099" s="8"/>
    </row>
    <row r="6100" spans="1:2">
      <c r="A6100" s="7"/>
      <c r="B6100" s="8"/>
    </row>
    <row r="6101" spans="1:2">
      <c r="A6101" s="7"/>
      <c r="B6101" s="8"/>
    </row>
    <row r="6102" spans="1:2">
      <c r="A6102" s="7"/>
      <c r="B6102" s="8"/>
    </row>
    <row r="6103" spans="1:2">
      <c r="A6103" s="7"/>
      <c r="B6103" s="8"/>
    </row>
    <row r="6104" spans="1:2">
      <c r="A6104" s="7"/>
      <c r="B6104" s="8"/>
    </row>
    <row r="6105" spans="1:2">
      <c r="A6105" s="7"/>
      <c r="B6105" s="8"/>
    </row>
    <row r="6106" spans="1:2">
      <c r="A6106" s="7"/>
      <c r="B6106" s="8"/>
    </row>
    <row r="6107" spans="1:2">
      <c r="A6107" s="7"/>
      <c r="B6107" s="8"/>
    </row>
    <row r="6108" spans="1:2">
      <c r="A6108" s="7"/>
      <c r="B6108" s="8"/>
    </row>
    <row r="6109" spans="1:2">
      <c r="A6109" s="7"/>
      <c r="B6109" s="8"/>
    </row>
    <row r="6110" spans="1:2">
      <c r="A6110" s="7"/>
      <c r="B6110" s="8"/>
    </row>
    <row r="6111" spans="1:2">
      <c r="A6111" s="7"/>
      <c r="B6111" s="8"/>
    </row>
    <row r="6112" spans="1:2">
      <c r="A6112" s="7"/>
      <c r="B6112" s="8"/>
    </row>
    <row r="6113" spans="1:2">
      <c r="A6113" s="7"/>
      <c r="B6113" s="8"/>
    </row>
    <row r="6114" spans="1:2">
      <c r="A6114" s="7"/>
      <c r="B6114" s="8"/>
    </row>
    <row r="6115" spans="1:2">
      <c r="A6115" s="7"/>
      <c r="B6115" s="8"/>
    </row>
    <row r="6116" spans="1:2">
      <c r="A6116" s="7"/>
      <c r="B6116" s="8"/>
    </row>
    <row r="6117" spans="1:2">
      <c r="A6117" s="7"/>
      <c r="B6117" s="8"/>
    </row>
    <row r="6118" spans="1:2">
      <c r="A6118" s="7"/>
      <c r="B6118" s="8"/>
    </row>
    <row r="6119" spans="1:2">
      <c r="A6119" s="7"/>
      <c r="B6119" s="8"/>
    </row>
    <row r="6120" spans="1:2">
      <c r="A6120" s="7"/>
      <c r="B6120" s="8"/>
    </row>
    <row r="6121" spans="1:2">
      <c r="A6121" s="7"/>
      <c r="B6121" s="8"/>
    </row>
    <row r="6122" spans="1:2">
      <c r="A6122" s="7"/>
      <c r="B6122" s="8"/>
    </row>
    <row r="6123" spans="1:2">
      <c r="A6123" s="7"/>
      <c r="B6123" s="8"/>
    </row>
    <row r="6124" spans="1:2">
      <c r="A6124" s="7"/>
      <c r="B6124" s="8"/>
    </row>
    <row r="6125" spans="1:2">
      <c r="A6125" s="7"/>
      <c r="B6125" s="8"/>
    </row>
    <row r="6126" spans="1:2">
      <c r="A6126" s="7"/>
      <c r="B6126" s="8"/>
    </row>
    <row r="6127" spans="1:2">
      <c r="A6127" s="7"/>
      <c r="B6127" s="8"/>
    </row>
    <row r="6128" spans="1:2">
      <c r="A6128" s="7"/>
      <c r="B6128" s="8"/>
    </row>
    <row r="6129" spans="1:2">
      <c r="A6129" s="7"/>
      <c r="B6129" s="8"/>
    </row>
    <row r="6130" spans="1:2">
      <c r="A6130" s="7"/>
      <c r="B6130" s="8"/>
    </row>
    <row r="6131" spans="1:2">
      <c r="A6131" s="7"/>
      <c r="B6131" s="8"/>
    </row>
    <row r="6132" spans="1:2">
      <c r="A6132" s="7"/>
      <c r="B6132" s="8"/>
    </row>
    <row r="6133" spans="1:2">
      <c r="A6133" s="7"/>
      <c r="B6133" s="8"/>
    </row>
    <row r="6134" spans="1:2">
      <c r="A6134" s="7"/>
      <c r="B6134" s="8"/>
    </row>
    <row r="6135" spans="1:2">
      <c r="A6135" s="7"/>
      <c r="B6135" s="8"/>
    </row>
    <row r="6136" spans="1:2">
      <c r="A6136" s="7"/>
      <c r="B6136" s="8"/>
    </row>
    <row r="6137" spans="1:2">
      <c r="A6137" s="7"/>
      <c r="B6137" s="8"/>
    </row>
    <row r="6138" spans="1:2">
      <c r="A6138" s="7"/>
      <c r="B6138" s="8"/>
    </row>
    <row r="6139" spans="1:2">
      <c r="A6139" s="7"/>
      <c r="B6139" s="8"/>
    </row>
    <row r="6140" spans="1:2">
      <c r="A6140" s="7"/>
      <c r="B6140" s="8"/>
    </row>
    <row r="6141" spans="1:2">
      <c r="A6141" s="7"/>
      <c r="B6141" s="8"/>
    </row>
    <row r="6142" spans="1:2">
      <c r="A6142" s="7"/>
      <c r="B6142" s="8"/>
    </row>
    <row r="6143" spans="1:2">
      <c r="A6143" s="7"/>
      <c r="B6143" s="8"/>
    </row>
    <row r="6144" spans="1:2">
      <c r="A6144" s="7"/>
      <c r="B6144" s="8"/>
    </row>
    <row r="6145" spans="1:2">
      <c r="A6145" s="7"/>
      <c r="B6145" s="8"/>
    </row>
    <row r="6146" spans="1:2">
      <c r="A6146" s="7"/>
      <c r="B6146" s="8"/>
    </row>
    <row r="6147" spans="1:2">
      <c r="A6147" s="7"/>
      <c r="B6147" s="8"/>
    </row>
    <row r="6148" spans="1:2">
      <c r="A6148" s="7"/>
      <c r="B6148" s="8"/>
    </row>
    <row r="6149" spans="1:2">
      <c r="A6149" s="7"/>
      <c r="B6149" s="8"/>
    </row>
    <row r="6150" spans="1:2">
      <c r="A6150" s="7"/>
      <c r="B6150" s="8"/>
    </row>
    <row r="6151" spans="1:2">
      <c r="A6151" s="7"/>
      <c r="B6151" s="8"/>
    </row>
    <row r="6152" spans="1:2">
      <c r="A6152" s="7"/>
      <c r="B6152" s="8"/>
    </row>
    <row r="6153" spans="1:2">
      <c r="A6153" s="7"/>
      <c r="B6153" s="8"/>
    </row>
    <row r="6154" spans="1:2">
      <c r="A6154" s="7"/>
      <c r="B6154" s="8"/>
    </row>
    <row r="6155" spans="1:2">
      <c r="A6155" s="7"/>
      <c r="B6155" s="8"/>
    </row>
    <row r="6156" spans="1:2">
      <c r="A6156" s="7"/>
      <c r="B6156" s="8"/>
    </row>
    <row r="6157" spans="1:2">
      <c r="A6157" s="7"/>
      <c r="B6157" s="8"/>
    </row>
    <row r="6158" spans="1:2">
      <c r="A6158" s="7"/>
      <c r="B6158" s="8"/>
    </row>
    <row r="6159" spans="1:2">
      <c r="A6159" s="7"/>
      <c r="B6159" s="8"/>
    </row>
    <row r="6160" spans="1:2">
      <c r="A6160" s="7"/>
      <c r="B6160" s="8"/>
    </row>
    <row r="6161" spans="1:2">
      <c r="A6161" s="7"/>
      <c r="B6161" s="8"/>
    </row>
    <row r="6162" spans="1:2">
      <c r="A6162" s="7"/>
      <c r="B6162" s="8"/>
    </row>
    <row r="6163" spans="1:2">
      <c r="A6163" s="7"/>
      <c r="B6163" s="8"/>
    </row>
    <row r="6164" spans="1:2">
      <c r="A6164" s="7"/>
      <c r="B6164" s="8"/>
    </row>
    <row r="6165" spans="1:2">
      <c r="A6165" s="7"/>
      <c r="B6165" s="8"/>
    </row>
    <row r="6166" spans="1:2">
      <c r="A6166" s="7"/>
      <c r="B6166" s="8"/>
    </row>
    <row r="6167" spans="1:2">
      <c r="A6167" s="7"/>
      <c r="B6167" s="8"/>
    </row>
    <row r="6168" spans="1:2">
      <c r="A6168" s="7"/>
      <c r="B6168" s="8"/>
    </row>
    <row r="6169" spans="1:2">
      <c r="A6169" s="7"/>
      <c r="B6169" s="8"/>
    </row>
    <row r="6170" spans="1:2">
      <c r="A6170" s="7"/>
      <c r="B6170" s="8"/>
    </row>
    <row r="6171" spans="1:2">
      <c r="A6171" s="7"/>
      <c r="B6171" s="8"/>
    </row>
    <row r="6172" spans="1:2">
      <c r="A6172" s="7"/>
      <c r="B6172" s="8"/>
    </row>
    <row r="6173" spans="1:2">
      <c r="A6173" s="7"/>
      <c r="B6173" s="8"/>
    </row>
    <row r="6174" spans="1:2">
      <c r="A6174" s="7"/>
      <c r="B6174" s="8"/>
    </row>
    <row r="6175" spans="1:2">
      <c r="A6175" s="7"/>
      <c r="B6175" s="8"/>
    </row>
    <row r="6176" spans="1:2">
      <c r="A6176" s="7"/>
      <c r="B6176" s="8"/>
    </row>
    <row r="6177" spans="1:2">
      <c r="A6177" s="7"/>
      <c r="B6177" s="8"/>
    </row>
    <row r="6178" spans="1:2">
      <c r="A6178" s="7"/>
      <c r="B6178" s="8"/>
    </row>
    <row r="6179" spans="1:2">
      <c r="A6179" s="7"/>
      <c r="B6179" s="8"/>
    </row>
    <row r="6180" spans="1:2">
      <c r="A6180" s="7"/>
      <c r="B6180" s="8"/>
    </row>
    <row r="6181" spans="1:2">
      <c r="A6181" s="7"/>
      <c r="B6181" s="8"/>
    </row>
    <row r="6182" spans="1:2">
      <c r="A6182" s="7"/>
      <c r="B6182" s="8"/>
    </row>
    <row r="6183" spans="1:2">
      <c r="A6183" s="7"/>
      <c r="B6183" s="8"/>
    </row>
    <row r="6184" spans="1:2">
      <c r="A6184" s="7"/>
      <c r="B6184" s="8"/>
    </row>
    <row r="6185" spans="1:2">
      <c r="A6185" s="7"/>
      <c r="B6185" s="8"/>
    </row>
    <row r="6186" spans="1:2">
      <c r="A6186" s="7"/>
      <c r="B6186" s="8"/>
    </row>
    <row r="6187" spans="1:2">
      <c r="A6187" s="7"/>
      <c r="B6187" s="8"/>
    </row>
    <row r="6188" spans="1:2">
      <c r="A6188" s="7"/>
      <c r="B6188" s="8"/>
    </row>
    <row r="6189" spans="1:2">
      <c r="A6189" s="7"/>
      <c r="B6189" s="8"/>
    </row>
    <row r="6190" spans="1:2">
      <c r="A6190" s="7"/>
      <c r="B6190" s="8"/>
    </row>
    <row r="6191" spans="1:2">
      <c r="A6191" s="7"/>
      <c r="B6191" s="8"/>
    </row>
    <row r="6192" spans="1:2">
      <c r="A6192" s="7"/>
      <c r="B6192" s="8"/>
    </row>
    <row r="6193" spans="1:2">
      <c r="A6193" s="7"/>
      <c r="B6193" s="8"/>
    </row>
    <row r="6194" spans="1:2">
      <c r="A6194" s="7"/>
      <c r="B6194" s="8"/>
    </row>
    <row r="6195" spans="1:2">
      <c r="A6195" s="7"/>
      <c r="B6195" s="8"/>
    </row>
    <row r="6196" spans="1:2">
      <c r="A6196" s="7"/>
      <c r="B6196" s="8"/>
    </row>
    <row r="6197" spans="1:2">
      <c r="A6197" s="7"/>
      <c r="B6197" s="8"/>
    </row>
    <row r="6198" spans="1:2">
      <c r="A6198" s="7"/>
      <c r="B6198" s="8"/>
    </row>
    <row r="6199" spans="1:2">
      <c r="A6199" s="7"/>
      <c r="B6199" s="8"/>
    </row>
    <row r="6200" spans="1:2">
      <c r="A6200" s="7"/>
      <c r="B6200" s="8"/>
    </row>
    <row r="6201" spans="1:2">
      <c r="A6201" s="7"/>
      <c r="B6201" s="8"/>
    </row>
    <row r="6202" spans="1:2">
      <c r="A6202" s="7"/>
      <c r="B6202" s="8"/>
    </row>
    <row r="6203" spans="1:2">
      <c r="A6203" s="7"/>
      <c r="B6203" s="8"/>
    </row>
    <row r="6204" spans="1:2">
      <c r="A6204" s="7"/>
      <c r="B6204" s="8"/>
    </row>
    <row r="6205" spans="1:2">
      <c r="A6205" s="7"/>
      <c r="B6205" s="8"/>
    </row>
    <row r="6206" spans="1:2">
      <c r="A6206" s="7"/>
      <c r="B6206" s="8"/>
    </row>
    <row r="6207" spans="1:2">
      <c r="A6207" s="7"/>
      <c r="B6207" s="8"/>
    </row>
    <row r="6208" spans="1:2">
      <c r="A6208" s="7"/>
      <c r="B6208" s="8"/>
    </row>
    <row r="6209" spans="1:2">
      <c r="A6209" s="7"/>
      <c r="B6209" s="8"/>
    </row>
    <row r="6210" spans="1:2">
      <c r="A6210" s="7"/>
      <c r="B6210" s="8"/>
    </row>
    <row r="6211" spans="1:2">
      <c r="A6211" s="7"/>
      <c r="B6211" s="8"/>
    </row>
    <row r="6212" spans="1:2">
      <c r="A6212" s="7"/>
      <c r="B6212" s="8"/>
    </row>
    <row r="6213" spans="1:2">
      <c r="A6213" s="7"/>
      <c r="B6213" s="8"/>
    </row>
    <row r="6214" spans="1:2">
      <c r="A6214" s="7"/>
      <c r="B6214" s="8"/>
    </row>
    <row r="6215" spans="1:2">
      <c r="A6215" s="7"/>
      <c r="B6215" s="8"/>
    </row>
    <row r="6216" spans="1:2">
      <c r="A6216" s="7"/>
      <c r="B6216" s="8"/>
    </row>
    <row r="6217" spans="1:2">
      <c r="A6217" s="7"/>
      <c r="B6217" s="8"/>
    </row>
    <row r="6218" spans="1:2">
      <c r="A6218" s="7"/>
      <c r="B6218" s="8"/>
    </row>
    <row r="6219" spans="1:2">
      <c r="A6219" s="7"/>
      <c r="B6219" s="8"/>
    </row>
    <row r="6220" spans="1:2">
      <c r="A6220" s="7"/>
      <c r="B6220" s="8"/>
    </row>
    <row r="6221" spans="1:2">
      <c r="A6221" s="7"/>
      <c r="B6221" s="8"/>
    </row>
    <row r="6222" spans="1:2">
      <c r="A6222" s="7"/>
      <c r="B6222" s="8"/>
    </row>
    <row r="6223" spans="1:2">
      <c r="A6223" s="7"/>
      <c r="B6223" s="8"/>
    </row>
    <row r="6224" spans="1:2">
      <c r="A6224" s="7"/>
      <c r="B6224" s="8"/>
    </row>
    <row r="6225" spans="1:2">
      <c r="A6225" s="7"/>
      <c r="B6225" s="8"/>
    </row>
    <row r="6226" spans="1:2">
      <c r="A6226" s="7"/>
      <c r="B6226" s="8"/>
    </row>
    <row r="6227" spans="1:2">
      <c r="A6227" s="7"/>
      <c r="B6227" s="8"/>
    </row>
    <row r="6228" spans="1:2">
      <c r="A6228" s="7"/>
      <c r="B6228" s="8"/>
    </row>
    <row r="6229" spans="1:2">
      <c r="A6229" s="7"/>
      <c r="B6229" s="8"/>
    </row>
    <row r="6230" spans="1:2">
      <c r="A6230" s="7"/>
      <c r="B6230" s="8"/>
    </row>
    <row r="6231" spans="1:2">
      <c r="A6231" s="7"/>
      <c r="B6231" s="8"/>
    </row>
    <row r="6232" spans="1:2">
      <c r="A6232" s="7"/>
      <c r="B6232" s="8"/>
    </row>
    <row r="6233" spans="1:2">
      <c r="A6233" s="7"/>
      <c r="B6233" s="8"/>
    </row>
    <row r="6234" spans="1:2">
      <c r="A6234" s="7"/>
      <c r="B6234" s="8"/>
    </row>
    <row r="6235" spans="1:2">
      <c r="A6235" s="7"/>
      <c r="B6235" s="8"/>
    </row>
    <row r="6236" spans="1:2">
      <c r="A6236" s="7"/>
      <c r="B6236" s="8"/>
    </row>
    <row r="6237" spans="1:2">
      <c r="A6237" s="7"/>
      <c r="B6237" s="8"/>
    </row>
    <row r="6238" spans="1:2">
      <c r="A6238" s="7"/>
      <c r="B6238" s="8"/>
    </row>
    <row r="6239" spans="1:2">
      <c r="A6239" s="7"/>
      <c r="B6239" s="8"/>
    </row>
    <row r="6240" spans="1:2">
      <c r="A6240" s="7"/>
      <c r="B6240" s="8"/>
    </row>
    <row r="6241" spans="1:2">
      <c r="A6241" s="7"/>
      <c r="B6241" s="8"/>
    </row>
    <row r="6242" spans="1:2">
      <c r="A6242" s="7"/>
      <c r="B6242" s="8"/>
    </row>
    <row r="6243" spans="1:2">
      <c r="A6243" s="7"/>
      <c r="B6243" s="8"/>
    </row>
    <row r="6244" spans="1:2">
      <c r="A6244" s="7"/>
      <c r="B6244" s="8"/>
    </row>
    <row r="6245" spans="1:2">
      <c r="A6245" s="7"/>
      <c r="B6245" s="8"/>
    </row>
    <row r="6246" spans="1:2">
      <c r="A6246" s="7"/>
      <c r="B6246" s="8"/>
    </row>
    <row r="6247" spans="1:2">
      <c r="A6247" s="7"/>
      <c r="B6247" s="8"/>
    </row>
    <row r="6248" spans="1:2">
      <c r="A6248" s="7"/>
      <c r="B6248" s="8"/>
    </row>
    <row r="6249" spans="1:2">
      <c r="A6249" s="7"/>
      <c r="B6249" s="8"/>
    </row>
    <row r="6250" spans="1:2">
      <c r="A6250" s="7"/>
      <c r="B6250" s="8"/>
    </row>
    <row r="6251" spans="1:2">
      <c r="A6251" s="7"/>
      <c r="B6251" s="8"/>
    </row>
    <row r="6252" spans="1:2">
      <c r="A6252" s="7"/>
      <c r="B6252" s="8"/>
    </row>
    <row r="6253" spans="1:2">
      <c r="A6253" s="7"/>
      <c r="B6253" s="8"/>
    </row>
    <row r="6254" spans="1:2">
      <c r="A6254" s="7"/>
      <c r="B6254" s="8"/>
    </row>
    <row r="6255" spans="1:2">
      <c r="A6255" s="7"/>
      <c r="B6255" s="8"/>
    </row>
    <row r="6256" spans="1:2">
      <c r="A6256" s="7"/>
      <c r="B6256" s="8"/>
    </row>
    <row r="6257" spans="1:2">
      <c r="A6257" s="7"/>
      <c r="B6257" s="8"/>
    </row>
    <row r="6258" spans="1:2">
      <c r="A6258" s="7"/>
      <c r="B6258" s="8"/>
    </row>
    <row r="6259" spans="1:2">
      <c r="A6259" s="7"/>
      <c r="B6259" s="8"/>
    </row>
    <row r="6260" spans="1:2">
      <c r="A6260" s="7"/>
      <c r="B6260" s="8"/>
    </row>
    <row r="6261" spans="1:2">
      <c r="A6261" s="7"/>
      <c r="B6261" s="8"/>
    </row>
    <row r="6262" spans="1:2">
      <c r="A6262" s="7"/>
      <c r="B6262" s="8"/>
    </row>
    <row r="6263" spans="1:2">
      <c r="A6263" s="7"/>
      <c r="B6263" s="8"/>
    </row>
    <row r="6264" spans="1:2">
      <c r="A6264" s="7"/>
      <c r="B6264" s="8"/>
    </row>
    <row r="6265" spans="1:2">
      <c r="A6265" s="7"/>
      <c r="B6265" s="8"/>
    </row>
    <row r="6266" spans="1:2">
      <c r="A6266" s="7"/>
      <c r="B6266" s="8"/>
    </row>
    <row r="6267" spans="1:2">
      <c r="A6267" s="7"/>
      <c r="B6267" s="8"/>
    </row>
    <row r="6268" spans="1:2">
      <c r="A6268" s="7"/>
      <c r="B6268" s="8"/>
    </row>
    <row r="6269" spans="1:2">
      <c r="A6269" s="7"/>
      <c r="B6269" s="8"/>
    </row>
    <row r="6270" spans="1:2">
      <c r="A6270" s="7"/>
      <c r="B6270" s="8"/>
    </row>
    <row r="6271" spans="1:2">
      <c r="A6271" s="7"/>
      <c r="B6271" s="8"/>
    </row>
    <row r="6272" spans="1:2">
      <c r="A6272" s="7"/>
      <c r="B6272" s="8"/>
    </row>
    <row r="6273" spans="1:2">
      <c r="A6273" s="7"/>
      <c r="B6273" s="8"/>
    </row>
    <row r="6274" spans="1:2">
      <c r="A6274" s="7"/>
      <c r="B6274" s="8"/>
    </row>
    <row r="6275" spans="1:2">
      <c r="A6275" s="7"/>
      <c r="B6275" s="8"/>
    </row>
    <row r="6276" spans="1:2">
      <c r="A6276" s="7"/>
      <c r="B6276" s="8"/>
    </row>
    <row r="6277" spans="1:2">
      <c r="A6277" s="7"/>
      <c r="B6277" s="8"/>
    </row>
    <row r="6278" spans="1:2">
      <c r="A6278" s="7"/>
      <c r="B6278" s="8"/>
    </row>
    <row r="6279" spans="1:2">
      <c r="A6279" s="7"/>
      <c r="B6279" s="8"/>
    </row>
    <row r="6280" spans="1:2">
      <c r="A6280" s="7"/>
      <c r="B6280" s="8"/>
    </row>
    <row r="6281" spans="1:2">
      <c r="A6281" s="7"/>
      <c r="B6281" s="8"/>
    </row>
    <row r="6282" spans="1:2">
      <c r="A6282" s="7"/>
      <c r="B6282" s="8"/>
    </row>
    <row r="6283" spans="1:2">
      <c r="A6283" s="7"/>
      <c r="B6283" s="8"/>
    </row>
    <row r="6284" spans="1:2">
      <c r="A6284" s="7"/>
      <c r="B6284" s="8"/>
    </row>
    <row r="6285" spans="1:2">
      <c r="A6285" s="7"/>
      <c r="B6285" s="8"/>
    </row>
    <row r="6286" spans="1:2">
      <c r="A6286" s="7"/>
      <c r="B6286" s="8"/>
    </row>
    <row r="6287" spans="1:2">
      <c r="A6287" s="7"/>
      <c r="B6287" s="8"/>
    </row>
    <row r="6288" spans="1:2">
      <c r="A6288" s="7"/>
      <c r="B6288" s="8"/>
    </row>
    <row r="6289" spans="1:2">
      <c r="A6289" s="7"/>
      <c r="B6289" s="8"/>
    </row>
    <row r="6290" spans="1:2">
      <c r="A6290" s="7"/>
      <c r="B6290" s="8"/>
    </row>
    <row r="6291" spans="1:2">
      <c r="A6291" s="7"/>
      <c r="B6291" s="8"/>
    </row>
    <row r="6292" spans="1:2">
      <c r="A6292" s="7"/>
      <c r="B6292" s="8"/>
    </row>
    <row r="6293" spans="1:2">
      <c r="A6293" s="7"/>
      <c r="B6293" s="8"/>
    </row>
    <row r="6294" spans="1:2">
      <c r="A6294" s="7"/>
      <c r="B6294" s="8"/>
    </row>
    <row r="6295" spans="1:2">
      <c r="A6295" s="7"/>
      <c r="B6295" s="8"/>
    </row>
    <row r="6296" spans="1:2">
      <c r="A6296" s="7"/>
      <c r="B6296" s="8"/>
    </row>
    <row r="6297" spans="1:2">
      <c r="A6297" s="7"/>
      <c r="B6297" s="8"/>
    </row>
    <row r="6298" spans="1:2">
      <c r="A6298" s="7"/>
      <c r="B6298" s="8"/>
    </row>
    <row r="6299" spans="1:2">
      <c r="A6299" s="7"/>
      <c r="B6299" s="8"/>
    </row>
    <row r="6300" spans="1:2">
      <c r="A6300" s="7"/>
      <c r="B6300" s="8"/>
    </row>
    <row r="6301" spans="1:2">
      <c r="A6301" s="7"/>
      <c r="B6301" s="8"/>
    </row>
    <row r="6302" spans="1:2">
      <c r="A6302" s="7"/>
      <c r="B6302" s="8"/>
    </row>
    <row r="6303" spans="1:2">
      <c r="A6303" s="7"/>
      <c r="B6303" s="8"/>
    </row>
    <row r="6304" spans="1:2">
      <c r="A6304" s="7"/>
      <c r="B6304" s="8"/>
    </row>
    <row r="6305" spans="1:2">
      <c r="A6305" s="7"/>
      <c r="B6305" s="8"/>
    </row>
    <row r="6306" spans="1:2">
      <c r="A6306" s="7"/>
      <c r="B6306" s="8"/>
    </row>
    <row r="6307" spans="1:2">
      <c r="A6307" s="7"/>
      <c r="B6307" s="8"/>
    </row>
    <row r="6308" spans="1:2">
      <c r="A6308" s="7"/>
      <c r="B6308" s="8"/>
    </row>
    <row r="6309" spans="1:2">
      <c r="A6309" s="7"/>
      <c r="B6309" s="8"/>
    </row>
    <row r="6310" spans="1:2">
      <c r="A6310" s="7"/>
      <c r="B6310" s="8"/>
    </row>
    <row r="6311" spans="1:2">
      <c r="A6311" s="7"/>
      <c r="B6311" s="8"/>
    </row>
    <row r="6312" spans="1:2">
      <c r="A6312" s="7"/>
      <c r="B6312" s="8"/>
    </row>
    <row r="6313" spans="1:2">
      <c r="A6313" s="7"/>
      <c r="B6313" s="8"/>
    </row>
    <row r="6314" spans="1:2">
      <c r="A6314" s="7"/>
      <c r="B6314" s="8"/>
    </row>
    <row r="6315" spans="1:2">
      <c r="A6315" s="7"/>
      <c r="B6315" s="8"/>
    </row>
    <row r="6316" spans="1:2">
      <c r="A6316" s="7"/>
      <c r="B6316" s="8"/>
    </row>
    <row r="6317" spans="1:2">
      <c r="A6317" s="7"/>
      <c r="B6317" s="8"/>
    </row>
    <row r="6318" spans="1:2">
      <c r="A6318" s="7"/>
      <c r="B6318" s="8"/>
    </row>
    <row r="6319" spans="1:2">
      <c r="A6319" s="7"/>
      <c r="B6319" s="8"/>
    </row>
    <row r="6320" spans="1:2">
      <c r="A6320" s="7"/>
      <c r="B6320" s="8"/>
    </row>
    <row r="6321" spans="1:2">
      <c r="A6321" s="7"/>
      <c r="B6321" s="8"/>
    </row>
    <row r="6322" spans="1:2">
      <c r="A6322" s="7"/>
      <c r="B6322" s="8"/>
    </row>
    <row r="6323" spans="1:2">
      <c r="A6323" s="7"/>
      <c r="B6323" s="8"/>
    </row>
    <row r="6324" spans="1:2">
      <c r="A6324" s="7"/>
      <c r="B6324" s="8"/>
    </row>
    <row r="6325" spans="1:2">
      <c r="A6325" s="7"/>
      <c r="B6325" s="8"/>
    </row>
    <row r="6326" spans="1:2">
      <c r="A6326" s="7"/>
      <c r="B6326" s="8"/>
    </row>
    <row r="6327" spans="1:2">
      <c r="A6327" s="7"/>
      <c r="B6327" s="8"/>
    </row>
    <row r="6328" spans="1:2">
      <c r="A6328" s="7"/>
      <c r="B6328" s="8"/>
    </row>
    <row r="6329" spans="1:2">
      <c r="A6329" s="7"/>
      <c r="B6329" s="8"/>
    </row>
    <row r="6330" spans="1:2">
      <c r="A6330" s="7"/>
      <c r="B6330" s="8"/>
    </row>
    <row r="6331" spans="1:2">
      <c r="A6331" s="7"/>
      <c r="B6331" s="8"/>
    </row>
    <row r="6332" spans="1:2">
      <c r="A6332" s="7"/>
      <c r="B6332" s="8"/>
    </row>
    <row r="6333" spans="1:2">
      <c r="A6333" s="7"/>
      <c r="B6333" s="8"/>
    </row>
    <row r="6334" spans="1:2">
      <c r="A6334" s="7"/>
      <c r="B6334" s="8"/>
    </row>
    <row r="6335" spans="1:2">
      <c r="A6335" s="7"/>
      <c r="B6335" s="8"/>
    </row>
    <row r="6336" spans="1:2">
      <c r="A6336" s="7"/>
      <c r="B6336" s="8"/>
    </row>
    <row r="6337" spans="1:2">
      <c r="A6337" s="7"/>
      <c r="B6337" s="8"/>
    </row>
    <row r="6338" spans="1:2">
      <c r="A6338" s="7"/>
      <c r="B6338" s="8"/>
    </row>
    <row r="6339" spans="1:2">
      <c r="A6339" s="7"/>
      <c r="B6339" s="8"/>
    </row>
    <row r="6340" spans="1:2">
      <c r="A6340" s="7"/>
      <c r="B6340" s="8"/>
    </row>
    <row r="6341" spans="1:2">
      <c r="A6341" s="7"/>
      <c r="B6341" s="8"/>
    </row>
    <row r="6342" spans="1:2">
      <c r="A6342" s="7"/>
      <c r="B6342" s="8"/>
    </row>
    <row r="6343" spans="1:2">
      <c r="A6343" s="7"/>
      <c r="B6343" s="8"/>
    </row>
    <row r="6344" spans="1:2">
      <c r="A6344" s="7"/>
      <c r="B6344" s="8"/>
    </row>
    <row r="6345" spans="1:2">
      <c r="A6345" s="7"/>
      <c r="B6345" s="8"/>
    </row>
    <row r="6346" spans="1:2">
      <c r="A6346" s="7"/>
      <c r="B6346" s="8"/>
    </row>
    <row r="6347" spans="1:2">
      <c r="A6347" s="7"/>
      <c r="B6347" s="8"/>
    </row>
    <row r="6348" spans="1:2">
      <c r="A6348" s="7"/>
      <c r="B6348" s="8"/>
    </row>
    <row r="6349" spans="1:2">
      <c r="A6349" s="7"/>
      <c r="B6349" s="8"/>
    </row>
    <row r="6350" spans="1:2">
      <c r="A6350" s="7"/>
      <c r="B6350" s="8"/>
    </row>
    <row r="6351" spans="1:2">
      <c r="A6351" s="7"/>
      <c r="B6351" s="8"/>
    </row>
    <row r="6352" spans="1:2">
      <c r="A6352" s="7"/>
      <c r="B6352" s="8"/>
    </row>
    <row r="6353" spans="1:2">
      <c r="A6353" s="7"/>
      <c r="B6353" s="8"/>
    </row>
    <row r="6354" spans="1:2">
      <c r="A6354" s="7"/>
      <c r="B6354" s="8"/>
    </row>
    <row r="6355" spans="1:2">
      <c r="A6355" s="7"/>
      <c r="B6355" s="8"/>
    </row>
    <row r="6356" spans="1:2">
      <c r="A6356" s="7"/>
      <c r="B6356" s="8"/>
    </row>
    <row r="6357" spans="1:2">
      <c r="A6357" s="7"/>
      <c r="B6357" s="8"/>
    </row>
    <row r="6358" spans="1:2">
      <c r="A6358" s="7"/>
      <c r="B6358" s="8"/>
    </row>
    <row r="6359" spans="1:2">
      <c r="A6359" s="7"/>
      <c r="B6359" s="8"/>
    </row>
    <row r="6360" spans="1:2">
      <c r="A6360" s="7"/>
      <c r="B6360" s="8"/>
    </row>
    <row r="6361" spans="1:2">
      <c r="A6361" s="7"/>
      <c r="B6361" s="8"/>
    </row>
    <row r="6362" spans="1:2">
      <c r="A6362" s="7"/>
      <c r="B6362" s="8"/>
    </row>
    <row r="6363" spans="1:2">
      <c r="A6363" s="7"/>
      <c r="B6363" s="8"/>
    </row>
    <row r="6364" spans="1:2">
      <c r="A6364" s="7"/>
      <c r="B6364" s="8"/>
    </row>
    <row r="6365" spans="1:2">
      <c r="A6365" s="7"/>
      <c r="B6365" s="8"/>
    </row>
    <row r="6366" spans="1:2">
      <c r="A6366" s="7"/>
      <c r="B6366" s="8"/>
    </row>
    <row r="6367" spans="1:2">
      <c r="A6367" s="7"/>
      <c r="B6367" s="8"/>
    </row>
    <row r="6368" spans="1:2">
      <c r="A6368" s="7"/>
      <c r="B6368" s="8"/>
    </row>
    <row r="6369" spans="1:2">
      <c r="A6369" s="7"/>
      <c r="B6369" s="8"/>
    </row>
    <row r="6370" spans="1:2">
      <c r="A6370" s="7"/>
      <c r="B6370" s="8"/>
    </row>
    <row r="6371" spans="1:2">
      <c r="A6371" s="7"/>
      <c r="B6371" s="8"/>
    </row>
    <row r="6372" spans="1:2">
      <c r="A6372" s="7"/>
      <c r="B6372" s="8"/>
    </row>
    <row r="6373" spans="1:2">
      <c r="A6373" s="7"/>
      <c r="B6373" s="8"/>
    </row>
    <row r="6374" spans="1:2">
      <c r="A6374" s="7"/>
      <c r="B6374" s="8"/>
    </row>
    <row r="6375" spans="1:2">
      <c r="A6375" s="7"/>
      <c r="B6375" s="8"/>
    </row>
    <row r="6376" spans="1:2">
      <c r="A6376" s="7"/>
      <c r="B6376" s="8"/>
    </row>
    <row r="6377" spans="1:2">
      <c r="A6377" s="7"/>
      <c r="B6377" s="8"/>
    </row>
    <row r="6378" spans="1:2">
      <c r="A6378" s="7"/>
      <c r="B6378" s="8"/>
    </row>
    <row r="6379" spans="1:2">
      <c r="A6379" s="7"/>
      <c r="B6379" s="8"/>
    </row>
    <row r="6380" spans="1:2">
      <c r="A6380" s="7"/>
      <c r="B6380" s="8"/>
    </row>
    <row r="6381" spans="1:2">
      <c r="A6381" s="7"/>
      <c r="B6381" s="8"/>
    </row>
    <row r="6382" spans="1:2">
      <c r="A6382" s="7"/>
      <c r="B6382" s="8"/>
    </row>
    <row r="6383" spans="1:2">
      <c r="A6383" s="7"/>
      <c r="B6383" s="8"/>
    </row>
    <row r="6384" spans="1:2">
      <c r="A6384" s="7"/>
      <c r="B6384" s="8"/>
    </row>
    <row r="6385" spans="1:2">
      <c r="A6385" s="7"/>
      <c r="B6385" s="8"/>
    </row>
    <row r="6386" spans="1:2">
      <c r="A6386" s="7"/>
      <c r="B6386" s="8"/>
    </row>
    <row r="6387" spans="1:2">
      <c r="A6387" s="7"/>
      <c r="B6387" s="8"/>
    </row>
    <row r="6388" spans="1:2">
      <c r="A6388" s="7"/>
      <c r="B6388" s="8"/>
    </row>
    <row r="6389" spans="1:2">
      <c r="A6389" s="7"/>
      <c r="B6389" s="8"/>
    </row>
    <row r="6390" spans="1:2">
      <c r="A6390" s="7"/>
      <c r="B6390" s="8"/>
    </row>
    <row r="6391" spans="1:2">
      <c r="A6391" s="7"/>
      <c r="B6391" s="8"/>
    </row>
    <row r="6392" spans="1:2">
      <c r="A6392" s="7"/>
      <c r="B6392" s="8"/>
    </row>
    <row r="6393" spans="1:2">
      <c r="A6393" s="7"/>
      <c r="B6393" s="8"/>
    </row>
    <row r="6394" spans="1:2">
      <c r="A6394" s="7"/>
      <c r="B6394" s="8"/>
    </row>
    <row r="6395" spans="1:2">
      <c r="A6395" s="7"/>
      <c r="B6395" s="8"/>
    </row>
    <row r="6396" spans="1:2">
      <c r="A6396" s="7"/>
      <c r="B6396" s="8"/>
    </row>
    <row r="6397" spans="1:2">
      <c r="A6397" s="7"/>
      <c r="B6397" s="8"/>
    </row>
    <row r="6398" spans="1:2">
      <c r="A6398" s="7"/>
      <c r="B6398" s="8"/>
    </row>
    <row r="6399" spans="1:2">
      <c r="A6399" s="7"/>
      <c r="B6399" s="8"/>
    </row>
    <row r="6400" spans="1:2">
      <c r="A6400" s="7"/>
      <c r="B6400" s="8"/>
    </row>
    <row r="6401" spans="1:2">
      <c r="A6401" s="7"/>
      <c r="B6401" s="8"/>
    </row>
    <row r="6402" spans="1:2">
      <c r="A6402" s="7"/>
      <c r="B6402" s="8"/>
    </row>
    <row r="6403" spans="1:2">
      <c r="A6403" s="7"/>
      <c r="B6403" s="8"/>
    </row>
    <row r="6404" spans="1:2">
      <c r="A6404" s="7"/>
      <c r="B6404" s="8"/>
    </row>
    <row r="6405" spans="1:2">
      <c r="A6405" s="7"/>
      <c r="B6405" s="8"/>
    </row>
    <row r="6406" spans="1:2">
      <c r="A6406" s="7"/>
      <c r="B6406" s="8"/>
    </row>
    <row r="6407" spans="1:2">
      <c r="A6407" s="7"/>
      <c r="B6407" s="8"/>
    </row>
    <row r="6408" spans="1:2">
      <c r="A6408" s="7"/>
      <c r="B6408" s="8"/>
    </row>
    <row r="6409" spans="1:2">
      <c r="A6409" s="7"/>
      <c r="B6409" s="8"/>
    </row>
    <row r="6410" spans="1:2">
      <c r="A6410" s="7"/>
      <c r="B6410" s="8"/>
    </row>
    <row r="6411" spans="1:2">
      <c r="A6411" s="7"/>
      <c r="B6411" s="8"/>
    </row>
    <row r="6412" spans="1:2">
      <c r="A6412" s="7"/>
      <c r="B6412" s="8"/>
    </row>
    <row r="6413" spans="1:2">
      <c r="A6413" s="7"/>
      <c r="B6413" s="8"/>
    </row>
    <row r="6414" spans="1:2">
      <c r="A6414" s="7"/>
      <c r="B6414" s="8"/>
    </row>
    <row r="6415" spans="1:2">
      <c r="A6415" s="7"/>
      <c r="B6415" s="8"/>
    </row>
    <row r="6416" spans="1:2">
      <c r="A6416" s="7"/>
      <c r="B6416" s="8"/>
    </row>
    <row r="6417" spans="1:2">
      <c r="A6417" s="7"/>
      <c r="B6417" s="8"/>
    </row>
    <row r="6418" spans="1:2">
      <c r="A6418" s="7"/>
      <c r="B6418" s="8"/>
    </row>
    <row r="6419" spans="1:2">
      <c r="A6419" s="7"/>
      <c r="B6419" s="8"/>
    </row>
    <row r="6420" spans="1:2">
      <c r="A6420" s="7"/>
      <c r="B6420" s="8"/>
    </row>
    <row r="6421" spans="1:2">
      <c r="A6421" s="7"/>
      <c r="B6421" s="8"/>
    </row>
    <row r="6422" spans="1:2">
      <c r="A6422" s="7"/>
      <c r="B6422" s="8"/>
    </row>
    <row r="6423" spans="1:2">
      <c r="A6423" s="7"/>
      <c r="B6423" s="8"/>
    </row>
    <row r="6424" spans="1:2">
      <c r="A6424" s="7"/>
      <c r="B6424" s="8"/>
    </row>
    <row r="6425" spans="1:2">
      <c r="A6425" s="7"/>
      <c r="B6425" s="8"/>
    </row>
    <row r="6426" spans="1:2">
      <c r="A6426" s="7"/>
      <c r="B6426" s="8"/>
    </row>
    <row r="6427" spans="1:2">
      <c r="A6427" s="7"/>
      <c r="B6427" s="8"/>
    </row>
    <row r="6428" spans="1:2">
      <c r="A6428" s="7"/>
      <c r="B6428" s="8"/>
    </row>
    <row r="6429" spans="1:2">
      <c r="A6429" s="7"/>
      <c r="B6429" s="8"/>
    </row>
    <row r="6430" spans="1:2">
      <c r="A6430" s="7"/>
      <c r="B6430" s="8"/>
    </row>
    <row r="6431" spans="1:2">
      <c r="A6431" s="7"/>
      <c r="B6431" s="8"/>
    </row>
    <row r="6432" spans="1:2">
      <c r="A6432" s="7"/>
      <c r="B6432" s="8"/>
    </row>
    <row r="6433" spans="1:2">
      <c r="A6433" s="7"/>
      <c r="B6433" s="8"/>
    </row>
    <row r="6434" spans="1:2">
      <c r="A6434" s="7"/>
      <c r="B6434" s="8"/>
    </row>
    <row r="6435" spans="1:2">
      <c r="A6435" s="7"/>
      <c r="B6435" s="8"/>
    </row>
    <row r="6436" spans="1:2">
      <c r="A6436" s="7"/>
      <c r="B6436" s="8"/>
    </row>
    <row r="6437" spans="1:2">
      <c r="A6437" s="7"/>
      <c r="B6437" s="8"/>
    </row>
    <row r="6438" spans="1:2">
      <c r="A6438" s="7"/>
      <c r="B6438" s="8"/>
    </row>
    <row r="6439" spans="1:2">
      <c r="A6439" s="7"/>
      <c r="B6439" s="8"/>
    </row>
    <row r="6440" spans="1:2">
      <c r="A6440" s="7"/>
      <c r="B6440" s="8"/>
    </row>
    <row r="6441" spans="1:2">
      <c r="A6441" s="7"/>
      <c r="B6441" s="8"/>
    </row>
    <row r="6442" spans="1:2">
      <c r="A6442" s="7"/>
      <c r="B6442" s="8"/>
    </row>
    <row r="6443" spans="1:2">
      <c r="A6443" s="7"/>
      <c r="B6443" s="8"/>
    </row>
    <row r="6444" spans="1:2">
      <c r="A6444" s="7"/>
      <c r="B6444" s="8"/>
    </row>
    <row r="6445" spans="1:2">
      <c r="A6445" s="7"/>
      <c r="B6445" s="8"/>
    </row>
    <row r="6446" spans="1:2">
      <c r="A6446" s="7"/>
      <c r="B6446" s="8"/>
    </row>
    <row r="6447" spans="1:2">
      <c r="A6447" s="7"/>
      <c r="B6447" s="8"/>
    </row>
    <row r="6448" spans="1:2">
      <c r="A6448" s="7"/>
      <c r="B6448" s="8"/>
    </row>
    <row r="6449" spans="1:2">
      <c r="A6449" s="7"/>
      <c r="B6449" s="8"/>
    </row>
    <row r="6450" spans="1:2">
      <c r="A6450" s="7"/>
      <c r="B6450" s="8"/>
    </row>
    <row r="6451" spans="1:2">
      <c r="A6451" s="7"/>
      <c r="B6451" s="8"/>
    </row>
    <row r="6452" spans="1:2">
      <c r="A6452" s="7"/>
      <c r="B6452" s="8"/>
    </row>
    <row r="6453" spans="1:2">
      <c r="A6453" s="7"/>
      <c r="B6453" s="8"/>
    </row>
    <row r="6454" spans="1:2">
      <c r="A6454" s="7"/>
      <c r="B6454" s="8"/>
    </row>
    <row r="6455" spans="1:2">
      <c r="A6455" s="7"/>
      <c r="B6455" s="8"/>
    </row>
    <row r="6456" spans="1:2">
      <c r="A6456" s="7"/>
      <c r="B6456" s="8"/>
    </row>
    <row r="6457" spans="1:2">
      <c r="A6457" s="7"/>
      <c r="B6457" s="8"/>
    </row>
    <row r="6458" spans="1:2">
      <c r="A6458" s="7"/>
      <c r="B6458" s="8"/>
    </row>
    <row r="6459" spans="1:2">
      <c r="A6459" s="7"/>
      <c r="B6459" s="8"/>
    </row>
    <row r="6460" spans="1:2">
      <c r="A6460" s="7"/>
      <c r="B6460" s="8"/>
    </row>
    <row r="6461" spans="1:2">
      <c r="A6461" s="7"/>
      <c r="B6461" s="8"/>
    </row>
    <row r="6462" spans="1:2">
      <c r="A6462" s="7"/>
      <c r="B6462" s="8"/>
    </row>
    <row r="6463" spans="1:2">
      <c r="A6463" s="7"/>
      <c r="B6463" s="8"/>
    </row>
    <row r="6464" spans="1:2">
      <c r="A6464" s="7"/>
      <c r="B6464" s="8"/>
    </row>
    <row r="6465" spans="1:2">
      <c r="A6465" s="7"/>
      <c r="B6465" s="8"/>
    </row>
    <row r="6466" spans="1:2">
      <c r="A6466" s="7"/>
      <c r="B6466" s="8"/>
    </row>
    <row r="6467" spans="1:2">
      <c r="A6467" s="7"/>
      <c r="B6467" s="8"/>
    </row>
    <row r="6468" spans="1:2">
      <c r="A6468" s="7"/>
      <c r="B6468" s="8"/>
    </row>
    <row r="6469" spans="1:2">
      <c r="A6469" s="7"/>
      <c r="B6469" s="8"/>
    </row>
    <row r="6470" spans="1:2">
      <c r="A6470" s="7"/>
      <c r="B6470" s="8"/>
    </row>
    <row r="6471" spans="1:2">
      <c r="A6471" s="7"/>
      <c r="B6471" s="8"/>
    </row>
    <row r="6472" spans="1:2">
      <c r="A6472" s="7"/>
      <c r="B6472" s="8"/>
    </row>
    <row r="6473" spans="1:2">
      <c r="A6473" s="7"/>
      <c r="B6473" s="8"/>
    </row>
    <row r="6474" spans="1:2">
      <c r="A6474" s="7"/>
      <c r="B6474" s="8"/>
    </row>
    <row r="6475" spans="1:2">
      <c r="A6475" s="7"/>
      <c r="B6475" s="8"/>
    </row>
    <row r="6476" spans="1:2">
      <c r="A6476" s="7"/>
      <c r="B6476" s="8"/>
    </row>
    <row r="6477" spans="1:2">
      <c r="A6477" s="7"/>
      <c r="B6477" s="8"/>
    </row>
    <row r="6478" spans="1:2">
      <c r="A6478" s="7"/>
      <c r="B6478" s="8"/>
    </row>
    <row r="6479" spans="1:2">
      <c r="A6479" s="7"/>
      <c r="B6479" s="8"/>
    </row>
    <row r="6480" spans="1:2">
      <c r="A6480" s="7"/>
      <c r="B6480" s="8"/>
    </row>
    <row r="6481" spans="1:2">
      <c r="A6481" s="7"/>
      <c r="B6481" s="8"/>
    </row>
    <row r="6482" spans="1:2">
      <c r="A6482" s="7"/>
      <c r="B6482" s="8"/>
    </row>
    <row r="6483" spans="1:2">
      <c r="A6483" s="7"/>
      <c r="B6483" s="8"/>
    </row>
    <row r="6484" spans="1:2">
      <c r="A6484" s="7"/>
      <c r="B6484" s="8"/>
    </row>
    <row r="6485" spans="1:2">
      <c r="A6485" s="7"/>
      <c r="B6485" s="8"/>
    </row>
    <row r="6486" spans="1:2">
      <c r="A6486" s="7"/>
      <c r="B6486" s="8"/>
    </row>
    <row r="6487" spans="1:2">
      <c r="A6487" s="7"/>
      <c r="B6487" s="8"/>
    </row>
    <row r="6488" spans="1:2">
      <c r="A6488" s="7"/>
      <c r="B6488" s="8"/>
    </row>
    <row r="6489" spans="1:2">
      <c r="A6489" s="7"/>
      <c r="B6489" s="8"/>
    </row>
    <row r="6490" spans="1:2">
      <c r="A6490" s="7"/>
      <c r="B6490" s="8"/>
    </row>
    <row r="6491" spans="1:2">
      <c r="A6491" s="7"/>
      <c r="B6491" s="8"/>
    </row>
    <row r="6492" spans="1:2">
      <c r="A6492" s="7"/>
      <c r="B6492" s="8"/>
    </row>
    <row r="6493" spans="1:2">
      <c r="A6493" s="7"/>
      <c r="B6493" s="8"/>
    </row>
    <row r="6494" spans="1:2">
      <c r="A6494" s="7"/>
      <c r="B6494" s="8"/>
    </row>
    <row r="6495" spans="1:2">
      <c r="A6495" s="7"/>
      <c r="B6495" s="8"/>
    </row>
    <row r="6496" spans="1:2">
      <c r="A6496" s="7"/>
      <c r="B6496" s="8"/>
    </row>
    <row r="6497" spans="1:2">
      <c r="A6497" s="7"/>
      <c r="B6497" s="8"/>
    </row>
    <row r="6498" spans="1:2">
      <c r="A6498" s="7"/>
      <c r="B6498" s="8"/>
    </row>
    <row r="6499" spans="1:2">
      <c r="A6499" s="7"/>
      <c r="B6499" s="8"/>
    </row>
    <row r="6500" spans="1:2">
      <c r="A6500" s="7"/>
      <c r="B6500" s="8"/>
    </row>
    <row r="6501" spans="1:2">
      <c r="A6501" s="7"/>
      <c r="B6501" s="8"/>
    </row>
    <row r="6502" spans="1:2">
      <c r="A6502" s="7"/>
      <c r="B6502" s="8"/>
    </row>
    <row r="6503" spans="1:2">
      <c r="A6503" s="7"/>
      <c r="B6503" s="8"/>
    </row>
    <row r="6504" spans="1:2">
      <c r="A6504" s="7"/>
      <c r="B6504" s="8"/>
    </row>
    <row r="6505" spans="1:2">
      <c r="A6505" s="7"/>
      <c r="B6505" s="8"/>
    </row>
    <row r="6506" spans="1:2">
      <c r="A6506" s="7"/>
      <c r="B6506" s="8"/>
    </row>
    <row r="6507" spans="1:2">
      <c r="A6507" s="7"/>
      <c r="B6507" s="8"/>
    </row>
    <row r="6508" spans="1:2">
      <c r="A6508" s="7"/>
      <c r="B6508" s="8"/>
    </row>
    <row r="6509" spans="1:2">
      <c r="A6509" s="7"/>
      <c r="B6509" s="8"/>
    </row>
    <row r="6510" spans="1:2">
      <c r="A6510" s="7"/>
      <c r="B6510" s="8"/>
    </row>
    <row r="6511" spans="1:2">
      <c r="A6511" s="7"/>
      <c r="B6511" s="8"/>
    </row>
    <row r="6512" spans="1:2">
      <c r="A6512" s="7"/>
      <c r="B6512" s="8"/>
    </row>
    <row r="6513" spans="1:2">
      <c r="A6513" s="7"/>
      <c r="B6513" s="8"/>
    </row>
    <row r="6514" spans="1:2">
      <c r="A6514" s="7"/>
      <c r="B6514" s="8"/>
    </row>
    <row r="6515" spans="1:2">
      <c r="A6515" s="7"/>
      <c r="B6515" s="8"/>
    </row>
    <row r="6516" spans="1:2">
      <c r="A6516" s="7"/>
      <c r="B6516" s="8"/>
    </row>
    <row r="6517" spans="1:2">
      <c r="A6517" s="7"/>
      <c r="B6517" s="8"/>
    </row>
    <row r="6518" spans="1:2">
      <c r="A6518" s="7"/>
      <c r="B6518" s="8"/>
    </row>
    <row r="6519" spans="1:2">
      <c r="A6519" s="7"/>
      <c r="B6519" s="8"/>
    </row>
    <row r="6520" spans="1:2">
      <c r="A6520" s="7"/>
      <c r="B6520" s="8"/>
    </row>
    <row r="6521" spans="1:2">
      <c r="A6521" s="7"/>
      <c r="B6521" s="8"/>
    </row>
    <row r="6522" spans="1:2">
      <c r="A6522" s="7"/>
      <c r="B6522" s="8"/>
    </row>
    <row r="6523" spans="1:2">
      <c r="A6523" s="7"/>
      <c r="B6523" s="8"/>
    </row>
    <row r="6524" spans="1:2">
      <c r="A6524" s="7"/>
      <c r="B6524" s="8"/>
    </row>
    <row r="6525" spans="1:2">
      <c r="A6525" s="7"/>
      <c r="B6525" s="8"/>
    </row>
    <row r="6526" spans="1:2">
      <c r="A6526" s="7"/>
      <c r="B6526" s="8"/>
    </row>
    <row r="6527" spans="1:2">
      <c r="A6527" s="7"/>
      <c r="B6527" s="8"/>
    </row>
    <row r="6528" spans="1:2">
      <c r="A6528" s="7"/>
      <c r="B6528" s="8"/>
    </row>
    <row r="6529" spans="1:2">
      <c r="A6529" s="7"/>
      <c r="B6529" s="8"/>
    </row>
    <row r="6530" spans="1:2">
      <c r="A6530" s="7"/>
      <c r="B6530" s="8"/>
    </row>
    <row r="6531" spans="1:2">
      <c r="A6531" s="7"/>
      <c r="B6531" s="8"/>
    </row>
    <row r="6532" spans="1:2">
      <c r="A6532" s="7"/>
      <c r="B6532" s="8"/>
    </row>
    <row r="6533" spans="1:2">
      <c r="A6533" s="7"/>
      <c r="B6533" s="8"/>
    </row>
    <row r="6534" spans="1:2">
      <c r="A6534" s="7"/>
      <c r="B6534" s="8"/>
    </row>
    <row r="6535" spans="1:2">
      <c r="A6535" s="7"/>
      <c r="B6535" s="8"/>
    </row>
    <row r="6536" spans="1:2">
      <c r="A6536" s="7"/>
      <c r="B6536" s="8"/>
    </row>
    <row r="6537" spans="1:2">
      <c r="A6537" s="7"/>
      <c r="B6537" s="8"/>
    </row>
    <row r="6538" spans="1:2">
      <c r="A6538" s="7"/>
      <c r="B6538" s="8"/>
    </row>
    <row r="6539" spans="1:2">
      <c r="A6539" s="7"/>
      <c r="B6539" s="8"/>
    </row>
    <row r="6540" spans="1:2">
      <c r="A6540" s="7"/>
      <c r="B6540" s="8"/>
    </row>
    <row r="6541" spans="1:2">
      <c r="A6541" s="7"/>
      <c r="B6541" s="8"/>
    </row>
    <row r="6542" spans="1:2">
      <c r="A6542" s="7"/>
      <c r="B6542" s="8"/>
    </row>
    <row r="6543" spans="1:2">
      <c r="A6543" s="7"/>
      <c r="B6543" s="8"/>
    </row>
    <row r="6544" spans="1:2">
      <c r="A6544" s="7"/>
      <c r="B6544" s="8"/>
    </row>
    <row r="6545" spans="1:2">
      <c r="A6545" s="7"/>
      <c r="B6545" s="8"/>
    </row>
    <row r="6546" spans="1:2">
      <c r="A6546" s="7"/>
      <c r="B6546" s="8"/>
    </row>
    <row r="6547" spans="1:2">
      <c r="A6547" s="7"/>
      <c r="B6547" s="8"/>
    </row>
    <row r="6548" spans="1:2">
      <c r="A6548" s="7"/>
      <c r="B6548" s="8"/>
    </row>
    <row r="6549" spans="1:2">
      <c r="A6549" s="7"/>
      <c r="B6549" s="8"/>
    </row>
    <row r="6550" spans="1:2">
      <c r="A6550" s="7"/>
      <c r="B6550" s="8"/>
    </row>
    <row r="6551" spans="1:2">
      <c r="A6551" s="7"/>
      <c r="B6551" s="8"/>
    </row>
    <row r="6552" spans="1:2">
      <c r="A6552" s="7"/>
      <c r="B6552" s="8"/>
    </row>
    <row r="6553" spans="1:2">
      <c r="A6553" s="7"/>
      <c r="B6553" s="8"/>
    </row>
    <row r="6554" spans="1:2">
      <c r="A6554" s="7"/>
      <c r="B6554" s="8"/>
    </row>
    <row r="6555" spans="1:2">
      <c r="A6555" s="7"/>
      <c r="B6555" s="8"/>
    </row>
    <row r="6556" spans="1:2">
      <c r="A6556" s="7"/>
      <c r="B6556" s="8"/>
    </row>
    <row r="6557" spans="1:2">
      <c r="A6557" s="7"/>
      <c r="B6557" s="8"/>
    </row>
    <row r="6558" spans="1:2">
      <c r="A6558" s="7"/>
      <c r="B6558" s="8"/>
    </row>
    <row r="6559" spans="1:2">
      <c r="A6559" s="7"/>
      <c r="B6559" s="8"/>
    </row>
    <row r="6560" spans="1:2">
      <c r="A6560" s="7"/>
      <c r="B6560" s="8"/>
    </row>
    <row r="6561" spans="1:2">
      <c r="A6561" s="7"/>
      <c r="B6561" s="8"/>
    </row>
    <row r="6562" spans="1:2">
      <c r="A6562" s="7"/>
      <c r="B6562" s="8"/>
    </row>
    <row r="6563" spans="1:2">
      <c r="A6563" s="7"/>
      <c r="B6563" s="8"/>
    </row>
    <row r="6564" spans="1:2">
      <c r="A6564" s="7"/>
      <c r="B6564" s="8"/>
    </row>
    <row r="6565" spans="1:2">
      <c r="A6565" s="7"/>
      <c r="B6565" s="8"/>
    </row>
    <row r="6566" spans="1:2">
      <c r="A6566" s="7"/>
      <c r="B6566" s="8"/>
    </row>
    <row r="6567" spans="1:2">
      <c r="A6567" s="7"/>
      <c r="B6567" s="8"/>
    </row>
    <row r="6568" spans="1:2">
      <c r="A6568" s="7"/>
      <c r="B6568" s="8"/>
    </row>
    <row r="6569" spans="1:2">
      <c r="A6569" s="7"/>
      <c r="B6569" s="8"/>
    </row>
    <row r="6570" spans="1:2">
      <c r="A6570" s="7"/>
      <c r="B6570" s="8"/>
    </row>
    <row r="6571" spans="1:2">
      <c r="A6571" s="7"/>
      <c r="B6571" s="8"/>
    </row>
    <row r="6572" spans="1:2">
      <c r="A6572" s="7"/>
      <c r="B6572" s="8"/>
    </row>
    <row r="6573" spans="1:2">
      <c r="A6573" s="7"/>
      <c r="B6573" s="8"/>
    </row>
    <row r="6574" spans="1:2">
      <c r="A6574" s="7"/>
      <c r="B6574" s="8"/>
    </row>
    <row r="6575" spans="1:2">
      <c r="A6575" s="7"/>
      <c r="B6575" s="8"/>
    </row>
    <row r="6576" spans="1:2">
      <c r="A6576" s="7"/>
      <c r="B6576" s="8"/>
    </row>
    <row r="6577" spans="1:2">
      <c r="A6577" s="7"/>
      <c r="B6577" s="8"/>
    </row>
    <row r="6578" spans="1:2">
      <c r="A6578" s="7"/>
      <c r="B6578" s="8"/>
    </row>
    <row r="6579" spans="1:2">
      <c r="A6579" s="7"/>
      <c r="B6579" s="8"/>
    </row>
    <row r="6580" spans="1:2">
      <c r="A6580" s="7"/>
      <c r="B6580" s="8"/>
    </row>
    <row r="6581" spans="1:2">
      <c r="A6581" s="7"/>
      <c r="B6581" s="8"/>
    </row>
    <row r="6582" spans="1:2">
      <c r="A6582" s="7"/>
      <c r="B6582" s="8"/>
    </row>
    <row r="6583" spans="1:2">
      <c r="A6583" s="7"/>
      <c r="B6583" s="8"/>
    </row>
    <row r="6584" spans="1:2">
      <c r="A6584" s="7"/>
      <c r="B6584" s="8"/>
    </row>
    <row r="6585" spans="1:2">
      <c r="A6585" s="7"/>
      <c r="B6585" s="8"/>
    </row>
    <row r="6586" spans="1:2">
      <c r="A6586" s="7"/>
      <c r="B6586" s="8"/>
    </row>
    <row r="6587" spans="1:2">
      <c r="A6587" s="7"/>
      <c r="B6587" s="8"/>
    </row>
    <row r="6588" spans="1:2">
      <c r="A6588" s="7"/>
      <c r="B6588" s="8"/>
    </row>
    <row r="6589" spans="1:2">
      <c r="A6589" s="7"/>
      <c r="B6589" s="8"/>
    </row>
    <row r="6590" spans="1:2">
      <c r="A6590" s="7"/>
      <c r="B6590" s="8"/>
    </row>
    <row r="6591" spans="1:2">
      <c r="A6591" s="7"/>
      <c r="B6591" s="8"/>
    </row>
    <row r="6592" spans="1:2">
      <c r="A6592" s="7"/>
      <c r="B6592" s="8"/>
    </row>
    <row r="6593" spans="1:2">
      <c r="A6593" s="7"/>
      <c r="B6593" s="8"/>
    </row>
    <row r="6594" spans="1:2">
      <c r="A6594" s="7"/>
      <c r="B6594" s="8"/>
    </row>
    <row r="6595" spans="1:2">
      <c r="A6595" s="7"/>
      <c r="B6595" s="8"/>
    </row>
    <row r="6596" spans="1:2">
      <c r="A6596" s="7"/>
      <c r="B6596" s="8"/>
    </row>
    <row r="6597" spans="1:2">
      <c r="A6597" s="7"/>
      <c r="B6597" s="8"/>
    </row>
    <row r="6598" spans="1:2">
      <c r="A6598" s="7"/>
      <c r="B6598" s="8"/>
    </row>
    <row r="6599" spans="1:2">
      <c r="A6599" s="7"/>
      <c r="B6599" s="8"/>
    </row>
    <row r="6600" spans="1:2">
      <c r="A6600" s="7"/>
      <c r="B6600" s="8"/>
    </row>
    <row r="6601" spans="1:2">
      <c r="A6601" s="7"/>
      <c r="B6601" s="8"/>
    </row>
    <row r="6602" spans="1:2">
      <c r="A6602" s="7"/>
      <c r="B6602" s="8"/>
    </row>
    <row r="6603" spans="1:2">
      <c r="A6603" s="7"/>
      <c r="B6603" s="8"/>
    </row>
    <row r="6604" spans="1:2">
      <c r="A6604" s="7"/>
      <c r="B6604" s="8"/>
    </row>
    <row r="6605" spans="1:2">
      <c r="A6605" s="7"/>
      <c r="B6605" s="8"/>
    </row>
    <row r="6606" spans="1:2">
      <c r="A6606" s="7"/>
      <c r="B6606" s="8"/>
    </row>
    <row r="6607" spans="1:2">
      <c r="A6607" s="7"/>
      <c r="B6607" s="8"/>
    </row>
    <row r="6608" spans="1:2">
      <c r="A6608" s="7"/>
      <c r="B6608" s="8"/>
    </row>
    <row r="6609" spans="1:2">
      <c r="A6609" s="7"/>
      <c r="B6609" s="8"/>
    </row>
    <row r="6610" spans="1:2">
      <c r="A6610" s="7"/>
      <c r="B6610" s="8"/>
    </row>
    <row r="6611" spans="1:2">
      <c r="A6611" s="7"/>
      <c r="B6611" s="8"/>
    </row>
    <row r="6612" spans="1:2">
      <c r="A6612" s="7"/>
      <c r="B6612" s="8"/>
    </row>
    <row r="6613" spans="1:2">
      <c r="A6613" s="7"/>
      <c r="B6613" s="8"/>
    </row>
    <row r="6614" spans="1:2">
      <c r="A6614" s="7"/>
      <c r="B6614" s="8"/>
    </row>
    <row r="6615" spans="1:2">
      <c r="A6615" s="7"/>
      <c r="B6615" s="8"/>
    </row>
    <row r="6616" spans="1:2">
      <c r="A6616" s="7"/>
      <c r="B6616" s="8"/>
    </row>
    <row r="6617" spans="1:2">
      <c r="A6617" s="7"/>
      <c r="B6617" s="8"/>
    </row>
    <row r="6618" spans="1:2">
      <c r="A6618" s="7"/>
      <c r="B6618" s="8"/>
    </row>
    <row r="6619" spans="1:2">
      <c r="A6619" s="7"/>
      <c r="B6619" s="8"/>
    </row>
    <row r="6620" spans="1:2">
      <c r="A6620" s="7"/>
      <c r="B6620" s="8"/>
    </row>
    <row r="6621" spans="1:2">
      <c r="A6621" s="7"/>
      <c r="B6621" s="8"/>
    </row>
    <row r="6622" spans="1:2">
      <c r="A6622" s="7"/>
      <c r="B6622" s="8"/>
    </row>
    <row r="6623" spans="1:2">
      <c r="A6623" s="7"/>
      <c r="B6623" s="8"/>
    </row>
    <row r="6624" spans="1:2">
      <c r="A6624" s="7"/>
      <c r="B6624" s="8"/>
    </row>
    <row r="6625" spans="1:2">
      <c r="A6625" s="7"/>
      <c r="B6625" s="8"/>
    </row>
    <row r="6626" spans="1:2">
      <c r="A6626" s="7"/>
      <c r="B6626" s="8"/>
    </row>
    <row r="6627" spans="1:2">
      <c r="A6627" s="7"/>
      <c r="B6627" s="8"/>
    </row>
    <row r="6628" spans="1:2">
      <c r="A6628" s="7"/>
      <c r="B6628" s="8"/>
    </row>
    <row r="6629" spans="1:2">
      <c r="A6629" s="7"/>
      <c r="B6629" s="8"/>
    </row>
    <row r="6630" spans="1:2">
      <c r="A6630" s="7"/>
      <c r="B6630" s="8"/>
    </row>
    <row r="6631" spans="1:2">
      <c r="A6631" s="7"/>
      <c r="B6631" s="8"/>
    </row>
    <row r="6632" spans="1:2">
      <c r="A6632" s="7"/>
      <c r="B6632" s="8"/>
    </row>
    <row r="6633" spans="1:2">
      <c r="A6633" s="7"/>
      <c r="B6633" s="8"/>
    </row>
    <row r="6634" spans="1:2">
      <c r="A6634" s="7"/>
      <c r="B6634" s="8"/>
    </row>
    <row r="6635" spans="1:2">
      <c r="A6635" s="7"/>
      <c r="B6635" s="8"/>
    </row>
    <row r="6636" spans="1:2">
      <c r="A6636" s="7"/>
      <c r="B6636" s="8"/>
    </row>
    <row r="6637" spans="1:2">
      <c r="A6637" s="7"/>
      <c r="B6637" s="8"/>
    </row>
    <row r="6638" spans="1:2">
      <c r="A6638" s="7"/>
      <c r="B6638" s="8"/>
    </row>
    <row r="6639" spans="1:2">
      <c r="A6639" s="7"/>
      <c r="B6639" s="8"/>
    </row>
    <row r="6640" spans="1:2">
      <c r="A6640" s="7"/>
      <c r="B6640" s="8"/>
    </row>
    <row r="6641" spans="1:2">
      <c r="A6641" s="7"/>
      <c r="B6641" s="8"/>
    </row>
    <row r="6642" spans="1:2">
      <c r="A6642" s="7"/>
      <c r="B6642" s="8"/>
    </row>
    <row r="6643" spans="1:2">
      <c r="A6643" s="7"/>
      <c r="B6643" s="8"/>
    </row>
    <row r="6644" spans="1:2">
      <c r="A6644" s="7"/>
      <c r="B6644" s="8"/>
    </row>
    <row r="6645" spans="1:2">
      <c r="A6645" s="7"/>
      <c r="B6645" s="8"/>
    </row>
    <row r="6646" spans="1:2">
      <c r="A6646" s="7"/>
      <c r="B6646" s="8"/>
    </row>
    <row r="6647" spans="1:2">
      <c r="A6647" s="7"/>
      <c r="B6647" s="8"/>
    </row>
    <row r="6648" spans="1:2">
      <c r="A6648" s="7"/>
      <c r="B6648" s="8"/>
    </row>
    <row r="6649" spans="1:2">
      <c r="A6649" s="7"/>
      <c r="B6649" s="8"/>
    </row>
    <row r="6650" spans="1:2">
      <c r="A6650" s="7"/>
      <c r="B6650" s="8"/>
    </row>
    <row r="6651" spans="1:2">
      <c r="A6651" s="7"/>
      <c r="B6651" s="8"/>
    </row>
    <row r="6652" spans="1:2">
      <c r="A6652" s="7"/>
      <c r="B6652" s="8"/>
    </row>
    <row r="6653" spans="1:2">
      <c r="A6653" s="7"/>
      <c r="B6653" s="8"/>
    </row>
    <row r="6654" spans="1:2">
      <c r="A6654" s="7"/>
      <c r="B6654" s="8"/>
    </row>
    <row r="6655" spans="1:2">
      <c r="A6655" s="7"/>
      <c r="B6655" s="8"/>
    </row>
    <row r="6656" spans="1:2">
      <c r="A6656" s="7"/>
      <c r="B6656" s="8"/>
    </row>
    <row r="6657" spans="1:2">
      <c r="A6657" s="7"/>
      <c r="B6657" s="8"/>
    </row>
    <row r="6658" spans="1:2">
      <c r="A6658" s="7"/>
      <c r="B6658" s="8"/>
    </row>
    <row r="6659" spans="1:2">
      <c r="A6659" s="7"/>
      <c r="B6659" s="8"/>
    </row>
    <row r="6660" spans="1:2">
      <c r="A6660" s="7"/>
      <c r="B6660" s="8"/>
    </row>
    <row r="6661" spans="1:2">
      <c r="A6661" s="7"/>
      <c r="B6661" s="8"/>
    </row>
    <row r="6662" spans="1:2">
      <c r="A6662" s="7"/>
      <c r="B6662" s="8"/>
    </row>
    <row r="6663" spans="1:2">
      <c r="A6663" s="7"/>
      <c r="B6663" s="8"/>
    </row>
    <row r="6664" spans="1:2">
      <c r="A6664" s="7"/>
      <c r="B6664" s="8"/>
    </row>
    <row r="6665" spans="1:2">
      <c r="A6665" s="7"/>
      <c r="B6665" s="8"/>
    </row>
    <row r="6666" spans="1:2">
      <c r="A6666" s="7"/>
      <c r="B6666" s="8"/>
    </row>
    <row r="6667" spans="1:2">
      <c r="A6667" s="7"/>
      <c r="B6667" s="8"/>
    </row>
    <row r="6668" spans="1:2">
      <c r="A6668" s="7"/>
      <c r="B6668" s="8"/>
    </row>
    <row r="6669" spans="1:2">
      <c r="A6669" s="7"/>
      <c r="B6669" s="8"/>
    </row>
    <row r="6670" spans="1:2">
      <c r="A6670" s="7"/>
      <c r="B6670" s="8"/>
    </row>
    <row r="6671" spans="1:2">
      <c r="A6671" s="7"/>
      <c r="B6671" s="8"/>
    </row>
    <row r="6672" spans="1:2">
      <c r="A6672" s="7"/>
      <c r="B6672" s="8"/>
    </row>
    <row r="6673" spans="1:2">
      <c r="A6673" s="7"/>
      <c r="B6673" s="8"/>
    </row>
    <row r="6674" spans="1:2">
      <c r="A6674" s="7"/>
      <c r="B6674" s="8"/>
    </row>
    <row r="6675" spans="1:2">
      <c r="A6675" s="7"/>
      <c r="B6675" s="8"/>
    </row>
    <row r="6676" spans="1:2">
      <c r="A6676" s="7"/>
      <c r="B6676" s="8"/>
    </row>
    <row r="6677" spans="1:2">
      <c r="A6677" s="7"/>
      <c r="B6677" s="8"/>
    </row>
    <row r="6678" spans="1:2">
      <c r="A6678" s="7"/>
      <c r="B6678" s="8"/>
    </row>
    <row r="6679" spans="1:2">
      <c r="A6679" s="7"/>
      <c r="B6679" s="8"/>
    </row>
    <row r="6680" spans="1:2">
      <c r="A6680" s="7"/>
      <c r="B6680" s="8"/>
    </row>
    <row r="6681" spans="1:2">
      <c r="A6681" s="7"/>
      <c r="B6681" s="8"/>
    </row>
    <row r="6682" spans="1:2">
      <c r="A6682" s="7"/>
      <c r="B6682" s="8"/>
    </row>
    <row r="6683" spans="1:2">
      <c r="A6683" s="7"/>
      <c r="B6683" s="8"/>
    </row>
    <row r="6684" spans="1:2">
      <c r="A6684" s="7"/>
      <c r="B6684" s="8"/>
    </row>
    <row r="6685" spans="1:2">
      <c r="A6685" s="7"/>
      <c r="B6685" s="8"/>
    </row>
    <row r="6686" spans="1:2">
      <c r="A6686" s="7"/>
      <c r="B6686" s="8"/>
    </row>
    <row r="6687" spans="1:2">
      <c r="A6687" s="7"/>
      <c r="B6687" s="8"/>
    </row>
    <row r="6688" spans="1:2">
      <c r="A6688" s="7"/>
      <c r="B6688" s="8"/>
    </row>
    <row r="6689" spans="1:2">
      <c r="A6689" s="7"/>
      <c r="B6689" s="8"/>
    </row>
    <row r="6690" spans="1:2">
      <c r="A6690" s="7"/>
      <c r="B6690" s="8"/>
    </row>
    <row r="6691" spans="1:2">
      <c r="A6691" s="7"/>
      <c r="B6691" s="8"/>
    </row>
    <row r="6692" spans="1:2">
      <c r="A6692" s="7"/>
      <c r="B6692" s="8"/>
    </row>
    <row r="6693" spans="1:2">
      <c r="A6693" s="7"/>
      <c r="B6693" s="8"/>
    </row>
    <row r="6694" spans="1:2">
      <c r="A6694" s="7"/>
      <c r="B6694" s="8"/>
    </row>
    <row r="6695" spans="1:2">
      <c r="A6695" s="7"/>
      <c r="B6695" s="8"/>
    </row>
    <row r="6696" spans="1:2">
      <c r="A6696" s="7"/>
      <c r="B6696" s="8"/>
    </row>
    <row r="6697" spans="1:2">
      <c r="A6697" s="7"/>
      <c r="B6697" s="8"/>
    </row>
    <row r="6698" spans="1:2">
      <c r="A6698" s="7"/>
      <c r="B6698" s="8"/>
    </row>
    <row r="6699" spans="1:2">
      <c r="A6699" s="7"/>
      <c r="B6699" s="8"/>
    </row>
    <row r="6700" spans="1:2">
      <c r="A6700" s="7"/>
      <c r="B6700" s="8"/>
    </row>
    <row r="6701" spans="1:2">
      <c r="A6701" s="7"/>
      <c r="B6701" s="8"/>
    </row>
    <row r="6702" spans="1:2">
      <c r="A6702" s="7"/>
      <c r="B6702" s="8"/>
    </row>
    <row r="6703" spans="1:2">
      <c r="A6703" s="7"/>
      <c r="B6703" s="8"/>
    </row>
    <row r="6704" spans="1:2">
      <c r="A6704" s="7"/>
      <c r="B6704" s="8"/>
    </row>
    <row r="6705" spans="1:2">
      <c r="A6705" s="7"/>
      <c r="B6705" s="8"/>
    </row>
    <row r="6706" spans="1:2">
      <c r="A6706" s="7"/>
      <c r="B6706" s="8"/>
    </row>
    <row r="6707" spans="1:2">
      <c r="A6707" s="7"/>
      <c r="B6707" s="8"/>
    </row>
    <row r="6708" spans="1:2">
      <c r="A6708" s="7"/>
      <c r="B6708" s="8"/>
    </row>
    <row r="6709" spans="1:2">
      <c r="A6709" s="7"/>
      <c r="B6709" s="8"/>
    </row>
    <row r="6710" spans="1:2">
      <c r="A6710" s="7"/>
      <c r="B6710" s="8"/>
    </row>
    <row r="6711" spans="1:2">
      <c r="A6711" s="7"/>
      <c r="B6711" s="8"/>
    </row>
    <row r="6712" spans="1:2">
      <c r="A6712" s="7"/>
      <c r="B6712" s="8"/>
    </row>
    <row r="6713" spans="1:2">
      <c r="A6713" s="7"/>
      <c r="B6713" s="8"/>
    </row>
    <row r="6714" spans="1:2">
      <c r="A6714" s="7"/>
      <c r="B6714" s="8"/>
    </row>
    <row r="6715" spans="1:2">
      <c r="A6715" s="7"/>
      <c r="B6715" s="8"/>
    </row>
    <row r="6716" spans="1:2">
      <c r="A6716" s="7"/>
      <c r="B6716" s="8"/>
    </row>
    <row r="6717" spans="1:2">
      <c r="A6717" s="7"/>
      <c r="B6717" s="8"/>
    </row>
    <row r="6718" spans="1:2">
      <c r="A6718" s="7"/>
      <c r="B6718" s="8"/>
    </row>
    <row r="6719" spans="1:2">
      <c r="A6719" s="7"/>
      <c r="B6719" s="8"/>
    </row>
    <row r="6720" spans="1:2">
      <c r="A6720" s="7"/>
      <c r="B6720" s="8"/>
    </row>
    <row r="6721" spans="1:2">
      <c r="A6721" s="7"/>
      <c r="B6721" s="8"/>
    </row>
    <row r="6722" spans="1:2">
      <c r="A6722" s="7"/>
      <c r="B6722" s="8"/>
    </row>
    <row r="6723" spans="1:2">
      <c r="A6723" s="7"/>
      <c r="B6723" s="8"/>
    </row>
    <row r="6724" spans="1:2">
      <c r="A6724" s="7"/>
      <c r="B6724" s="8"/>
    </row>
    <row r="6725" spans="1:2">
      <c r="A6725" s="7"/>
      <c r="B6725" s="8"/>
    </row>
    <row r="6726" spans="1:2">
      <c r="A6726" s="7"/>
      <c r="B6726" s="8"/>
    </row>
    <row r="6727" spans="1:2">
      <c r="A6727" s="7"/>
      <c r="B6727" s="8"/>
    </row>
    <row r="6728" spans="1:2">
      <c r="A6728" s="7"/>
      <c r="B6728" s="8"/>
    </row>
    <row r="6729" spans="1:2">
      <c r="A6729" s="7"/>
      <c r="B6729" s="8"/>
    </row>
    <row r="6730" spans="1:2">
      <c r="A6730" s="7"/>
      <c r="B6730" s="8"/>
    </row>
    <row r="6731" spans="1:2">
      <c r="A6731" s="7"/>
      <c r="B6731" s="8"/>
    </row>
    <row r="6732" spans="1:2">
      <c r="A6732" s="7"/>
      <c r="B6732" s="8"/>
    </row>
    <row r="6733" spans="1:2">
      <c r="A6733" s="7"/>
      <c r="B6733" s="8"/>
    </row>
    <row r="6734" spans="1:2">
      <c r="A6734" s="7"/>
      <c r="B6734" s="8"/>
    </row>
    <row r="6735" spans="1:2">
      <c r="A6735" s="7"/>
      <c r="B6735" s="8"/>
    </row>
    <row r="6736" spans="1:2">
      <c r="A6736" s="7"/>
      <c r="B6736" s="8"/>
    </row>
    <row r="6737" spans="1:2">
      <c r="A6737" s="7"/>
      <c r="B6737" s="8"/>
    </row>
    <row r="6738" spans="1:2">
      <c r="A6738" s="7"/>
      <c r="B6738" s="8"/>
    </row>
    <row r="6739" spans="1:2">
      <c r="A6739" s="7"/>
      <c r="B6739" s="8"/>
    </row>
    <row r="6740" spans="1:2">
      <c r="A6740" s="7"/>
      <c r="B6740" s="8"/>
    </row>
    <row r="6741" spans="1:2">
      <c r="A6741" s="7"/>
      <c r="B6741" s="8"/>
    </row>
    <row r="6742" spans="1:2">
      <c r="A6742" s="7"/>
      <c r="B6742" s="8"/>
    </row>
    <row r="6743" spans="1:2">
      <c r="A6743" s="7"/>
      <c r="B6743" s="8"/>
    </row>
    <row r="6744" spans="1:2">
      <c r="A6744" s="7"/>
      <c r="B6744" s="8"/>
    </row>
    <row r="6745" spans="1:2">
      <c r="A6745" s="7"/>
      <c r="B6745" s="8"/>
    </row>
    <row r="6746" spans="1:2">
      <c r="A6746" s="7"/>
      <c r="B6746" s="8"/>
    </row>
    <row r="6747" spans="1:2">
      <c r="A6747" s="7"/>
      <c r="B6747" s="8"/>
    </row>
    <row r="6748" spans="1:2">
      <c r="A6748" s="7"/>
      <c r="B6748" s="8"/>
    </row>
    <row r="6749" spans="1:2">
      <c r="A6749" s="7"/>
      <c r="B6749" s="8"/>
    </row>
    <row r="6750" spans="1:2">
      <c r="A6750" s="7"/>
      <c r="B6750" s="8"/>
    </row>
    <row r="6751" spans="1:2">
      <c r="A6751" s="7"/>
      <c r="B6751" s="8"/>
    </row>
    <row r="6752" spans="1:2">
      <c r="A6752" s="7"/>
      <c r="B6752" s="8"/>
    </row>
    <row r="6753" spans="1:2">
      <c r="A6753" s="7"/>
      <c r="B6753" s="8"/>
    </row>
    <row r="6754" spans="1:2">
      <c r="A6754" s="7"/>
      <c r="B6754" s="8"/>
    </row>
    <row r="6755" spans="1:2">
      <c r="A6755" s="7"/>
      <c r="B6755" s="8"/>
    </row>
    <row r="6756" spans="1:2">
      <c r="A6756" s="7"/>
      <c r="B6756" s="8"/>
    </row>
    <row r="6757" spans="1:2">
      <c r="A6757" s="7"/>
      <c r="B6757" s="8"/>
    </row>
    <row r="6758" spans="1:2">
      <c r="A6758" s="7"/>
      <c r="B6758" s="8"/>
    </row>
    <row r="6759" spans="1:2">
      <c r="A6759" s="7"/>
      <c r="B6759" s="8"/>
    </row>
    <row r="6760" spans="1:2">
      <c r="A6760" s="7"/>
      <c r="B6760" s="8"/>
    </row>
    <row r="6761" spans="1:2">
      <c r="A6761" s="7"/>
      <c r="B6761" s="8"/>
    </row>
    <row r="6762" spans="1:2">
      <c r="A6762" s="7"/>
      <c r="B6762" s="8"/>
    </row>
    <row r="6763" spans="1:2">
      <c r="A6763" s="7"/>
      <c r="B6763" s="8"/>
    </row>
    <row r="6764" spans="1:2">
      <c r="A6764" s="7"/>
      <c r="B6764" s="8"/>
    </row>
    <row r="6765" spans="1:2">
      <c r="A6765" s="7"/>
      <c r="B6765" s="8"/>
    </row>
    <row r="6766" spans="1:2">
      <c r="A6766" s="7"/>
      <c r="B6766" s="8"/>
    </row>
    <row r="6767" spans="1:2">
      <c r="A6767" s="7"/>
      <c r="B6767" s="8"/>
    </row>
    <row r="6768" spans="1:2">
      <c r="A6768" s="7"/>
      <c r="B6768" s="8"/>
    </row>
    <row r="6769" spans="1:2">
      <c r="A6769" s="7"/>
      <c r="B6769" s="8"/>
    </row>
    <row r="6770" spans="1:2">
      <c r="A6770" s="7"/>
      <c r="B6770" s="8"/>
    </row>
    <row r="6771" spans="1:2">
      <c r="A6771" s="7"/>
      <c r="B6771" s="8"/>
    </row>
    <row r="6772" spans="1:2">
      <c r="A6772" s="7"/>
      <c r="B6772" s="8"/>
    </row>
    <row r="6773" spans="1:2">
      <c r="A6773" s="7"/>
      <c r="B6773" s="8"/>
    </row>
    <row r="6774" spans="1:2">
      <c r="A6774" s="7"/>
      <c r="B6774" s="8"/>
    </row>
    <row r="6775" spans="1:2">
      <c r="A6775" s="7"/>
      <c r="B6775" s="8"/>
    </row>
    <row r="6776" spans="1:2">
      <c r="A6776" s="7"/>
      <c r="B6776" s="8"/>
    </row>
    <row r="6777" spans="1:2">
      <c r="A6777" s="7"/>
      <c r="B6777" s="8"/>
    </row>
    <row r="6778" spans="1:2">
      <c r="A6778" s="7"/>
      <c r="B6778" s="8"/>
    </row>
    <row r="6779" spans="1:2">
      <c r="A6779" s="7"/>
      <c r="B6779" s="8"/>
    </row>
    <row r="6780" spans="1:2">
      <c r="A6780" s="7"/>
      <c r="B6780" s="8"/>
    </row>
    <row r="6781" spans="1:2">
      <c r="A6781" s="7"/>
      <c r="B6781" s="8"/>
    </row>
    <row r="6782" spans="1:2">
      <c r="A6782" s="7"/>
      <c r="B6782" s="8"/>
    </row>
    <row r="6783" spans="1:2">
      <c r="A6783" s="7"/>
      <c r="B6783" s="8"/>
    </row>
    <row r="6784" spans="1:2">
      <c r="A6784" s="7"/>
      <c r="B6784" s="8"/>
    </row>
    <row r="6785" spans="1:2">
      <c r="A6785" s="7"/>
      <c r="B6785" s="8"/>
    </row>
    <row r="6786" spans="1:2">
      <c r="A6786" s="7"/>
      <c r="B6786" s="8"/>
    </row>
    <row r="6787" spans="1:2">
      <c r="A6787" s="7"/>
      <c r="B6787" s="8"/>
    </row>
    <row r="6788" spans="1:2">
      <c r="A6788" s="7"/>
      <c r="B6788" s="8"/>
    </row>
    <row r="6789" spans="1:2">
      <c r="A6789" s="7"/>
      <c r="B6789" s="8"/>
    </row>
    <row r="6790" spans="1:2">
      <c r="A6790" s="7"/>
      <c r="B6790" s="8"/>
    </row>
    <row r="6791" spans="1:2">
      <c r="A6791" s="7"/>
      <c r="B6791" s="8"/>
    </row>
    <row r="6792" spans="1:2">
      <c r="A6792" s="7"/>
      <c r="B6792" s="8"/>
    </row>
    <row r="6793" spans="1:2">
      <c r="A6793" s="7"/>
      <c r="B6793" s="8"/>
    </row>
    <row r="6794" spans="1:2">
      <c r="A6794" s="7"/>
      <c r="B6794" s="8"/>
    </row>
    <row r="6795" spans="1:2">
      <c r="A6795" s="7"/>
      <c r="B6795" s="8"/>
    </row>
    <row r="6796" spans="1:2">
      <c r="A6796" s="7"/>
      <c r="B6796" s="8"/>
    </row>
    <row r="6797" spans="1:2">
      <c r="A6797" s="7"/>
      <c r="B6797" s="8"/>
    </row>
    <row r="6798" spans="1:2">
      <c r="A6798" s="7"/>
      <c r="B6798" s="8"/>
    </row>
    <row r="6799" spans="1:2">
      <c r="A6799" s="7"/>
      <c r="B6799" s="8"/>
    </row>
    <row r="6800" spans="1:2">
      <c r="A6800" s="7"/>
      <c r="B6800" s="8"/>
    </row>
    <row r="6801" spans="1:2">
      <c r="A6801" s="7"/>
      <c r="B6801" s="8"/>
    </row>
    <row r="6802" spans="1:2">
      <c r="A6802" s="7"/>
      <c r="B6802" s="8"/>
    </row>
    <row r="6803" spans="1:2">
      <c r="A6803" s="7"/>
      <c r="B6803" s="8"/>
    </row>
    <row r="6804" spans="1:2">
      <c r="A6804" s="7"/>
      <c r="B6804" s="8"/>
    </row>
    <row r="6805" spans="1:2">
      <c r="A6805" s="7"/>
      <c r="B6805" s="8"/>
    </row>
    <row r="6806" spans="1:2">
      <c r="A6806" s="7"/>
      <c r="B6806" s="8"/>
    </row>
    <row r="6807" spans="1:2">
      <c r="A6807" s="7"/>
      <c r="B6807" s="8"/>
    </row>
    <row r="6808" spans="1:2">
      <c r="A6808" s="7"/>
      <c r="B6808" s="8"/>
    </row>
    <row r="6809" spans="1:2">
      <c r="A6809" s="7"/>
      <c r="B6809" s="8"/>
    </row>
    <row r="6810" spans="1:2">
      <c r="A6810" s="7"/>
      <c r="B6810" s="8"/>
    </row>
    <row r="6811" spans="1:2">
      <c r="A6811" s="7"/>
      <c r="B6811" s="8"/>
    </row>
    <row r="6812" spans="1:2">
      <c r="A6812" s="7"/>
      <c r="B6812" s="8"/>
    </row>
    <row r="6813" spans="1:2">
      <c r="A6813" s="7"/>
      <c r="B6813" s="8"/>
    </row>
    <row r="6814" spans="1:2">
      <c r="A6814" s="7"/>
      <c r="B6814" s="8"/>
    </row>
    <row r="6815" spans="1:2">
      <c r="A6815" s="7"/>
      <c r="B6815" s="8"/>
    </row>
    <row r="6816" spans="1:2">
      <c r="A6816" s="7"/>
      <c r="B6816" s="8"/>
    </row>
    <row r="6817" spans="1:2">
      <c r="A6817" s="7"/>
      <c r="B6817" s="8"/>
    </row>
    <row r="6818" spans="1:2">
      <c r="A6818" s="7"/>
      <c r="B6818" s="8"/>
    </row>
    <row r="6819" spans="1:2">
      <c r="A6819" s="7"/>
      <c r="B6819" s="8"/>
    </row>
    <row r="6820" spans="1:2">
      <c r="A6820" s="7"/>
      <c r="B6820" s="8"/>
    </row>
    <row r="6821" spans="1:2">
      <c r="A6821" s="7"/>
      <c r="B6821" s="8"/>
    </row>
    <row r="6822" spans="1:2">
      <c r="A6822" s="7"/>
      <c r="B6822" s="8"/>
    </row>
    <row r="6823" spans="1:2">
      <c r="A6823" s="7"/>
      <c r="B6823" s="8"/>
    </row>
    <row r="6824" spans="1:2">
      <c r="A6824" s="7"/>
      <c r="B6824" s="8"/>
    </row>
    <row r="6825" spans="1:2">
      <c r="A6825" s="7"/>
      <c r="B6825" s="8"/>
    </row>
    <row r="6826" spans="1:2">
      <c r="A6826" s="7"/>
      <c r="B6826" s="8"/>
    </row>
    <row r="6827" spans="1:2">
      <c r="A6827" s="7"/>
      <c r="B6827" s="8"/>
    </row>
    <row r="6828" spans="1:2">
      <c r="A6828" s="7"/>
      <c r="B6828" s="8"/>
    </row>
    <row r="6829" spans="1:2">
      <c r="A6829" s="7"/>
      <c r="B6829" s="8"/>
    </row>
    <row r="6830" spans="1:2">
      <c r="A6830" s="7"/>
      <c r="B6830" s="8"/>
    </row>
    <row r="6831" spans="1:2">
      <c r="A6831" s="7"/>
      <c r="B6831" s="8"/>
    </row>
    <row r="6832" spans="1:2">
      <c r="A6832" s="7"/>
      <c r="B6832" s="8"/>
    </row>
    <row r="6833" spans="1:2">
      <c r="A6833" s="7"/>
      <c r="B6833" s="8"/>
    </row>
    <row r="6834" spans="1:2">
      <c r="A6834" s="7"/>
      <c r="B6834" s="8"/>
    </row>
    <row r="6835" spans="1:2">
      <c r="A6835" s="7"/>
      <c r="B6835" s="8"/>
    </row>
    <row r="6836" spans="1:2">
      <c r="A6836" s="7"/>
      <c r="B6836" s="8"/>
    </row>
    <row r="6837" spans="1:2">
      <c r="A6837" s="7"/>
      <c r="B6837" s="8"/>
    </row>
    <row r="6838" spans="1:2">
      <c r="A6838" s="7"/>
      <c r="B6838" s="8"/>
    </row>
    <row r="6839" spans="1:2">
      <c r="A6839" s="7"/>
      <c r="B6839" s="8"/>
    </row>
    <row r="6840" spans="1:2">
      <c r="A6840" s="7"/>
      <c r="B6840" s="8"/>
    </row>
    <row r="6841" spans="1:2">
      <c r="A6841" s="7"/>
      <c r="B6841" s="8"/>
    </row>
    <row r="6842" spans="1:2">
      <c r="A6842" s="7"/>
      <c r="B6842" s="8"/>
    </row>
    <row r="6843" spans="1:2">
      <c r="A6843" s="7"/>
      <c r="B6843" s="8"/>
    </row>
    <row r="6844" spans="1:2">
      <c r="A6844" s="7"/>
      <c r="B6844" s="8"/>
    </row>
    <row r="6845" spans="1:2">
      <c r="A6845" s="7"/>
      <c r="B6845" s="8"/>
    </row>
    <row r="6846" spans="1:2">
      <c r="A6846" s="7"/>
      <c r="B6846" s="8"/>
    </row>
    <row r="6847" spans="1:2">
      <c r="A6847" s="7"/>
      <c r="B6847" s="8"/>
    </row>
    <row r="6848" spans="1:2">
      <c r="A6848" s="7"/>
      <c r="B6848" s="8"/>
    </row>
    <row r="6849" spans="1:2">
      <c r="A6849" s="7"/>
      <c r="B6849" s="8"/>
    </row>
    <row r="6850" spans="1:2">
      <c r="A6850" s="7"/>
      <c r="B6850" s="8"/>
    </row>
    <row r="6851" spans="1:2">
      <c r="A6851" s="7"/>
      <c r="B6851" s="8"/>
    </row>
    <row r="6852" spans="1:2">
      <c r="A6852" s="7"/>
      <c r="B6852" s="8"/>
    </row>
    <row r="6853" spans="1:2">
      <c r="A6853" s="7"/>
      <c r="B6853" s="8"/>
    </row>
    <row r="6854" spans="1:2">
      <c r="A6854" s="7"/>
      <c r="B6854" s="8"/>
    </row>
    <row r="6855" spans="1:2">
      <c r="A6855" s="7"/>
      <c r="B6855" s="8"/>
    </row>
    <row r="6856" spans="1:2">
      <c r="A6856" s="7"/>
      <c r="B6856" s="8"/>
    </row>
    <row r="6857" spans="1:2">
      <c r="A6857" s="7"/>
      <c r="B6857" s="8"/>
    </row>
    <row r="6858" spans="1:2">
      <c r="A6858" s="7"/>
      <c r="B6858" s="8"/>
    </row>
    <row r="6859" spans="1:2">
      <c r="A6859" s="7"/>
      <c r="B6859" s="8"/>
    </row>
    <row r="6860" spans="1:2">
      <c r="A6860" s="7"/>
      <c r="B6860" s="8"/>
    </row>
    <row r="6861" spans="1:2">
      <c r="A6861" s="7"/>
      <c r="B6861" s="8"/>
    </row>
    <row r="6862" spans="1:2">
      <c r="A6862" s="7"/>
      <c r="B6862" s="8"/>
    </row>
    <row r="6863" spans="1:2">
      <c r="A6863" s="7"/>
      <c r="B6863" s="8"/>
    </row>
    <row r="6864" spans="1:2">
      <c r="A6864" s="7"/>
      <c r="B6864" s="8"/>
    </row>
    <row r="6865" spans="1:2">
      <c r="A6865" s="7"/>
      <c r="B6865" s="8"/>
    </row>
    <row r="6866" spans="1:2">
      <c r="A6866" s="7"/>
      <c r="B6866" s="8"/>
    </row>
    <row r="6867" spans="1:2">
      <c r="A6867" s="7"/>
      <c r="B6867" s="8"/>
    </row>
    <row r="6868" spans="1:2">
      <c r="A6868" s="7"/>
      <c r="B6868" s="8"/>
    </row>
    <row r="6869" spans="1:2">
      <c r="A6869" s="7"/>
      <c r="B6869" s="8"/>
    </row>
    <row r="6870" spans="1:2">
      <c r="A6870" s="7"/>
      <c r="B6870" s="8"/>
    </row>
    <row r="6871" spans="1:2">
      <c r="A6871" s="7"/>
      <c r="B6871" s="8"/>
    </row>
    <row r="6872" spans="1:2">
      <c r="A6872" s="7"/>
      <c r="B6872" s="8"/>
    </row>
    <row r="6873" spans="1:2">
      <c r="A6873" s="7"/>
      <c r="B6873" s="8"/>
    </row>
    <row r="6874" spans="1:2">
      <c r="A6874" s="7"/>
      <c r="B6874" s="8"/>
    </row>
    <row r="6875" spans="1:2">
      <c r="A6875" s="7"/>
      <c r="B6875" s="8"/>
    </row>
    <row r="6876" spans="1:2">
      <c r="A6876" s="7"/>
      <c r="B6876" s="8"/>
    </row>
    <row r="6877" spans="1:2">
      <c r="A6877" s="7"/>
      <c r="B6877" s="8"/>
    </row>
    <row r="6878" spans="1:2">
      <c r="A6878" s="7"/>
      <c r="B6878" s="8"/>
    </row>
    <row r="6879" spans="1:2">
      <c r="A6879" s="7"/>
      <c r="B6879" s="8"/>
    </row>
    <row r="6880" spans="1:2">
      <c r="A6880" s="7"/>
      <c r="B6880" s="8"/>
    </row>
    <row r="6881" spans="1:2">
      <c r="A6881" s="7"/>
      <c r="B6881" s="8"/>
    </row>
    <row r="6882" spans="1:2">
      <c r="A6882" s="7"/>
      <c r="B6882" s="8"/>
    </row>
    <row r="6883" spans="1:2">
      <c r="A6883" s="7"/>
      <c r="B6883" s="8"/>
    </row>
    <row r="6884" spans="1:2">
      <c r="A6884" s="7"/>
      <c r="B6884" s="8"/>
    </row>
    <row r="6885" spans="1:2">
      <c r="A6885" s="7"/>
      <c r="B6885" s="8"/>
    </row>
    <row r="6886" spans="1:2">
      <c r="A6886" s="7"/>
      <c r="B6886" s="8"/>
    </row>
    <row r="6887" spans="1:2">
      <c r="A6887" s="7"/>
      <c r="B6887" s="8"/>
    </row>
    <row r="6888" spans="1:2">
      <c r="A6888" s="7"/>
      <c r="B6888" s="8"/>
    </row>
    <row r="6889" spans="1:2">
      <c r="A6889" s="7"/>
      <c r="B6889" s="8"/>
    </row>
    <row r="6890" spans="1:2">
      <c r="A6890" s="7"/>
      <c r="B6890" s="8"/>
    </row>
    <row r="6891" spans="1:2">
      <c r="A6891" s="7"/>
      <c r="B6891" s="8"/>
    </row>
    <row r="6892" spans="1:2">
      <c r="A6892" s="7"/>
      <c r="B6892" s="8"/>
    </row>
    <row r="6893" spans="1:2">
      <c r="A6893" s="7"/>
      <c r="B6893" s="8"/>
    </row>
    <row r="6894" spans="1:2">
      <c r="A6894" s="7"/>
      <c r="B6894" s="8"/>
    </row>
    <row r="6895" spans="1:2">
      <c r="A6895" s="7"/>
      <c r="B6895" s="8"/>
    </row>
    <row r="6896" spans="1:2">
      <c r="A6896" s="7"/>
      <c r="B6896" s="8"/>
    </row>
    <row r="6897" spans="1:2">
      <c r="A6897" s="7"/>
      <c r="B6897" s="8"/>
    </row>
    <row r="6898" spans="1:2">
      <c r="A6898" s="7"/>
      <c r="B6898" s="8"/>
    </row>
    <row r="6899" spans="1:2">
      <c r="A6899" s="7"/>
      <c r="B6899" s="8"/>
    </row>
    <row r="6900" spans="1:2">
      <c r="A6900" s="7"/>
      <c r="B6900" s="8"/>
    </row>
    <row r="6901" spans="1:2">
      <c r="A6901" s="7"/>
      <c r="B6901" s="8"/>
    </row>
    <row r="6902" spans="1:2">
      <c r="A6902" s="7"/>
      <c r="B6902" s="8"/>
    </row>
    <row r="6903" spans="1:2">
      <c r="A6903" s="7"/>
      <c r="B6903" s="8"/>
    </row>
    <row r="6904" spans="1:2">
      <c r="A6904" s="7"/>
      <c r="B6904" s="8"/>
    </row>
    <row r="6905" spans="1:2">
      <c r="A6905" s="7"/>
      <c r="B6905" s="8"/>
    </row>
    <row r="6906" spans="1:2">
      <c r="A6906" s="7"/>
      <c r="B6906" s="8"/>
    </row>
    <row r="6907" spans="1:2">
      <c r="A6907" s="7"/>
      <c r="B6907" s="8"/>
    </row>
    <row r="6908" spans="1:2">
      <c r="A6908" s="7"/>
      <c r="B6908" s="8"/>
    </row>
    <row r="6909" spans="1:2">
      <c r="A6909" s="7"/>
      <c r="B6909" s="8"/>
    </row>
    <row r="6910" spans="1:2">
      <c r="A6910" s="7"/>
      <c r="B6910" s="8"/>
    </row>
    <row r="6911" spans="1:2">
      <c r="A6911" s="7"/>
      <c r="B6911" s="8"/>
    </row>
    <row r="6912" spans="1:2">
      <c r="A6912" s="7"/>
      <c r="B6912" s="8"/>
    </row>
    <row r="6913" spans="1:2">
      <c r="A6913" s="7"/>
      <c r="B6913" s="8"/>
    </row>
    <row r="6914" spans="1:2">
      <c r="A6914" s="7"/>
      <c r="B6914" s="8"/>
    </row>
    <row r="6915" spans="1:2">
      <c r="A6915" s="7"/>
      <c r="B6915" s="8"/>
    </row>
    <row r="6916" spans="1:2">
      <c r="A6916" s="7"/>
      <c r="B6916" s="8"/>
    </row>
    <row r="6917" spans="1:2">
      <c r="A6917" s="7"/>
      <c r="B6917" s="8"/>
    </row>
    <row r="6918" spans="1:2">
      <c r="A6918" s="7"/>
      <c r="B6918" s="8"/>
    </row>
    <row r="6919" spans="1:2">
      <c r="A6919" s="7"/>
      <c r="B6919" s="8"/>
    </row>
    <row r="6920" spans="1:2">
      <c r="A6920" s="7"/>
      <c r="B6920" s="8"/>
    </row>
    <row r="6921" spans="1:2">
      <c r="A6921" s="7"/>
      <c r="B6921" s="8"/>
    </row>
    <row r="6922" spans="1:2">
      <c r="A6922" s="7"/>
      <c r="B6922" s="8"/>
    </row>
    <row r="6923" spans="1:2">
      <c r="A6923" s="7"/>
      <c r="B6923" s="8"/>
    </row>
    <row r="6924" spans="1:2">
      <c r="A6924" s="7"/>
      <c r="B6924" s="8"/>
    </row>
    <row r="6925" spans="1:2">
      <c r="A6925" s="7"/>
      <c r="B6925" s="8"/>
    </row>
    <row r="6926" spans="1:2">
      <c r="A6926" s="7"/>
      <c r="B6926" s="8"/>
    </row>
    <row r="6927" spans="1:2">
      <c r="A6927" s="7"/>
      <c r="B6927" s="8"/>
    </row>
    <row r="6928" spans="1:2">
      <c r="A6928" s="7"/>
      <c r="B6928" s="8"/>
    </row>
    <row r="6929" spans="1:2">
      <c r="A6929" s="7"/>
      <c r="B6929" s="8"/>
    </row>
    <row r="6930" spans="1:2">
      <c r="A6930" s="7"/>
      <c r="B6930" s="8"/>
    </row>
    <row r="6931" spans="1:2">
      <c r="A6931" s="7"/>
      <c r="B6931" s="8"/>
    </row>
    <row r="6932" spans="1:2">
      <c r="A6932" s="7"/>
      <c r="B6932" s="8"/>
    </row>
    <row r="6933" spans="1:2">
      <c r="A6933" s="7"/>
      <c r="B6933" s="8"/>
    </row>
    <row r="6934" spans="1:2">
      <c r="A6934" s="7"/>
      <c r="B6934" s="8"/>
    </row>
    <row r="6935" spans="1:2">
      <c r="A6935" s="7"/>
      <c r="B6935" s="8"/>
    </row>
    <row r="6936" spans="1:2">
      <c r="A6936" s="7"/>
      <c r="B6936" s="8"/>
    </row>
    <row r="6937" spans="1:2">
      <c r="A6937" s="7"/>
      <c r="B6937" s="8"/>
    </row>
    <row r="6938" spans="1:2">
      <c r="A6938" s="7"/>
      <c r="B6938" s="8"/>
    </row>
    <row r="6939" spans="1:2">
      <c r="A6939" s="7"/>
      <c r="B6939" s="8"/>
    </row>
    <row r="6940" spans="1:2">
      <c r="A6940" s="7"/>
      <c r="B6940" s="8"/>
    </row>
    <row r="6941" spans="1:2">
      <c r="A6941" s="7"/>
      <c r="B6941" s="8"/>
    </row>
    <row r="6942" spans="1:2">
      <c r="A6942" s="7"/>
      <c r="B6942" s="8"/>
    </row>
    <row r="6943" spans="1:2">
      <c r="A6943" s="7"/>
      <c r="B6943" s="8"/>
    </row>
    <row r="6944" spans="1:2">
      <c r="A6944" s="7"/>
      <c r="B6944" s="8"/>
    </row>
    <row r="6945" spans="1:2">
      <c r="A6945" s="7"/>
      <c r="B6945" s="8"/>
    </row>
    <row r="6946" spans="1:2">
      <c r="A6946" s="7"/>
      <c r="B6946" s="8"/>
    </row>
    <row r="6947" spans="1:2">
      <c r="A6947" s="7"/>
      <c r="B6947" s="8"/>
    </row>
    <row r="6948" spans="1:2">
      <c r="A6948" s="7"/>
      <c r="B6948" s="8"/>
    </row>
    <row r="6949" spans="1:2">
      <c r="A6949" s="7"/>
      <c r="B6949" s="8"/>
    </row>
    <row r="6950" spans="1:2">
      <c r="A6950" s="7"/>
      <c r="B6950" s="8"/>
    </row>
    <row r="6951" spans="1:2">
      <c r="A6951" s="7"/>
      <c r="B6951" s="8"/>
    </row>
    <row r="6952" spans="1:2">
      <c r="A6952" s="7"/>
      <c r="B6952" s="8"/>
    </row>
    <row r="6953" spans="1:2">
      <c r="A6953" s="7"/>
      <c r="B6953" s="8"/>
    </row>
    <row r="6954" spans="1:2">
      <c r="A6954" s="7"/>
      <c r="B6954" s="8"/>
    </row>
    <row r="6955" spans="1:2">
      <c r="A6955" s="7"/>
      <c r="B6955" s="8"/>
    </row>
    <row r="6956" spans="1:2">
      <c r="A6956" s="7"/>
      <c r="B6956" s="8"/>
    </row>
    <row r="6957" spans="1:2">
      <c r="A6957" s="7"/>
      <c r="B6957" s="8"/>
    </row>
    <row r="6958" spans="1:2">
      <c r="A6958" s="7"/>
      <c r="B6958" s="8"/>
    </row>
    <row r="6959" spans="1:2">
      <c r="A6959" s="7"/>
      <c r="B6959" s="8"/>
    </row>
    <row r="6960" spans="1:2">
      <c r="A6960" s="7"/>
      <c r="B6960" s="8"/>
    </row>
    <row r="6961" spans="1:2">
      <c r="A6961" s="7"/>
      <c r="B6961" s="8"/>
    </row>
    <row r="6962" spans="1:2">
      <c r="A6962" s="7"/>
      <c r="B6962" s="8"/>
    </row>
    <row r="6963" spans="1:2">
      <c r="A6963" s="7"/>
      <c r="B6963" s="8"/>
    </row>
    <row r="6964" spans="1:2">
      <c r="A6964" s="7"/>
      <c r="B6964" s="8"/>
    </row>
    <row r="6965" spans="1:2">
      <c r="A6965" s="7"/>
      <c r="B6965" s="8"/>
    </row>
    <row r="6966" spans="1:2">
      <c r="A6966" s="7"/>
      <c r="B6966" s="8"/>
    </row>
    <row r="6967" spans="1:2">
      <c r="A6967" s="7"/>
      <c r="B6967" s="8"/>
    </row>
    <row r="6968" spans="1:2">
      <c r="A6968" s="7"/>
      <c r="B6968" s="8"/>
    </row>
    <row r="6969" spans="1:2">
      <c r="A6969" s="7"/>
      <c r="B6969" s="8"/>
    </row>
    <row r="6970" spans="1:2">
      <c r="A6970" s="7"/>
      <c r="B6970" s="8"/>
    </row>
    <row r="6971" spans="1:2">
      <c r="A6971" s="7"/>
      <c r="B6971" s="8"/>
    </row>
    <row r="6972" spans="1:2">
      <c r="A6972" s="7"/>
      <c r="B6972" s="8"/>
    </row>
    <row r="6973" spans="1:2">
      <c r="A6973" s="7"/>
      <c r="B6973" s="8"/>
    </row>
    <row r="6974" spans="1:2">
      <c r="A6974" s="7"/>
      <c r="B6974" s="8"/>
    </row>
    <row r="6975" spans="1:2">
      <c r="A6975" s="7"/>
      <c r="B6975" s="8"/>
    </row>
    <row r="6976" spans="1:2">
      <c r="A6976" s="7"/>
      <c r="B6976" s="8"/>
    </row>
    <row r="6977" spans="1:2">
      <c r="A6977" s="7"/>
      <c r="B6977" s="8"/>
    </row>
    <row r="6978" spans="1:2">
      <c r="A6978" s="7"/>
      <c r="B6978" s="8"/>
    </row>
    <row r="6979" spans="1:2">
      <c r="A6979" s="7"/>
      <c r="B6979" s="8"/>
    </row>
    <row r="6980" spans="1:2">
      <c r="A6980" s="7"/>
      <c r="B6980" s="8"/>
    </row>
    <row r="6981" spans="1:2">
      <c r="A6981" s="7"/>
      <c r="B6981" s="8"/>
    </row>
    <row r="6982" spans="1:2">
      <c r="A6982" s="7"/>
      <c r="B6982" s="8"/>
    </row>
    <row r="6983" spans="1:2">
      <c r="A6983" s="7"/>
      <c r="B6983" s="8"/>
    </row>
    <row r="6984" spans="1:2">
      <c r="A6984" s="7"/>
      <c r="B6984" s="8"/>
    </row>
    <row r="6985" spans="1:2">
      <c r="A6985" s="7"/>
      <c r="B6985" s="8"/>
    </row>
    <row r="6986" spans="1:2">
      <c r="A6986" s="7"/>
      <c r="B6986" s="8"/>
    </row>
    <row r="6987" spans="1:2">
      <c r="A6987" s="7"/>
      <c r="B6987" s="8"/>
    </row>
    <row r="6988" spans="1:2">
      <c r="A6988" s="7"/>
      <c r="B6988" s="8"/>
    </row>
    <row r="6989" spans="1:2">
      <c r="A6989" s="7"/>
      <c r="B6989" s="8"/>
    </row>
    <row r="6990" spans="1:2">
      <c r="A6990" s="7"/>
      <c r="B6990" s="8"/>
    </row>
    <row r="6991" spans="1:2">
      <c r="A6991" s="7"/>
      <c r="B6991" s="8"/>
    </row>
    <row r="6992" spans="1:2">
      <c r="A6992" s="7"/>
      <c r="B6992" s="8"/>
    </row>
    <row r="6993" spans="1:2">
      <c r="A6993" s="7"/>
      <c r="B6993" s="8"/>
    </row>
    <row r="6994" spans="1:2">
      <c r="A6994" s="7"/>
      <c r="B6994" s="8"/>
    </row>
    <row r="6995" spans="1:2">
      <c r="A6995" s="7"/>
      <c r="B6995" s="8"/>
    </row>
    <row r="6996" spans="1:2">
      <c r="A6996" s="7"/>
      <c r="B6996" s="8"/>
    </row>
    <row r="6997" spans="1:2">
      <c r="A6997" s="7"/>
      <c r="B6997" s="8"/>
    </row>
    <row r="6998" spans="1:2">
      <c r="A6998" s="7"/>
      <c r="B6998" s="8"/>
    </row>
    <row r="6999" spans="1:2">
      <c r="A6999" s="7"/>
      <c r="B6999" s="8"/>
    </row>
    <row r="7000" spans="1:2">
      <c r="A7000" s="7"/>
      <c r="B7000" s="8"/>
    </row>
    <row r="7001" spans="1:2">
      <c r="A7001" s="7"/>
      <c r="B7001" s="8"/>
    </row>
    <row r="7002" spans="1:2">
      <c r="A7002" s="7"/>
      <c r="B7002" s="8"/>
    </row>
    <row r="7003" spans="1:2">
      <c r="A7003" s="7"/>
      <c r="B7003" s="8"/>
    </row>
    <row r="7004" spans="1:2">
      <c r="A7004" s="7"/>
      <c r="B7004" s="8"/>
    </row>
    <row r="7005" spans="1:2">
      <c r="A7005" s="7"/>
      <c r="B7005" s="8"/>
    </row>
    <row r="7006" spans="1:2">
      <c r="A7006" s="7"/>
      <c r="B7006" s="8"/>
    </row>
    <row r="7007" spans="1:2">
      <c r="A7007" s="7"/>
      <c r="B7007" s="8"/>
    </row>
    <row r="7008" spans="1:2">
      <c r="A7008" s="7"/>
      <c r="B7008" s="8"/>
    </row>
    <row r="7009" spans="1:2">
      <c r="A7009" s="7"/>
      <c r="B7009" s="8"/>
    </row>
    <row r="7010" spans="1:2">
      <c r="A7010" s="7"/>
      <c r="B7010" s="8"/>
    </row>
    <row r="7011" spans="1:2">
      <c r="A7011" s="7"/>
      <c r="B7011" s="8"/>
    </row>
    <row r="7012" spans="1:2">
      <c r="A7012" s="7"/>
      <c r="B7012" s="8"/>
    </row>
    <row r="7013" spans="1:2">
      <c r="A7013" s="7"/>
      <c r="B7013" s="8"/>
    </row>
    <row r="7014" spans="1:2">
      <c r="A7014" s="7"/>
      <c r="B7014" s="8"/>
    </row>
    <row r="7015" spans="1:2">
      <c r="A7015" s="7"/>
      <c r="B7015" s="8"/>
    </row>
    <row r="7016" spans="1:2">
      <c r="A7016" s="7"/>
      <c r="B7016" s="8"/>
    </row>
    <row r="7017" spans="1:2">
      <c r="A7017" s="7"/>
      <c r="B7017" s="8"/>
    </row>
    <row r="7018" spans="1:2">
      <c r="A7018" s="7"/>
      <c r="B7018" s="8"/>
    </row>
    <row r="7019" spans="1:2">
      <c r="A7019" s="7"/>
      <c r="B7019" s="8"/>
    </row>
    <row r="7020" spans="1:2">
      <c r="A7020" s="7"/>
      <c r="B7020" s="8"/>
    </row>
    <row r="7021" spans="1:2">
      <c r="A7021" s="7"/>
      <c r="B7021" s="8"/>
    </row>
    <row r="7022" spans="1:2">
      <c r="A7022" s="7"/>
      <c r="B7022" s="8"/>
    </row>
    <row r="7023" spans="1:2">
      <c r="A7023" s="7"/>
      <c r="B7023" s="8"/>
    </row>
    <row r="7024" spans="1:2">
      <c r="A7024" s="7"/>
      <c r="B7024" s="8"/>
    </row>
    <row r="7025" spans="1:2">
      <c r="A7025" s="7"/>
      <c r="B7025" s="8"/>
    </row>
    <row r="7026" spans="1:2">
      <c r="A7026" s="7"/>
      <c r="B7026" s="8"/>
    </row>
    <row r="7027" spans="1:2">
      <c r="A7027" s="7"/>
      <c r="B7027" s="8"/>
    </row>
    <row r="7028" spans="1:2">
      <c r="A7028" s="7"/>
      <c r="B7028" s="8"/>
    </row>
    <row r="7029" spans="1:2">
      <c r="A7029" s="7"/>
      <c r="B7029" s="8"/>
    </row>
    <row r="7030" spans="1:2">
      <c r="A7030" s="7"/>
      <c r="B7030" s="8"/>
    </row>
    <row r="7031" spans="1:2">
      <c r="A7031" s="7"/>
      <c r="B7031" s="8"/>
    </row>
    <row r="7032" spans="1:2">
      <c r="A7032" s="7"/>
      <c r="B7032" s="8"/>
    </row>
    <row r="7033" spans="1:2">
      <c r="A7033" s="7"/>
      <c r="B7033" s="8"/>
    </row>
    <row r="7034" spans="1:2">
      <c r="A7034" s="7"/>
      <c r="B7034" s="8"/>
    </row>
    <row r="7035" spans="1:2">
      <c r="A7035" s="7"/>
      <c r="B7035" s="8"/>
    </row>
    <row r="7036" spans="1:2">
      <c r="A7036" s="7"/>
      <c r="B7036" s="8"/>
    </row>
    <row r="7037" spans="1:2">
      <c r="A7037" s="7"/>
      <c r="B7037" s="8"/>
    </row>
    <row r="7038" spans="1:2">
      <c r="A7038" s="7"/>
      <c r="B7038" s="8"/>
    </row>
    <row r="7039" spans="1:2">
      <c r="A7039" s="7"/>
      <c r="B7039" s="8"/>
    </row>
    <row r="7040" spans="1:2">
      <c r="A7040" s="7"/>
      <c r="B7040" s="8"/>
    </row>
    <row r="7041" spans="1:2">
      <c r="A7041" s="7"/>
      <c r="B7041" s="8"/>
    </row>
    <row r="7042" spans="1:2">
      <c r="A7042" s="7"/>
      <c r="B7042" s="8"/>
    </row>
    <row r="7043" spans="1:2">
      <c r="A7043" s="7"/>
      <c r="B7043" s="8"/>
    </row>
    <row r="7044" spans="1:2">
      <c r="A7044" s="7"/>
      <c r="B7044" s="8"/>
    </row>
    <row r="7045" spans="1:2">
      <c r="A7045" s="7"/>
      <c r="B7045" s="8"/>
    </row>
    <row r="7046" spans="1:2">
      <c r="A7046" s="7"/>
      <c r="B7046" s="8"/>
    </row>
    <row r="7047" spans="1:2">
      <c r="A7047" s="7"/>
      <c r="B7047" s="8"/>
    </row>
    <row r="7048" spans="1:2">
      <c r="A7048" s="7"/>
      <c r="B7048" s="8"/>
    </row>
    <row r="7049" spans="1:2">
      <c r="A7049" s="7"/>
      <c r="B7049" s="8"/>
    </row>
    <row r="7050" spans="1:2">
      <c r="A7050" s="7"/>
      <c r="B7050" s="8"/>
    </row>
    <row r="7051" spans="1:2">
      <c r="A7051" s="7"/>
      <c r="B7051" s="8"/>
    </row>
    <row r="7052" spans="1:2">
      <c r="A7052" s="7"/>
      <c r="B7052" s="8"/>
    </row>
    <row r="7053" spans="1:2">
      <c r="A7053" s="7"/>
      <c r="B7053" s="8"/>
    </row>
    <row r="7054" spans="1:2">
      <c r="A7054" s="7"/>
      <c r="B7054" s="8"/>
    </row>
    <row r="7055" spans="1:2">
      <c r="A7055" s="7"/>
      <c r="B7055" s="8"/>
    </row>
    <row r="7056" spans="1:2">
      <c r="A7056" s="7"/>
      <c r="B7056" s="8"/>
    </row>
    <row r="7057" spans="1:2">
      <c r="A7057" s="7"/>
      <c r="B7057" s="8"/>
    </row>
    <row r="7058" spans="1:2">
      <c r="A7058" s="7"/>
      <c r="B7058" s="8"/>
    </row>
    <row r="7059" spans="1:2">
      <c r="A7059" s="7"/>
      <c r="B7059" s="8"/>
    </row>
    <row r="7060" spans="1:2">
      <c r="A7060" s="7"/>
      <c r="B7060" s="8"/>
    </row>
    <row r="7061" spans="1:2">
      <c r="A7061" s="7"/>
      <c r="B7061" s="8"/>
    </row>
    <row r="7062" spans="1:2">
      <c r="A7062" s="7"/>
      <c r="B7062" s="8"/>
    </row>
    <row r="7063" spans="1:2">
      <c r="A7063" s="7"/>
      <c r="B7063" s="8"/>
    </row>
    <row r="7064" spans="1:2">
      <c r="A7064" s="7"/>
      <c r="B7064" s="8"/>
    </row>
    <row r="7065" spans="1:2">
      <c r="A7065" s="7"/>
      <c r="B7065" s="8"/>
    </row>
    <row r="7066" spans="1:2">
      <c r="A7066" s="7"/>
      <c r="B7066" s="8"/>
    </row>
    <row r="7067" spans="1:2">
      <c r="A7067" s="7"/>
      <c r="B7067" s="8"/>
    </row>
    <row r="7068" spans="1:2">
      <c r="A7068" s="7"/>
      <c r="B7068" s="8"/>
    </row>
    <row r="7069" spans="1:2">
      <c r="A7069" s="7"/>
      <c r="B7069" s="8"/>
    </row>
    <row r="7070" spans="1:2">
      <c r="A7070" s="7"/>
      <c r="B7070" s="8"/>
    </row>
    <row r="7071" spans="1:2">
      <c r="A7071" s="7"/>
      <c r="B7071" s="8"/>
    </row>
    <row r="7072" spans="1:2">
      <c r="A7072" s="7"/>
      <c r="B7072" s="8"/>
    </row>
    <row r="7073" spans="1:2">
      <c r="A7073" s="7"/>
      <c r="B7073" s="8"/>
    </row>
    <row r="7074" spans="1:2">
      <c r="A7074" s="7"/>
      <c r="B7074" s="8"/>
    </row>
    <row r="7075" spans="1:2">
      <c r="A7075" s="7"/>
      <c r="B7075" s="8"/>
    </row>
    <row r="7076" spans="1:2">
      <c r="A7076" s="7"/>
      <c r="B7076" s="8"/>
    </row>
    <row r="7077" spans="1:2">
      <c r="A7077" s="7"/>
      <c r="B7077" s="8"/>
    </row>
    <row r="7078" spans="1:2">
      <c r="A7078" s="7"/>
      <c r="B7078" s="8"/>
    </row>
    <row r="7079" spans="1:2">
      <c r="A7079" s="7"/>
      <c r="B7079" s="8"/>
    </row>
    <row r="7080" spans="1:2">
      <c r="A7080" s="7"/>
      <c r="B7080" s="8"/>
    </row>
    <row r="7081" spans="1:2">
      <c r="A7081" s="7"/>
      <c r="B7081" s="8"/>
    </row>
    <row r="7082" spans="1:2">
      <c r="A7082" s="7"/>
      <c r="B7082" s="8"/>
    </row>
    <row r="7083" spans="1:2">
      <c r="A7083" s="7"/>
      <c r="B7083" s="8"/>
    </row>
    <row r="7084" spans="1:2">
      <c r="A7084" s="7"/>
      <c r="B7084" s="8"/>
    </row>
    <row r="7085" spans="1:2">
      <c r="A7085" s="7"/>
      <c r="B7085" s="8"/>
    </row>
    <row r="7086" spans="1:2">
      <c r="A7086" s="7"/>
      <c r="B7086" s="8"/>
    </row>
    <row r="7087" spans="1:2">
      <c r="A7087" s="7"/>
      <c r="B7087" s="8"/>
    </row>
    <row r="7088" spans="1:2">
      <c r="A7088" s="7"/>
      <c r="B7088" s="8"/>
    </row>
    <row r="7089" spans="1:2">
      <c r="A7089" s="7"/>
      <c r="B7089" s="8"/>
    </row>
    <row r="7090" spans="1:2">
      <c r="A7090" s="7"/>
      <c r="B7090" s="8"/>
    </row>
    <row r="7091" spans="1:2">
      <c r="A7091" s="7"/>
      <c r="B7091" s="8"/>
    </row>
    <row r="7092" spans="1:2">
      <c r="A7092" s="7"/>
      <c r="B7092" s="8"/>
    </row>
    <row r="7093" spans="1:2">
      <c r="A7093" s="7"/>
      <c r="B7093" s="8"/>
    </row>
    <row r="7094" spans="1:2">
      <c r="A7094" s="7"/>
      <c r="B7094" s="8"/>
    </row>
    <row r="7095" spans="1:2">
      <c r="A7095" s="7"/>
      <c r="B7095" s="8"/>
    </row>
    <row r="7096" spans="1:2">
      <c r="A7096" s="7"/>
      <c r="B7096" s="8"/>
    </row>
    <row r="7097" spans="1:2">
      <c r="A7097" s="7"/>
      <c r="B7097" s="8"/>
    </row>
    <row r="7098" spans="1:2">
      <c r="A7098" s="7"/>
      <c r="B7098" s="8"/>
    </row>
    <row r="7099" spans="1:2">
      <c r="A7099" s="7"/>
      <c r="B7099" s="8"/>
    </row>
    <row r="7100" spans="1:2">
      <c r="A7100" s="7"/>
      <c r="B7100" s="8"/>
    </row>
    <row r="7101" spans="1:2">
      <c r="A7101" s="7"/>
      <c r="B7101" s="8"/>
    </row>
    <row r="7102" spans="1:2">
      <c r="A7102" s="7"/>
      <c r="B7102" s="8"/>
    </row>
    <row r="7103" spans="1:2">
      <c r="A7103" s="7"/>
      <c r="B7103" s="8"/>
    </row>
    <row r="7104" spans="1:2">
      <c r="A7104" s="7"/>
      <c r="B7104" s="8"/>
    </row>
    <row r="7105" spans="1:2">
      <c r="A7105" s="7"/>
      <c r="B7105" s="8"/>
    </row>
    <row r="7106" spans="1:2">
      <c r="A7106" s="7"/>
      <c r="B7106" s="8"/>
    </row>
    <row r="7107" spans="1:2">
      <c r="A7107" s="7"/>
      <c r="B7107" s="8"/>
    </row>
    <row r="7108" spans="1:2">
      <c r="A7108" s="7"/>
      <c r="B7108" s="8"/>
    </row>
    <row r="7109" spans="1:2">
      <c r="A7109" s="7"/>
      <c r="B7109" s="8"/>
    </row>
    <row r="7110" spans="1:2">
      <c r="A7110" s="7"/>
      <c r="B7110" s="8"/>
    </row>
    <row r="7111" spans="1:2">
      <c r="A7111" s="7"/>
      <c r="B7111" s="8"/>
    </row>
    <row r="7112" spans="1:2">
      <c r="A7112" s="7"/>
      <c r="B7112" s="8"/>
    </row>
    <row r="7113" spans="1:2">
      <c r="A7113" s="7"/>
      <c r="B7113" s="8"/>
    </row>
    <row r="7114" spans="1:2">
      <c r="A7114" s="7"/>
      <c r="B7114" s="8"/>
    </row>
    <row r="7115" spans="1:2">
      <c r="A7115" s="7"/>
      <c r="B7115" s="8"/>
    </row>
    <row r="7116" spans="1:2">
      <c r="A7116" s="7"/>
      <c r="B7116" s="8"/>
    </row>
    <row r="7117" spans="1:2">
      <c r="A7117" s="7"/>
      <c r="B7117" s="8"/>
    </row>
    <row r="7118" spans="1:2">
      <c r="A7118" s="7"/>
      <c r="B7118" s="8"/>
    </row>
    <row r="7119" spans="1:2">
      <c r="A7119" s="7"/>
      <c r="B7119" s="8"/>
    </row>
    <row r="7120" spans="1:2">
      <c r="A7120" s="7"/>
      <c r="B7120" s="8"/>
    </row>
    <row r="7121" spans="1:2">
      <c r="A7121" s="7"/>
      <c r="B7121" s="8"/>
    </row>
    <row r="7122" spans="1:2">
      <c r="A7122" s="7"/>
      <c r="B7122" s="8"/>
    </row>
    <row r="7123" spans="1:2">
      <c r="A7123" s="7"/>
      <c r="B7123" s="8"/>
    </row>
    <row r="7124" spans="1:2">
      <c r="A7124" s="7"/>
      <c r="B7124" s="8"/>
    </row>
    <row r="7125" spans="1:2">
      <c r="A7125" s="7"/>
      <c r="B7125" s="8"/>
    </row>
    <row r="7126" spans="1:2">
      <c r="A7126" s="7"/>
      <c r="B7126" s="8"/>
    </row>
    <row r="7127" spans="1:2">
      <c r="A7127" s="7"/>
      <c r="B7127" s="8"/>
    </row>
    <row r="7128" spans="1:2">
      <c r="A7128" s="7"/>
      <c r="B7128" s="8"/>
    </row>
    <row r="7129" spans="1:2">
      <c r="A7129" s="7"/>
      <c r="B7129" s="8"/>
    </row>
    <row r="7130" spans="1:2">
      <c r="A7130" s="7"/>
      <c r="B7130" s="8"/>
    </row>
    <row r="7131" spans="1:2">
      <c r="A7131" s="7"/>
      <c r="B7131" s="8"/>
    </row>
    <row r="7132" spans="1:2">
      <c r="A7132" s="7"/>
      <c r="B7132" s="8"/>
    </row>
    <row r="7133" spans="1:2">
      <c r="A7133" s="7"/>
      <c r="B7133" s="8"/>
    </row>
    <row r="7134" spans="1:2">
      <c r="A7134" s="7"/>
      <c r="B7134" s="8"/>
    </row>
    <row r="7135" spans="1:2">
      <c r="A7135" s="7"/>
      <c r="B7135" s="8"/>
    </row>
    <row r="7136" spans="1:2">
      <c r="A7136" s="7"/>
      <c r="B7136" s="8"/>
    </row>
    <row r="7137" spans="1:2">
      <c r="A7137" s="7"/>
      <c r="B7137" s="8"/>
    </row>
    <row r="7138" spans="1:2">
      <c r="A7138" s="7"/>
      <c r="B7138" s="8"/>
    </row>
    <row r="7139" spans="1:2">
      <c r="A7139" s="7"/>
      <c r="B7139" s="8"/>
    </row>
    <row r="7140" spans="1:2">
      <c r="A7140" s="7"/>
      <c r="B7140" s="8"/>
    </row>
    <row r="7141" spans="1:2">
      <c r="A7141" s="7"/>
      <c r="B7141" s="8"/>
    </row>
    <row r="7142" spans="1:2">
      <c r="A7142" s="7"/>
      <c r="B7142" s="8"/>
    </row>
    <row r="7143" spans="1:2">
      <c r="A7143" s="7"/>
      <c r="B7143" s="8"/>
    </row>
    <row r="7144" spans="1:2">
      <c r="A7144" s="7"/>
      <c r="B7144" s="8"/>
    </row>
    <row r="7145" spans="1:2">
      <c r="A7145" s="7"/>
      <c r="B7145" s="8"/>
    </row>
    <row r="7146" spans="1:2">
      <c r="A7146" s="7"/>
      <c r="B7146" s="8"/>
    </row>
    <row r="7147" spans="1:2">
      <c r="A7147" s="7"/>
      <c r="B7147" s="8"/>
    </row>
    <row r="7148" spans="1:2">
      <c r="A7148" s="7"/>
      <c r="B7148" s="8"/>
    </row>
    <row r="7149" spans="1:2">
      <c r="A7149" s="7"/>
      <c r="B7149" s="8"/>
    </row>
    <row r="7150" spans="1:2">
      <c r="A7150" s="7"/>
      <c r="B7150" s="8"/>
    </row>
    <row r="7151" spans="1:2">
      <c r="A7151" s="7"/>
      <c r="B7151" s="8"/>
    </row>
    <row r="7152" spans="1:2">
      <c r="A7152" s="7"/>
      <c r="B7152" s="8"/>
    </row>
    <row r="7153" spans="1:2">
      <c r="A7153" s="7"/>
      <c r="B7153" s="8"/>
    </row>
    <row r="7154" spans="1:2">
      <c r="A7154" s="7"/>
      <c r="B7154" s="8"/>
    </row>
    <row r="7155" spans="1:2">
      <c r="A7155" s="7"/>
      <c r="B7155" s="8"/>
    </row>
    <row r="7156" spans="1:2">
      <c r="A7156" s="7"/>
      <c r="B7156" s="8"/>
    </row>
    <row r="7157" spans="1:2">
      <c r="A7157" s="7"/>
      <c r="B7157" s="8"/>
    </row>
    <row r="7158" spans="1:2">
      <c r="A7158" s="7"/>
      <c r="B7158" s="8"/>
    </row>
    <row r="7159" spans="1:2">
      <c r="A7159" s="7"/>
      <c r="B7159" s="8"/>
    </row>
    <row r="7160" spans="1:2">
      <c r="A7160" s="7"/>
      <c r="B7160" s="8"/>
    </row>
    <row r="7161" spans="1:2">
      <c r="A7161" s="7"/>
      <c r="B7161" s="8"/>
    </row>
    <row r="7162" spans="1:2">
      <c r="A7162" s="7"/>
      <c r="B7162" s="8"/>
    </row>
    <row r="7163" spans="1:2">
      <c r="A7163" s="7"/>
      <c r="B7163" s="8"/>
    </row>
    <row r="7164" spans="1:2">
      <c r="A7164" s="7"/>
      <c r="B7164" s="8"/>
    </row>
    <row r="7165" spans="1:2">
      <c r="A7165" s="7"/>
      <c r="B7165" s="8"/>
    </row>
    <row r="7166" spans="1:2">
      <c r="A7166" s="7"/>
      <c r="B7166" s="8"/>
    </row>
    <row r="7167" spans="1:2">
      <c r="A7167" s="7"/>
      <c r="B7167" s="8"/>
    </row>
    <row r="7168" spans="1:2">
      <c r="A7168" s="7"/>
      <c r="B7168" s="8"/>
    </row>
    <row r="7169" spans="1:2">
      <c r="A7169" s="7"/>
      <c r="B7169" s="8"/>
    </row>
    <row r="7170" spans="1:2">
      <c r="A7170" s="7"/>
      <c r="B7170" s="8"/>
    </row>
    <row r="7171" spans="1:2">
      <c r="A7171" s="7"/>
      <c r="B7171" s="8"/>
    </row>
    <row r="7172" spans="1:2">
      <c r="A7172" s="7"/>
      <c r="B7172" s="8"/>
    </row>
    <row r="7173" spans="1:2">
      <c r="A7173" s="7"/>
      <c r="B7173" s="8"/>
    </row>
    <row r="7174" spans="1:2">
      <c r="A7174" s="7"/>
      <c r="B7174" s="8"/>
    </row>
    <row r="7175" spans="1:2">
      <c r="A7175" s="7"/>
      <c r="B7175" s="8"/>
    </row>
    <row r="7176" spans="1:2">
      <c r="A7176" s="7"/>
      <c r="B7176" s="8"/>
    </row>
    <row r="7177" spans="1:2">
      <c r="A7177" s="7"/>
      <c r="B7177" s="8"/>
    </row>
    <row r="7178" spans="1:2">
      <c r="A7178" s="7"/>
      <c r="B7178" s="8"/>
    </row>
    <row r="7179" spans="1:2">
      <c r="A7179" s="7"/>
      <c r="B7179" s="8"/>
    </row>
    <row r="7180" spans="1:2">
      <c r="A7180" s="7"/>
      <c r="B7180" s="8"/>
    </row>
    <row r="7181" spans="1:2">
      <c r="A7181" s="7"/>
      <c r="B7181" s="8"/>
    </row>
    <row r="7182" spans="1:2">
      <c r="A7182" s="7"/>
      <c r="B7182" s="8"/>
    </row>
    <row r="7183" spans="1:2">
      <c r="A7183" s="7"/>
      <c r="B7183" s="8"/>
    </row>
    <row r="7184" spans="1:2">
      <c r="A7184" s="7"/>
      <c r="B7184" s="8"/>
    </row>
    <row r="7185" spans="1:2">
      <c r="A7185" s="7"/>
      <c r="B7185" s="8"/>
    </row>
    <row r="7186" spans="1:2">
      <c r="A7186" s="7"/>
      <c r="B7186" s="8"/>
    </row>
    <row r="7187" spans="1:2">
      <c r="A7187" s="7"/>
      <c r="B7187" s="8"/>
    </row>
    <row r="7188" spans="1:2">
      <c r="A7188" s="7"/>
      <c r="B7188" s="8"/>
    </row>
    <row r="7189" spans="1:2">
      <c r="A7189" s="7"/>
      <c r="B7189" s="8"/>
    </row>
    <row r="7190" spans="1:2">
      <c r="A7190" s="7"/>
      <c r="B7190" s="8"/>
    </row>
    <row r="7191" spans="1:2">
      <c r="A7191" s="7"/>
      <c r="B7191" s="8"/>
    </row>
    <row r="7192" spans="1:2">
      <c r="A7192" s="7"/>
      <c r="B7192" s="8"/>
    </row>
    <row r="7193" spans="1:2">
      <c r="A7193" s="7"/>
      <c r="B7193" s="8"/>
    </row>
    <row r="7194" spans="1:2">
      <c r="A7194" s="7"/>
      <c r="B7194" s="8"/>
    </row>
    <row r="7195" spans="1:2">
      <c r="A7195" s="7"/>
      <c r="B7195" s="8"/>
    </row>
    <row r="7196" spans="1:2">
      <c r="A7196" s="7"/>
      <c r="B7196" s="8"/>
    </row>
    <row r="7197" spans="1:2">
      <c r="A7197" s="7"/>
      <c r="B7197" s="8"/>
    </row>
    <row r="7198" spans="1:2">
      <c r="A7198" s="7"/>
      <c r="B7198" s="8"/>
    </row>
    <row r="7199" spans="1:2">
      <c r="A7199" s="7"/>
      <c r="B7199" s="8"/>
    </row>
    <row r="7200" spans="1:2">
      <c r="A7200" s="7"/>
      <c r="B7200" s="8"/>
    </row>
    <row r="7201" spans="1:2">
      <c r="A7201" s="7"/>
      <c r="B7201" s="8"/>
    </row>
    <row r="7202" spans="1:2">
      <c r="A7202" s="7"/>
      <c r="B7202" s="8"/>
    </row>
    <row r="7203" spans="1:2">
      <c r="A7203" s="7"/>
      <c r="B7203" s="8"/>
    </row>
    <row r="7204" spans="1:2">
      <c r="A7204" s="7"/>
      <c r="B7204" s="8"/>
    </row>
    <row r="7205" spans="1:2">
      <c r="A7205" s="7"/>
      <c r="B7205" s="8"/>
    </row>
    <row r="7206" spans="1:2">
      <c r="A7206" s="7"/>
      <c r="B7206" s="8"/>
    </row>
    <row r="7207" spans="1:2">
      <c r="A7207" s="7"/>
      <c r="B7207" s="8"/>
    </row>
    <row r="7208" spans="1:2">
      <c r="A7208" s="7"/>
      <c r="B7208" s="8"/>
    </row>
    <row r="7209" spans="1:2">
      <c r="A7209" s="7"/>
      <c r="B7209" s="8"/>
    </row>
    <row r="7210" spans="1:2">
      <c r="A7210" s="7"/>
      <c r="B7210" s="8"/>
    </row>
    <row r="7211" spans="1:2">
      <c r="A7211" s="7"/>
      <c r="B7211" s="8"/>
    </row>
    <row r="7212" spans="1:2">
      <c r="A7212" s="7"/>
      <c r="B7212" s="8"/>
    </row>
    <row r="7213" spans="1:2">
      <c r="A7213" s="7"/>
      <c r="B7213" s="8"/>
    </row>
    <row r="7214" spans="1:2">
      <c r="A7214" s="7"/>
      <c r="B7214" s="8"/>
    </row>
    <row r="7215" spans="1:2">
      <c r="A7215" s="7"/>
      <c r="B7215" s="8"/>
    </row>
    <row r="7216" spans="1:2">
      <c r="A7216" s="7"/>
      <c r="B7216" s="8"/>
    </row>
    <row r="7217" spans="1:2">
      <c r="A7217" s="7"/>
      <c r="B7217" s="8"/>
    </row>
    <row r="7218" spans="1:2">
      <c r="A7218" s="7"/>
      <c r="B7218" s="8"/>
    </row>
    <row r="7219" spans="1:2">
      <c r="A7219" s="7"/>
      <c r="B7219" s="8"/>
    </row>
    <row r="7220" spans="1:2">
      <c r="A7220" s="7"/>
      <c r="B7220" s="8"/>
    </row>
    <row r="7221" spans="1:2">
      <c r="A7221" s="7"/>
      <c r="B7221" s="8"/>
    </row>
    <row r="7222" spans="1:2">
      <c r="A7222" s="7"/>
      <c r="B7222" s="8"/>
    </row>
    <row r="7223" spans="1:2">
      <c r="A7223" s="7"/>
      <c r="B7223" s="8"/>
    </row>
    <row r="7224" spans="1:2">
      <c r="A7224" s="7"/>
      <c r="B7224" s="8"/>
    </row>
    <row r="7225" spans="1:2">
      <c r="A7225" s="7"/>
      <c r="B7225" s="8"/>
    </row>
    <row r="7226" spans="1:2">
      <c r="A7226" s="7"/>
      <c r="B7226" s="8"/>
    </row>
    <row r="7227" spans="1:2">
      <c r="A7227" s="7"/>
      <c r="B7227" s="8"/>
    </row>
    <row r="7228" spans="1:2">
      <c r="A7228" s="7"/>
      <c r="B7228" s="8"/>
    </row>
    <row r="7229" spans="1:2">
      <c r="A7229" s="7"/>
      <c r="B7229" s="8"/>
    </row>
    <row r="7230" spans="1:2">
      <c r="A7230" s="7"/>
      <c r="B7230" s="8"/>
    </row>
    <row r="7231" spans="1:2">
      <c r="A7231" s="7"/>
      <c r="B7231" s="8"/>
    </row>
    <row r="7232" spans="1:2">
      <c r="A7232" s="7"/>
      <c r="B7232" s="8"/>
    </row>
    <row r="7233" spans="1:2">
      <c r="A7233" s="7"/>
      <c r="B7233" s="8"/>
    </row>
    <row r="7234" spans="1:2">
      <c r="A7234" s="7"/>
      <c r="B7234" s="8"/>
    </row>
    <row r="7235" spans="1:2">
      <c r="A7235" s="7"/>
      <c r="B7235" s="8"/>
    </row>
    <row r="7236" spans="1:2">
      <c r="A7236" s="7"/>
      <c r="B7236" s="8"/>
    </row>
    <row r="7237" spans="1:2">
      <c r="A7237" s="7"/>
      <c r="B7237" s="8"/>
    </row>
    <row r="7238" spans="1:2">
      <c r="A7238" s="7"/>
      <c r="B7238" s="8"/>
    </row>
    <row r="7239" spans="1:2">
      <c r="A7239" s="7"/>
      <c r="B7239" s="8"/>
    </row>
    <row r="7240" spans="1:2">
      <c r="A7240" s="7"/>
      <c r="B7240" s="8"/>
    </row>
    <row r="7241" spans="1:2">
      <c r="A7241" s="7"/>
      <c r="B7241" s="8"/>
    </row>
    <row r="7242" spans="1:2">
      <c r="A7242" s="7"/>
      <c r="B7242" s="8"/>
    </row>
    <row r="7243" spans="1:2">
      <c r="A7243" s="7"/>
      <c r="B7243" s="8"/>
    </row>
    <row r="7244" spans="1:2">
      <c r="A7244" s="7"/>
      <c r="B7244" s="8"/>
    </row>
    <row r="7245" spans="1:2">
      <c r="A7245" s="7"/>
      <c r="B7245" s="8"/>
    </row>
    <row r="7246" spans="1:2">
      <c r="A7246" s="7"/>
      <c r="B7246" s="8"/>
    </row>
    <row r="7247" spans="1:2">
      <c r="A7247" s="7"/>
      <c r="B7247" s="8"/>
    </row>
    <row r="7248" spans="1:2">
      <c r="A7248" s="7"/>
      <c r="B7248" s="8"/>
    </row>
    <row r="7249" spans="1:2">
      <c r="A7249" s="7"/>
      <c r="B7249" s="8"/>
    </row>
    <row r="7250" spans="1:2">
      <c r="A7250" s="7"/>
      <c r="B7250" s="8"/>
    </row>
    <row r="7251" spans="1:2">
      <c r="A7251" s="7"/>
      <c r="B7251" s="8"/>
    </row>
    <row r="7252" spans="1:2">
      <c r="A7252" s="7"/>
      <c r="B7252" s="8"/>
    </row>
    <row r="7253" spans="1:2">
      <c r="A7253" s="7"/>
      <c r="B7253" s="8"/>
    </row>
    <row r="7254" spans="1:2">
      <c r="A7254" s="7"/>
      <c r="B7254" s="8"/>
    </row>
    <row r="7255" spans="1:2">
      <c r="A7255" s="7"/>
      <c r="B7255" s="8"/>
    </row>
    <row r="7256" spans="1:2">
      <c r="A7256" s="7"/>
      <c r="B7256" s="8"/>
    </row>
    <row r="7257" spans="1:2">
      <c r="A7257" s="7"/>
      <c r="B7257" s="8"/>
    </row>
    <row r="7258" spans="1:2">
      <c r="A7258" s="7"/>
      <c r="B7258" s="8"/>
    </row>
    <row r="7259" spans="1:2">
      <c r="A7259" s="7"/>
      <c r="B7259" s="8"/>
    </row>
    <row r="7260" spans="1:2">
      <c r="A7260" s="7"/>
      <c r="B7260" s="8"/>
    </row>
    <row r="7261" spans="1:2">
      <c r="A7261" s="7"/>
      <c r="B7261" s="8"/>
    </row>
    <row r="7262" spans="1:2">
      <c r="A7262" s="7"/>
      <c r="B7262" s="8"/>
    </row>
    <row r="7263" spans="1:2">
      <c r="A7263" s="7"/>
      <c r="B7263" s="8"/>
    </row>
    <row r="7264" spans="1:2">
      <c r="A7264" s="7"/>
      <c r="B7264" s="8"/>
    </row>
    <row r="7265" spans="1:2">
      <c r="A7265" s="7"/>
      <c r="B7265" s="8"/>
    </row>
    <row r="7266" spans="1:2">
      <c r="A7266" s="7"/>
      <c r="B7266" s="8"/>
    </row>
    <row r="7267" spans="1:2">
      <c r="A7267" s="7"/>
      <c r="B7267" s="8"/>
    </row>
    <row r="7268" spans="1:2">
      <c r="A7268" s="7"/>
      <c r="B7268" s="8"/>
    </row>
    <row r="7269" spans="1:2">
      <c r="A7269" s="7"/>
      <c r="B7269" s="8"/>
    </row>
    <row r="7270" spans="1:2">
      <c r="A7270" s="7"/>
      <c r="B7270" s="8"/>
    </row>
    <row r="7271" spans="1:2">
      <c r="A7271" s="7"/>
      <c r="B7271" s="8"/>
    </row>
    <row r="7272" spans="1:2">
      <c r="A7272" s="7"/>
      <c r="B7272" s="8"/>
    </row>
    <row r="7273" spans="1:2">
      <c r="A7273" s="7"/>
      <c r="B7273" s="8"/>
    </row>
    <row r="7274" spans="1:2">
      <c r="A7274" s="7"/>
      <c r="B7274" s="8"/>
    </row>
    <row r="7275" spans="1:2">
      <c r="A7275" s="7"/>
      <c r="B7275" s="8"/>
    </row>
    <row r="7276" spans="1:2">
      <c r="A7276" s="7"/>
      <c r="B7276" s="8"/>
    </row>
    <row r="7277" spans="1:2">
      <c r="A7277" s="7"/>
      <c r="B7277" s="8"/>
    </row>
    <row r="7278" spans="1:2">
      <c r="A7278" s="7"/>
      <c r="B7278" s="8"/>
    </row>
    <row r="7279" spans="1:2">
      <c r="A7279" s="7"/>
      <c r="B7279" s="8"/>
    </row>
    <row r="7280" spans="1:2">
      <c r="A7280" s="7"/>
      <c r="B7280" s="8"/>
    </row>
    <row r="7281" spans="1:2">
      <c r="A7281" s="7"/>
      <c r="B7281" s="8"/>
    </row>
    <row r="7282" spans="1:2">
      <c r="A7282" s="7"/>
      <c r="B7282" s="8"/>
    </row>
    <row r="7283" spans="1:2">
      <c r="A7283" s="7"/>
      <c r="B7283" s="8"/>
    </row>
    <row r="7284" spans="1:2">
      <c r="A7284" s="7"/>
      <c r="B7284" s="8"/>
    </row>
    <row r="7285" spans="1:2">
      <c r="A7285" s="7"/>
      <c r="B7285" s="8"/>
    </row>
    <row r="7286" spans="1:2">
      <c r="A7286" s="7"/>
      <c r="B7286" s="8"/>
    </row>
    <row r="7287" spans="1:2">
      <c r="A7287" s="7"/>
      <c r="B7287" s="8"/>
    </row>
    <row r="7288" spans="1:2">
      <c r="A7288" s="7"/>
      <c r="B7288" s="8"/>
    </row>
    <row r="7289" spans="1:2">
      <c r="A7289" s="7"/>
      <c r="B7289" s="8"/>
    </row>
    <row r="7290" spans="1:2">
      <c r="A7290" s="7"/>
      <c r="B7290" s="8"/>
    </row>
    <row r="7291" spans="1:2">
      <c r="A7291" s="7"/>
      <c r="B7291" s="8"/>
    </row>
    <row r="7292" spans="1:2">
      <c r="A7292" s="7"/>
      <c r="B7292" s="8"/>
    </row>
    <row r="7293" spans="1:2">
      <c r="A7293" s="7"/>
      <c r="B7293" s="8"/>
    </row>
    <row r="7294" spans="1:2">
      <c r="A7294" s="7"/>
      <c r="B7294" s="8"/>
    </row>
    <row r="7295" spans="1:2">
      <c r="A7295" s="7"/>
      <c r="B7295" s="8"/>
    </row>
    <row r="7296" spans="1:2">
      <c r="A7296" s="7"/>
      <c r="B7296" s="8"/>
    </row>
    <row r="7297" spans="1:2">
      <c r="A7297" s="7"/>
      <c r="B7297" s="8"/>
    </row>
    <row r="7298" spans="1:2">
      <c r="A7298" s="7"/>
      <c r="B7298" s="8"/>
    </row>
    <row r="7299" spans="1:2">
      <c r="A7299" s="7"/>
      <c r="B7299" s="8"/>
    </row>
    <row r="7300" spans="1:2">
      <c r="A7300" s="7"/>
      <c r="B7300" s="8"/>
    </row>
    <row r="7301" spans="1:2">
      <c r="A7301" s="7"/>
      <c r="B7301" s="8"/>
    </row>
    <row r="7302" spans="1:2">
      <c r="A7302" s="7"/>
      <c r="B7302" s="8"/>
    </row>
    <row r="7303" spans="1:2">
      <c r="A7303" s="7"/>
      <c r="B7303" s="8"/>
    </row>
    <row r="7304" spans="1:2">
      <c r="A7304" s="7"/>
      <c r="B7304" s="8"/>
    </row>
    <row r="7305" spans="1:2">
      <c r="A7305" s="7"/>
      <c r="B7305" s="8"/>
    </row>
    <row r="7306" spans="1:2">
      <c r="A7306" s="7"/>
      <c r="B7306" s="8"/>
    </row>
    <row r="7307" spans="1:2">
      <c r="A7307" s="7"/>
      <c r="B7307" s="8"/>
    </row>
    <row r="7308" spans="1:2">
      <c r="A7308" s="7"/>
      <c r="B7308" s="8"/>
    </row>
    <row r="7309" spans="1:2">
      <c r="A7309" s="7"/>
      <c r="B7309" s="8"/>
    </row>
    <row r="7310" spans="1:2">
      <c r="A7310" s="7"/>
      <c r="B7310" s="8"/>
    </row>
    <row r="7311" spans="1:2">
      <c r="A7311" s="7"/>
      <c r="B7311" s="8"/>
    </row>
    <row r="7312" spans="1:2">
      <c r="A7312" s="7"/>
      <c r="B7312" s="8"/>
    </row>
    <row r="7313" spans="1:2">
      <c r="A7313" s="7"/>
      <c r="B7313" s="8"/>
    </row>
    <row r="7314" spans="1:2">
      <c r="A7314" s="7"/>
      <c r="B7314" s="8"/>
    </row>
    <row r="7315" spans="1:2">
      <c r="A7315" s="7"/>
      <c r="B7315" s="8"/>
    </row>
    <row r="7316" spans="1:2">
      <c r="A7316" s="7"/>
      <c r="B7316" s="8"/>
    </row>
    <row r="7317" spans="1:2">
      <c r="A7317" s="7"/>
      <c r="B7317" s="8"/>
    </row>
    <row r="7318" spans="1:2">
      <c r="A7318" s="7"/>
      <c r="B7318" s="8"/>
    </row>
    <row r="7319" spans="1:2">
      <c r="A7319" s="7"/>
      <c r="B7319" s="8"/>
    </row>
    <row r="7320" spans="1:2">
      <c r="A7320" s="7"/>
      <c r="B7320" s="8"/>
    </row>
    <row r="7321" spans="1:2">
      <c r="A7321" s="7"/>
      <c r="B7321" s="8"/>
    </row>
    <row r="7322" spans="1:2">
      <c r="A7322" s="7"/>
      <c r="B7322" s="8"/>
    </row>
    <row r="7323" spans="1:2">
      <c r="A7323" s="7"/>
      <c r="B7323" s="8"/>
    </row>
    <row r="7324" spans="1:2">
      <c r="A7324" s="7"/>
      <c r="B7324" s="8"/>
    </row>
    <row r="7325" spans="1:2">
      <c r="A7325" s="7"/>
      <c r="B7325" s="8"/>
    </row>
    <row r="7326" spans="1:2">
      <c r="A7326" s="7"/>
      <c r="B7326" s="8"/>
    </row>
    <row r="7327" spans="1:2">
      <c r="A7327" s="7"/>
      <c r="B7327" s="8"/>
    </row>
    <row r="7328" spans="1:2">
      <c r="A7328" s="7"/>
      <c r="B7328" s="8"/>
    </row>
    <row r="7329" spans="1:2">
      <c r="A7329" s="7"/>
      <c r="B7329" s="8"/>
    </row>
    <row r="7330" spans="1:2">
      <c r="A7330" s="7"/>
      <c r="B7330" s="8"/>
    </row>
    <row r="7331" spans="1:2">
      <c r="A7331" s="7"/>
      <c r="B7331" s="8"/>
    </row>
    <row r="7332" spans="1:2">
      <c r="A7332" s="7"/>
      <c r="B7332" s="8"/>
    </row>
    <row r="7333" spans="1:2">
      <c r="A7333" s="7"/>
      <c r="B7333" s="8"/>
    </row>
    <row r="7334" spans="1:2">
      <c r="A7334" s="7"/>
      <c r="B7334" s="8"/>
    </row>
    <row r="7335" spans="1:2">
      <c r="A7335" s="7"/>
      <c r="B7335" s="8"/>
    </row>
    <row r="7336" spans="1:2">
      <c r="A7336" s="7"/>
      <c r="B7336" s="8"/>
    </row>
    <row r="7337" spans="1:2">
      <c r="A7337" s="7"/>
      <c r="B7337" s="8"/>
    </row>
    <row r="7338" spans="1:2">
      <c r="A7338" s="7"/>
      <c r="B7338" s="8"/>
    </row>
    <row r="7339" spans="1:2">
      <c r="A7339" s="7"/>
      <c r="B7339" s="8"/>
    </row>
    <row r="7340" spans="1:2">
      <c r="A7340" s="7"/>
      <c r="B7340" s="8"/>
    </row>
    <row r="7341" spans="1:2">
      <c r="A7341" s="7"/>
      <c r="B7341" s="8"/>
    </row>
    <row r="7342" spans="1:2">
      <c r="A7342" s="7"/>
      <c r="B7342" s="8"/>
    </row>
    <row r="7343" spans="1:2">
      <c r="A7343" s="7"/>
      <c r="B7343" s="8"/>
    </row>
    <row r="7344" spans="1:2">
      <c r="A7344" s="7"/>
      <c r="B7344" s="8"/>
    </row>
    <row r="7345" spans="1:2">
      <c r="A7345" s="7"/>
      <c r="B7345" s="8"/>
    </row>
    <row r="7346" spans="1:2">
      <c r="A7346" s="7"/>
      <c r="B7346" s="8"/>
    </row>
    <row r="7347" spans="1:2">
      <c r="A7347" s="7"/>
      <c r="B7347" s="8"/>
    </row>
    <row r="7348" spans="1:2">
      <c r="A7348" s="7"/>
      <c r="B7348" s="8"/>
    </row>
    <row r="7349" spans="1:2">
      <c r="A7349" s="7"/>
      <c r="B7349" s="8"/>
    </row>
    <row r="7350" spans="1:2">
      <c r="A7350" s="7"/>
      <c r="B7350" s="8"/>
    </row>
    <row r="7351" spans="1:2">
      <c r="A7351" s="7"/>
      <c r="B7351" s="8"/>
    </row>
    <row r="7352" spans="1:2">
      <c r="A7352" s="7"/>
      <c r="B7352" s="8"/>
    </row>
    <row r="7353" spans="1:2">
      <c r="A7353" s="7"/>
      <c r="B7353" s="8"/>
    </row>
    <row r="7354" spans="1:2">
      <c r="A7354" s="7"/>
      <c r="B7354" s="8"/>
    </row>
    <row r="7355" spans="1:2">
      <c r="A7355" s="7"/>
      <c r="B7355" s="8"/>
    </row>
    <row r="7356" spans="1:2">
      <c r="A7356" s="7"/>
      <c r="B7356" s="8"/>
    </row>
    <row r="7357" spans="1:2">
      <c r="A7357" s="7"/>
      <c r="B7357" s="8"/>
    </row>
    <row r="7358" spans="1:2">
      <c r="A7358" s="7"/>
      <c r="B7358" s="8"/>
    </row>
    <row r="7359" spans="1:2">
      <c r="A7359" s="7"/>
      <c r="B7359" s="8"/>
    </row>
    <row r="7360" spans="1:2">
      <c r="A7360" s="7"/>
      <c r="B7360" s="8"/>
    </row>
    <row r="7361" spans="1:2">
      <c r="A7361" s="7"/>
      <c r="B7361" s="8"/>
    </row>
    <row r="7362" spans="1:2">
      <c r="A7362" s="7"/>
      <c r="B7362" s="8"/>
    </row>
    <row r="7363" spans="1:2">
      <c r="A7363" s="7"/>
      <c r="B7363" s="8"/>
    </row>
    <row r="7364" spans="1:2">
      <c r="A7364" s="7"/>
      <c r="B7364" s="8"/>
    </row>
    <row r="7365" spans="1:2">
      <c r="A7365" s="7"/>
      <c r="B7365" s="8"/>
    </row>
    <row r="7366" spans="1:2">
      <c r="A7366" s="7"/>
      <c r="B7366" s="8"/>
    </row>
    <row r="7367" spans="1:2">
      <c r="A7367" s="7"/>
      <c r="B7367" s="8"/>
    </row>
    <row r="7368" spans="1:2">
      <c r="A7368" s="7"/>
      <c r="B7368" s="8"/>
    </row>
    <row r="7369" spans="1:2">
      <c r="A7369" s="7"/>
      <c r="B7369" s="8"/>
    </row>
    <row r="7370" spans="1:2">
      <c r="A7370" s="7"/>
      <c r="B7370" s="8"/>
    </row>
    <row r="7371" spans="1:2">
      <c r="A7371" s="7"/>
      <c r="B7371" s="8"/>
    </row>
    <row r="7372" spans="1:2">
      <c r="A7372" s="7"/>
      <c r="B7372" s="8"/>
    </row>
    <row r="7373" spans="1:2">
      <c r="A7373" s="7"/>
      <c r="B7373" s="8"/>
    </row>
    <row r="7374" spans="1:2">
      <c r="A7374" s="7"/>
      <c r="B7374" s="8"/>
    </row>
    <row r="7375" spans="1:2">
      <c r="A7375" s="7"/>
      <c r="B7375" s="8"/>
    </row>
    <row r="7376" spans="1:2">
      <c r="A7376" s="7"/>
      <c r="B7376" s="8"/>
    </row>
    <row r="7377" spans="1:2">
      <c r="A7377" s="7"/>
      <c r="B7377" s="8"/>
    </row>
    <row r="7378" spans="1:2">
      <c r="A7378" s="7"/>
      <c r="B7378" s="8"/>
    </row>
    <row r="7379" spans="1:2">
      <c r="A7379" s="7"/>
      <c r="B7379" s="8"/>
    </row>
    <row r="7380" spans="1:2">
      <c r="A7380" s="7"/>
      <c r="B7380" s="8"/>
    </row>
    <row r="7381" spans="1:2">
      <c r="A7381" s="7"/>
      <c r="B7381" s="8"/>
    </row>
    <row r="7382" spans="1:2">
      <c r="A7382" s="7"/>
      <c r="B7382" s="8"/>
    </row>
    <row r="7383" spans="1:2">
      <c r="A7383" s="7"/>
      <c r="B7383" s="8"/>
    </row>
    <row r="7384" spans="1:2">
      <c r="A7384" s="7"/>
      <c r="B7384" s="8"/>
    </row>
    <row r="7385" spans="1:2">
      <c r="A7385" s="7"/>
      <c r="B7385" s="8"/>
    </row>
    <row r="7386" spans="1:2">
      <c r="A7386" s="7"/>
      <c r="B7386" s="8"/>
    </row>
    <row r="7387" spans="1:2">
      <c r="A7387" s="7"/>
      <c r="B7387" s="8"/>
    </row>
    <row r="7388" spans="1:2">
      <c r="A7388" s="7"/>
      <c r="B7388" s="8"/>
    </row>
    <row r="7389" spans="1:2">
      <c r="A7389" s="7"/>
      <c r="B7389" s="8"/>
    </row>
    <row r="7390" spans="1:2">
      <c r="A7390" s="7"/>
      <c r="B7390" s="8"/>
    </row>
    <row r="7391" spans="1:2">
      <c r="A7391" s="7"/>
      <c r="B7391" s="8"/>
    </row>
    <row r="7392" spans="1:2">
      <c r="A7392" s="7"/>
      <c r="B7392" s="8"/>
    </row>
    <row r="7393" spans="1:2">
      <c r="A7393" s="7"/>
      <c r="B7393" s="8"/>
    </row>
    <row r="7394" spans="1:2">
      <c r="A7394" s="7"/>
      <c r="B7394" s="8"/>
    </row>
    <row r="7395" spans="1:2">
      <c r="A7395" s="7"/>
      <c r="B7395" s="8"/>
    </row>
    <row r="7396" spans="1:2">
      <c r="A7396" s="7"/>
      <c r="B7396" s="8"/>
    </row>
    <row r="7397" spans="1:2">
      <c r="A7397" s="7"/>
      <c r="B7397" s="8"/>
    </row>
    <row r="7398" spans="1:2">
      <c r="A7398" s="7"/>
      <c r="B7398" s="8"/>
    </row>
    <row r="7399" spans="1:2">
      <c r="A7399" s="7"/>
      <c r="B7399" s="8"/>
    </row>
    <row r="7400" spans="1:2">
      <c r="A7400" s="7"/>
      <c r="B7400" s="8"/>
    </row>
    <row r="7401" spans="1:2">
      <c r="A7401" s="7"/>
      <c r="B7401" s="8"/>
    </row>
    <row r="7402" spans="1:2">
      <c r="A7402" s="7"/>
      <c r="B7402" s="8"/>
    </row>
    <row r="7403" spans="1:2">
      <c r="A7403" s="7"/>
      <c r="B7403" s="8"/>
    </row>
    <row r="7404" spans="1:2">
      <c r="A7404" s="7"/>
      <c r="B7404" s="8"/>
    </row>
    <row r="7405" spans="1:2">
      <c r="A7405" s="7"/>
      <c r="B7405" s="8"/>
    </row>
    <row r="7406" spans="1:2">
      <c r="A7406" s="7"/>
      <c r="B7406" s="8"/>
    </row>
    <row r="7407" spans="1:2">
      <c r="A7407" s="7"/>
      <c r="B7407" s="8"/>
    </row>
    <row r="7408" spans="1:2">
      <c r="A7408" s="7"/>
      <c r="B7408" s="8"/>
    </row>
    <row r="7409" spans="1:2">
      <c r="A7409" s="7"/>
      <c r="B7409" s="8"/>
    </row>
    <row r="7410" spans="1:2">
      <c r="A7410" s="7"/>
      <c r="B7410" s="8"/>
    </row>
    <row r="7411" spans="1:2">
      <c r="A7411" s="7"/>
      <c r="B7411" s="8"/>
    </row>
    <row r="7412" spans="1:2">
      <c r="A7412" s="7"/>
      <c r="B7412" s="8"/>
    </row>
    <row r="7413" spans="1:2">
      <c r="A7413" s="7"/>
      <c r="B7413" s="8"/>
    </row>
    <row r="7414" spans="1:2">
      <c r="A7414" s="7"/>
      <c r="B7414" s="8"/>
    </row>
    <row r="7415" spans="1:2">
      <c r="A7415" s="7"/>
      <c r="B7415" s="8"/>
    </row>
    <row r="7416" spans="1:2">
      <c r="A7416" s="7"/>
      <c r="B7416" s="8"/>
    </row>
    <row r="7417" spans="1:2">
      <c r="A7417" s="7"/>
      <c r="B7417" s="8"/>
    </row>
    <row r="7418" spans="1:2">
      <c r="A7418" s="7"/>
      <c r="B7418" s="8"/>
    </row>
    <row r="7419" spans="1:2">
      <c r="A7419" s="7"/>
      <c r="B7419" s="8"/>
    </row>
    <row r="7420" spans="1:2">
      <c r="A7420" s="7"/>
      <c r="B7420" s="8"/>
    </row>
    <row r="7421" spans="1:2">
      <c r="A7421" s="7"/>
      <c r="B7421" s="8"/>
    </row>
    <row r="7422" spans="1:2">
      <c r="A7422" s="7"/>
      <c r="B7422" s="8"/>
    </row>
    <row r="7423" spans="1:2">
      <c r="A7423" s="7"/>
      <c r="B7423" s="8"/>
    </row>
    <row r="7424" spans="1:2">
      <c r="A7424" s="7"/>
      <c r="B7424" s="8"/>
    </row>
    <row r="7425" spans="1:2">
      <c r="A7425" s="7"/>
      <c r="B7425" s="8"/>
    </row>
    <row r="7426" spans="1:2">
      <c r="A7426" s="7"/>
      <c r="B7426" s="8"/>
    </row>
    <row r="7427" spans="1:2">
      <c r="A7427" s="7"/>
      <c r="B7427" s="8"/>
    </row>
    <row r="7428" spans="1:2">
      <c r="A7428" s="7"/>
      <c r="B7428" s="8"/>
    </row>
    <row r="7429" spans="1:2">
      <c r="A7429" s="7"/>
      <c r="B7429" s="8"/>
    </row>
    <row r="7430" spans="1:2">
      <c r="A7430" s="7"/>
      <c r="B7430" s="8"/>
    </row>
    <row r="7431" spans="1:2">
      <c r="A7431" s="7"/>
      <c r="B7431" s="8"/>
    </row>
    <row r="7432" spans="1:2">
      <c r="A7432" s="7"/>
      <c r="B7432" s="8"/>
    </row>
    <row r="7433" spans="1:2">
      <c r="A7433" s="7"/>
      <c r="B7433" s="8"/>
    </row>
    <row r="7434" spans="1:2">
      <c r="A7434" s="7"/>
      <c r="B7434" s="8"/>
    </row>
    <row r="7435" spans="1:2">
      <c r="A7435" s="7"/>
      <c r="B7435" s="8"/>
    </row>
    <row r="7436" spans="1:2">
      <c r="A7436" s="7"/>
      <c r="B7436" s="8"/>
    </row>
    <row r="7437" spans="1:2">
      <c r="A7437" s="7"/>
      <c r="B7437" s="8"/>
    </row>
    <row r="7438" spans="1:2">
      <c r="A7438" s="7"/>
      <c r="B7438" s="8"/>
    </row>
    <row r="7439" spans="1:2">
      <c r="A7439" s="7"/>
      <c r="B7439" s="8"/>
    </row>
    <row r="7440" spans="1:2">
      <c r="A7440" s="7"/>
      <c r="B7440" s="8"/>
    </row>
    <row r="7441" spans="1:2">
      <c r="A7441" s="7"/>
      <c r="B7441" s="8"/>
    </row>
    <row r="7442" spans="1:2">
      <c r="A7442" s="7"/>
      <c r="B7442" s="8"/>
    </row>
    <row r="7443" spans="1:2">
      <c r="A7443" s="7"/>
      <c r="B7443" s="8"/>
    </row>
    <row r="7444" spans="1:2">
      <c r="A7444" s="7"/>
      <c r="B7444" s="8"/>
    </row>
    <row r="7445" spans="1:2">
      <c r="A7445" s="7"/>
      <c r="B7445" s="8"/>
    </row>
    <row r="7446" spans="1:2">
      <c r="A7446" s="7"/>
      <c r="B7446" s="8"/>
    </row>
    <row r="7447" spans="1:2">
      <c r="A7447" s="7"/>
      <c r="B7447" s="8"/>
    </row>
    <row r="7448" spans="1:2">
      <c r="A7448" s="7"/>
      <c r="B7448" s="8"/>
    </row>
    <row r="7449" spans="1:2">
      <c r="A7449" s="7"/>
      <c r="B7449" s="8"/>
    </row>
    <row r="7450" spans="1:2">
      <c r="A7450" s="7"/>
      <c r="B7450" s="8"/>
    </row>
    <row r="7451" spans="1:2">
      <c r="A7451" s="7"/>
      <c r="B7451" s="8"/>
    </row>
    <row r="7452" spans="1:2">
      <c r="A7452" s="7"/>
      <c r="B7452" s="8"/>
    </row>
    <row r="7453" spans="1:2">
      <c r="A7453" s="7"/>
      <c r="B7453" s="8"/>
    </row>
    <row r="7454" spans="1:2">
      <c r="A7454" s="7"/>
      <c r="B7454" s="8"/>
    </row>
    <row r="7455" spans="1:2">
      <c r="A7455" s="7"/>
      <c r="B7455" s="8"/>
    </row>
    <row r="7456" spans="1:2">
      <c r="A7456" s="7"/>
      <c r="B7456" s="8"/>
    </row>
    <row r="7457" spans="1:2">
      <c r="A7457" s="7"/>
      <c r="B7457" s="8"/>
    </row>
    <row r="7458" spans="1:2">
      <c r="A7458" s="7"/>
      <c r="B7458" s="8"/>
    </row>
    <row r="7459" spans="1:2">
      <c r="A7459" s="7"/>
      <c r="B7459" s="8"/>
    </row>
    <row r="7460" spans="1:2">
      <c r="A7460" s="7"/>
      <c r="B7460" s="8"/>
    </row>
    <row r="7461" spans="1:2">
      <c r="A7461" s="7"/>
      <c r="B7461" s="8"/>
    </row>
    <row r="7462" spans="1:2">
      <c r="A7462" s="7"/>
      <c r="B7462" s="8"/>
    </row>
    <row r="7463" spans="1:2">
      <c r="A7463" s="7"/>
      <c r="B7463" s="8"/>
    </row>
    <row r="7464" spans="1:2">
      <c r="A7464" s="7"/>
      <c r="B7464" s="8"/>
    </row>
    <row r="7465" spans="1:2">
      <c r="A7465" s="7"/>
      <c r="B7465" s="8"/>
    </row>
    <row r="7466" spans="1:2">
      <c r="A7466" s="7"/>
      <c r="B7466" s="8"/>
    </row>
    <row r="7467" spans="1:2">
      <c r="A7467" s="7"/>
      <c r="B7467" s="8"/>
    </row>
    <row r="7468" spans="1:2">
      <c r="A7468" s="7"/>
      <c r="B7468" s="8"/>
    </row>
    <row r="7469" spans="1:2">
      <c r="A7469" s="7"/>
      <c r="B7469" s="8"/>
    </row>
    <row r="7470" spans="1:2">
      <c r="A7470" s="7"/>
      <c r="B7470" s="8"/>
    </row>
    <row r="7471" spans="1:2">
      <c r="A7471" s="7"/>
      <c r="B7471" s="8"/>
    </row>
    <row r="7472" spans="1:2">
      <c r="A7472" s="7"/>
      <c r="B7472" s="8"/>
    </row>
    <row r="7473" spans="1:2">
      <c r="A7473" s="7"/>
      <c r="B7473" s="8"/>
    </row>
    <row r="7474" spans="1:2">
      <c r="A7474" s="7"/>
      <c r="B7474" s="8"/>
    </row>
    <row r="7475" spans="1:2">
      <c r="A7475" s="7"/>
      <c r="B7475" s="8"/>
    </row>
    <row r="7476" spans="1:2">
      <c r="A7476" s="7"/>
      <c r="B7476" s="8"/>
    </row>
    <row r="7477" spans="1:2">
      <c r="A7477" s="7"/>
      <c r="B7477" s="8"/>
    </row>
    <row r="7478" spans="1:2">
      <c r="A7478" s="7"/>
      <c r="B7478" s="8"/>
    </row>
    <row r="7479" spans="1:2">
      <c r="A7479" s="7"/>
      <c r="B7479" s="8"/>
    </row>
    <row r="7480" spans="1:2">
      <c r="A7480" s="7"/>
      <c r="B7480" s="8"/>
    </row>
    <row r="7481" spans="1:2">
      <c r="A7481" s="7"/>
      <c r="B7481" s="8"/>
    </row>
    <row r="7482" spans="1:2">
      <c r="A7482" s="7"/>
      <c r="B7482" s="8"/>
    </row>
    <row r="7483" spans="1:2">
      <c r="A7483" s="7"/>
      <c r="B7483" s="8"/>
    </row>
    <row r="7484" spans="1:2">
      <c r="A7484" s="7"/>
      <c r="B7484" s="8"/>
    </row>
    <row r="7485" spans="1:2">
      <c r="A7485" s="7"/>
      <c r="B7485" s="8"/>
    </row>
    <row r="7486" spans="1:2">
      <c r="A7486" s="7"/>
      <c r="B7486" s="8"/>
    </row>
    <row r="7487" spans="1:2">
      <c r="A7487" s="7"/>
      <c r="B7487" s="8"/>
    </row>
    <row r="7488" spans="1:2">
      <c r="A7488" s="7"/>
      <c r="B7488" s="8"/>
    </row>
    <row r="7489" spans="1:2">
      <c r="A7489" s="7"/>
      <c r="B7489" s="8"/>
    </row>
    <row r="7490" spans="1:2">
      <c r="A7490" s="7"/>
      <c r="B7490" s="8"/>
    </row>
    <row r="7491" spans="1:2">
      <c r="A7491" s="7"/>
      <c r="B7491" s="8"/>
    </row>
    <row r="7492" spans="1:2">
      <c r="A7492" s="7"/>
      <c r="B7492" s="8"/>
    </row>
    <row r="7493" spans="1:2">
      <c r="A7493" s="7"/>
      <c r="B7493" s="8"/>
    </row>
    <row r="7494" spans="1:2">
      <c r="A7494" s="7"/>
      <c r="B7494" s="8"/>
    </row>
    <row r="7495" spans="1:2">
      <c r="A7495" s="7"/>
      <c r="B7495" s="8"/>
    </row>
    <row r="7496" spans="1:2">
      <c r="A7496" s="7"/>
      <c r="B7496" s="8"/>
    </row>
    <row r="7497" spans="1:2">
      <c r="A7497" s="7"/>
      <c r="B7497" s="8"/>
    </row>
    <row r="7498" spans="1:2">
      <c r="A7498" s="7"/>
      <c r="B7498" s="8"/>
    </row>
    <row r="7499" spans="1:2">
      <c r="A7499" s="7"/>
      <c r="B7499" s="8"/>
    </row>
    <row r="7500" spans="1:2">
      <c r="A7500" s="7"/>
      <c r="B7500" s="8"/>
    </row>
    <row r="7501" spans="1:2">
      <c r="A7501" s="7"/>
      <c r="B7501" s="8"/>
    </row>
    <row r="7502" spans="1:2">
      <c r="A7502" s="7"/>
      <c r="B7502" s="8"/>
    </row>
    <row r="7503" spans="1:2">
      <c r="A7503" s="7"/>
      <c r="B7503" s="8"/>
    </row>
    <row r="7504" spans="1:2">
      <c r="A7504" s="7"/>
      <c r="B7504" s="8"/>
    </row>
    <row r="7505" spans="1:2">
      <c r="A7505" s="7"/>
      <c r="B7505" s="8"/>
    </row>
    <row r="7506" spans="1:2">
      <c r="A7506" s="7"/>
      <c r="B7506" s="8"/>
    </row>
    <row r="7507" spans="1:2">
      <c r="A7507" s="7"/>
      <c r="B7507" s="8"/>
    </row>
    <row r="7508" spans="1:2">
      <c r="A7508" s="7"/>
      <c r="B7508" s="8"/>
    </row>
    <row r="7509" spans="1:2">
      <c r="A7509" s="7"/>
      <c r="B7509" s="8"/>
    </row>
    <row r="7510" spans="1:2">
      <c r="A7510" s="7"/>
      <c r="B7510" s="8"/>
    </row>
    <row r="7511" spans="1:2">
      <c r="A7511" s="7"/>
      <c r="B7511" s="8"/>
    </row>
    <row r="7512" spans="1:2">
      <c r="A7512" s="7"/>
      <c r="B7512" s="8"/>
    </row>
    <row r="7513" spans="1:2">
      <c r="A7513" s="7"/>
      <c r="B7513" s="8"/>
    </row>
    <row r="7514" spans="1:2">
      <c r="A7514" s="7"/>
      <c r="B7514" s="8"/>
    </row>
    <row r="7515" spans="1:2">
      <c r="A7515" s="7"/>
      <c r="B7515" s="8"/>
    </row>
    <row r="7516" spans="1:2">
      <c r="A7516" s="7"/>
      <c r="B7516" s="8"/>
    </row>
    <row r="7517" spans="1:2">
      <c r="A7517" s="7"/>
      <c r="B7517" s="8"/>
    </row>
    <row r="7518" spans="1:2">
      <c r="A7518" s="7"/>
      <c r="B7518" s="8"/>
    </row>
    <row r="7519" spans="1:2">
      <c r="A7519" s="7"/>
      <c r="B7519" s="8"/>
    </row>
    <row r="7520" spans="1:2">
      <c r="A7520" s="7"/>
      <c r="B7520" s="8"/>
    </row>
    <row r="7521" spans="1:2">
      <c r="A7521" s="7"/>
      <c r="B7521" s="8"/>
    </row>
    <row r="7522" spans="1:2">
      <c r="A7522" s="7"/>
      <c r="B7522" s="8"/>
    </row>
    <row r="7523" spans="1:2">
      <c r="A7523" s="7"/>
      <c r="B7523" s="8"/>
    </row>
    <row r="7524" spans="1:2">
      <c r="A7524" s="7"/>
      <c r="B7524" s="8"/>
    </row>
    <row r="7525" spans="1:2">
      <c r="A7525" s="7"/>
      <c r="B7525" s="8"/>
    </row>
    <row r="7526" spans="1:2">
      <c r="A7526" s="7"/>
      <c r="B7526" s="8"/>
    </row>
    <row r="7527" spans="1:2">
      <c r="A7527" s="7"/>
      <c r="B7527" s="8"/>
    </row>
    <row r="7528" spans="1:2">
      <c r="A7528" s="7"/>
      <c r="B7528" s="8"/>
    </row>
    <row r="7529" spans="1:2">
      <c r="A7529" s="7"/>
      <c r="B7529" s="8"/>
    </row>
    <row r="7530" spans="1:2">
      <c r="A7530" s="7"/>
      <c r="B7530" s="8"/>
    </row>
    <row r="7531" spans="1:2">
      <c r="A7531" s="7"/>
      <c r="B7531" s="8"/>
    </row>
    <row r="7532" spans="1:2">
      <c r="A7532" s="7"/>
      <c r="B7532" s="8"/>
    </row>
    <row r="7533" spans="1:2">
      <c r="A7533" s="7"/>
      <c r="B7533" s="8"/>
    </row>
    <row r="7534" spans="1:2">
      <c r="A7534" s="7"/>
      <c r="B7534" s="8"/>
    </row>
    <row r="7535" spans="1:2">
      <c r="A7535" s="7"/>
      <c r="B7535" s="8"/>
    </row>
    <row r="7536" spans="1:2">
      <c r="A7536" s="7"/>
      <c r="B7536" s="8"/>
    </row>
    <row r="7537" spans="1:2">
      <c r="A7537" s="7"/>
      <c r="B7537" s="8"/>
    </row>
    <row r="7538" spans="1:2">
      <c r="A7538" s="7"/>
      <c r="B7538" s="8"/>
    </row>
    <row r="7539" spans="1:2">
      <c r="A7539" s="7"/>
      <c r="B7539" s="8"/>
    </row>
    <row r="7540" spans="1:2">
      <c r="A7540" s="7"/>
      <c r="B7540" s="8"/>
    </row>
    <row r="7541" spans="1:2">
      <c r="A7541" s="7"/>
      <c r="B7541" s="8"/>
    </row>
    <row r="7542" spans="1:2">
      <c r="A7542" s="7"/>
      <c r="B7542" s="8"/>
    </row>
    <row r="7543" spans="1:2">
      <c r="A7543" s="7"/>
      <c r="B7543" s="8"/>
    </row>
    <row r="7544" spans="1:2">
      <c r="A7544" s="7"/>
      <c r="B7544" s="8"/>
    </row>
    <row r="7545" spans="1:2">
      <c r="A7545" s="7"/>
      <c r="B7545" s="8"/>
    </row>
    <row r="7546" spans="1:2">
      <c r="A7546" s="7"/>
      <c r="B7546" s="8"/>
    </row>
    <row r="7547" spans="1:2">
      <c r="A7547" s="7"/>
      <c r="B7547" s="8"/>
    </row>
    <row r="7548" spans="1:2">
      <c r="A7548" s="7"/>
      <c r="B7548" s="8"/>
    </row>
    <row r="7549" spans="1:2">
      <c r="A7549" s="7"/>
      <c r="B7549" s="8"/>
    </row>
    <row r="7550" spans="1:2">
      <c r="A7550" s="7"/>
      <c r="B7550" s="8"/>
    </row>
    <row r="7551" spans="1:2">
      <c r="A7551" s="7"/>
      <c r="B7551" s="8"/>
    </row>
    <row r="7552" spans="1:2">
      <c r="A7552" s="7"/>
      <c r="B7552" s="8"/>
    </row>
    <row r="7553" spans="1:2">
      <c r="A7553" s="7"/>
      <c r="B7553" s="8"/>
    </row>
    <row r="7554" spans="1:2">
      <c r="A7554" s="7"/>
      <c r="B7554" s="8"/>
    </row>
    <row r="7555" spans="1:2">
      <c r="A7555" s="7"/>
      <c r="B7555" s="8"/>
    </row>
    <row r="7556" spans="1:2">
      <c r="A7556" s="7"/>
      <c r="B7556" s="8"/>
    </row>
    <row r="7557" spans="1:2">
      <c r="A7557" s="7"/>
      <c r="B7557" s="8"/>
    </row>
    <row r="7558" spans="1:2">
      <c r="A7558" s="7"/>
      <c r="B7558" s="8"/>
    </row>
    <row r="7559" spans="1:2">
      <c r="A7559" s="7"/>
      <c r="B7559" s="8"/>
    </row>
    <row r="7560" spans="1:2">
      <c r="A7560" s="7"/>
      <c r="B7560" s="8"/>
    </row>
    <row r="7561" spans="1:2">
      <c r="A7561" s="7"/>
      <c r="B7561" s="8"/>
    </row>
    <row r="7562" spans="1:2">
      <c r="A7562" s="7"/>
      <c r="B7562" s="8"/>
    </row>
    <row r="7563" spans="1:2">
      <c r="A7563" s="7"/>
      <c r="B7563" s="8"/>
    </row>
    <row r="7564" spans="1:2">
      <c r="A7564" s="7"/>
      <c r="B7564" s="8"/>
    </row>
    <row r="7565" spans="1:2">
      <c r="A7565" s="7"/>
      <c r="B7565" s="8"/>
    </row>
    <row r="7566" spans="1:2">
      <c r="A7566" s="7"/>
      <c r="B7566" s="8"/>
    </row>
    <row r="7567" spans="1:2">
      <c r="A7567" s="7"/>
      <c r="B7567" s="8"/>
    </row>
    <row r="7568" spans="1:2">
      <c r="A7568" s="7"/>
      <c r="B7568" s="8"/>
    </row>
    <row r="7569" spans="1:2">
      <c r="A7569" s="7"/>
      <c r="B7569" s="8"/>
    </row>
    <row r="7570" spans="1:2">
      <c r="A7570" s="7"/>
      <c r="B7570" s="8"/>
    </row>
    <row r="7571" spans="1:2">
      <c r="A7571" s="7"/>
      <c r="B7571" s="8"/>
    </row>
    <row r="7572" spans="1:2">
      <c r="A7572" s="7"/>
      <c r="B7572" s="8"/>
    </row>
    <row r="7573" spans="1:2">
      <c r="A7573" s="7"/>
      <c r="B7573" s="8"/>
    </row>
    <row r="7574" spans="1:2">
      <c r="A7574" s="7"/>
      <c r="B7574" s="8"/>
    </row>
    <row r="7575" spans="1:2">
      <c r="A7575" s="7"/>
      <c r="B7575" s="8"/>
    </row>
    <row r="7576" spans="1:2">
      <c r="A7576" s="7"/>
      <c r="B7576" s="8"/>
    </row>
    <row r="7577" spans="1:2">
      <c r="A7577" s="7"/>
      <c r="B7577" s="8"/>
    </row>
    <row r="7578" spans="1:2">
      <c r="A7578" s="7"/>
      <c r="B7578" s="8"/>
    </row>
    <row r="7579" spans="1:2">
      <c r="A7579" s="7"/>
      <c r="B7579" s="8"/>
    </row>
    <row r="7580" spans="1:2">
      <c r="A7580" s="7"/>
      <c r="B7580" s="8"/>
    </row>
    <row r="7581" spans="1:2">
      <c r="A7581" s="7"/>
      <c r="B7581" s="8"/>
    </row>
    <row r="7582" spans="1:2">
      <c r="A7582" s="7"/>
      <c r="B7582" s="8"/>
    </row>
    <row r="7583" spans="1:2">
      <c r="A7583" s="7"/>
      <c r="B7583" s="8"/>
    </row>
    <row r="7584" spans="1:2">
      <c r="A7584" s="7"/>
      <c r="B7584" s="8"/>
    </row>
    <row r="7585" spans="1:2">
      <c r="A7585" s="7"/>
      <c r="B7585" s="8"/>
    </row>
    <row r="7586" spans="1:2">
      <c r="A7586" s="7"/>
      <c r="B7586" s="8"/>
    </row>
    <row r="7587" spans="1:2">
      <c r="A7587" s="7"/>
      <c r="B7587" s="8"/>
    </row>
    <row r="7588" spans="1:2">
      <c r="A7588" s="7"/>
      <c r="B7588" s="8"/>
    </row>
    <row r="7589" spans="1:2">
      <c r="A7589" s="7"/>
      <c r="B7589" s="8"/>
    </row>
    <row r="7590" spans="1:2">
      <c r="A7590" s="7"/>
      <c r="B7590" s="8"/>
    </row>
    <row r="7591" spans="1:2">
      <c r="A7591" s="7"/>
      <c r="B7591" s="8"/>
    </row>
    <row r="7592" spans="1:2">
      <c r="A7592" s="7"/>
      <c r="B7592" s="8"/>
    </row>
    <row r="7593" spans="1:2">
      <c r="A7593" s="7"/>
      <c r="B7593" s="8"/>
    </row>
    <row r="7594" spans="1:2">
      <c r="A7594" s="7"/>
      <c r="B7594" s="8"/>
    </row>
    <row r="7595" spans="1:2">
      <c r="A7595" s="7"/>
      <c r="B7595" s="8"/>
    </row>
    <row r="7596" spans="1:2">
      <c r="A7596" s="7"/>
      <c r="B7596" s="8"/>
    </row>
    <row r="7597" spans="1:2">
      <c r="A7597" s="7"/>
      <c r="B7597" s="8"/>
    </row>
    <row r="7598" spans="1:2">
      <c r="A7598" s="7"/>
      <c r="B7598" s="8"/>
    </row>
    <row r="7599" spans="1:2">
      <c r="A7599" s="7"/>
      <c r="B7599" s="8"/>
    </row>
    <row r="7600" spans="1:2">
      <c r="A7600" s="7"/>
      <c r="B7600" s="8"/>
    </row>
    <row r="7601" spans="1:2">
      <c r="A7601" s="7"/>
      <c r="B7601" s="8"/>
    </row>
    <row r="7602" spans="1:2">
      <c r="A7602" s="7"/>
      <c r="B7602" s="8"/>
    </row>
    <row r="7603" spans="1:2">
      <c r="A7603" s="7"/>
      <c r="B7603" s="8"/>
    </row>
    <row r="7604" spans="1:2">
      <c r="A7604" s="7"/>
      <c r="B7604" s="8"/>
    </row>
    <row r="7605" spans="1:2">
      <c r="A7605" s="7"/>
      <c r="B7605" s="8"/>
    </row>
    <row r="7606" spans="1:2">
      <c r="A7606" s="7"/>
      <c r="B7606" s="8"/>
    </row>
    <row r="7607" spans="1:2">
      <c r="A7607" s="7"/>
      <c r="B7607" s="8"/>
    </row>
    <row r="7608" spans="1:2">
      <c r="A7608" s="7"/>
      <c r="B7608" s="8"/>
    </row>
    <row r="7609" spans="1:2">
      <c r="A7609" s="7"/>
      <c r="B7609" s="8"/>
    </row>
    <row r="7610" spans="1:2">
      <c r="A7610" s="7"/>
      <c r="B7610" s="8"/>
    </row>
    <row r="7611" spans="1:2">
      <c r="A7611" s="7"/>
      <c r="B7611" s="8"/>
    </row>
    <row r="7612" spans="1:2">
      <c r="A7612" s="7"/>
      <c r="B7612" s="8"/>
    </row>
    <row r="7613" spans="1:2">
      <c r="A7613" s="7"/>
      <c r="B7613" s="8"/>
    </row>
    <row r="7614" spans="1:2">
      <c r="A7614" s="7"/>
      <c r="B7614" s="8"/>
    </row>
    <row r="7615" spans="1:2">
      <c r="A7615" s="7"/>
      <c r="B7615" s="8"/>
    </row>
    <row r="7616" spans="1:2">
      <c r="A7616" s="7"/>
      <c r="B7616" s="8"/>
    </row>
    <row r="7617" spans="1:2">
      <c r="A7617" s="7"/>
      <c r="B7617" s="8"/>
    </row>
    <row r="7618" spans="1:2">
      <c r="A7618" s="7"/>
      <c r="B7618" s="8"/>
    </row>
    <row r="7619" spans="1:2">
      <c r="A7619" s="7"/>
      <c r="B7619" s="8"/>
    </row>
    <row r="7620" spans="1:2">
      <c r="A7620" s="7"/>
      <c r="B7620" s="8"/>
    </row>
    <row r="7621" spans="1:2">
      <c r="A7621" s="7"/>
      <c r="B7621" s="8"/>
    </row>
    <row r="7622" spans="1:2">
      <c r="A7622" s="7"/>
      <c r="B7622" s="8"/>
    </row>
    <row r="7623" spans="1:2">
      <c r="A7623" s="7"/>
      <c r="B7623" s="8"/>
    </row>
    <row r="7624" spans="1:2">
      <c r="A7624" s="7"/>
      <c r="B7624" s="8"/>
    </row>
    <row r="7625" spans="1:2">
      <c r="A7625" s="7"/>
      <c r="B7625" s="8"/>
    </row>
    <row r="7626" spans="1:2">
      <c r="A7626" s="7"/>
      <c r="B7626" s="8"/>
    </row>
    <row r="7627" spans="1:2">
      <c r="A7627" s="7"/>
      <c r="B7627" s="8"/>
    </row>
    <row r="7628" spans="1:2">
      <c r="A7628" s="7"/>
      <c r="B7628" s="8"/>
    </row>
    <row r="7629" spans="1:2">
      <c r="A7629" s="7"/>
      <c r="B7629" s="8"/>
    </row>
    <row r="7630" spans="1:2">
      <c r="A7630" s="7"/>
      <c r="B7630" s="8"/>
    </row>
    <row r="7631" spans="1:2">
      <c r="A7631" s="7"/>
      <c r="B7631" s="8"/>
    </row>
    <row r="7632" spans="1:2">
      <c r="A7632" s="7"/>
      <c r="B7632" s="8"/>
    </row>
    <row r="7633" spans="1:2">
      <c r="A7633" s="7"/>
      <c r="B7633" s="8"/>
    </row>
    <row r="7634" spans="1:2">
      <c r="A7634" s="7"/>
      <c r="B7634" s="8"/>
    </row>
    <row r="7635" spans="1:2">
      <c r="A7635" s="7"/>
      <c r="B7635" s="8"/>
    </row>
    <row r="7636" spans="1:2">
      <c r="A7636" s="7"/>
      <c r="B7636" s="8"/>
    </row>
    <row r="7637" spans="1:2">
      <c r="A7637" s="7"/>
      <c r="B7637" s="8"/>
    </row>
    <row r="7638" spans="1:2">
      <c r="A7638" s="7"/>
      <c r="B7638" s="8"/>
    </row>
    <row r="7639" spans="1:2">
      <c r="A7639" s="7"/>
      <c r="B7639" s="8"/>
    </row>
    <row r="7640" spans="1:2">
      <c r="A7640" s="7"/>
      <c r="B7640" s="8"/>
    </row>
    <row r="7641" spans="1:2">
      <c r="A7641" s="7"/>
      <c r="B7641" s="8"/>
    </row>
    <row r="7642" spans="1:2">
      <c r="A7642" s="7"/>
      <c r="B7642" s="8"/>
    </row>
    <row r="7643" spans="1:2">
      <c r="A7643" s="7"/>
      <c r="B7643" s="8"/>
    </row>
    <row r="7644" spans="1:2">
      <c r="A7644" s="7"/>
      <c r="B7644" s="8"/>
    </row>
    <row r="7645" spans="1:2">
      <c r="A7645" s="7"/>
      <c r="B7645" s="8"/>
    </row>
    <row r="7646" spans="1:2">
      <c r="A7646" s="7"/>
      <c r="B7646" s="8"/>
    </row>
    <row r="7647" spans="1:2">
      <c r="A7647" s="7"/>
      <c r="B7647" s="8"/>
    </row>
    <row r="7648" spans="1:2">
      <c r="A7648" s="7"/>
      <c r="B7648" s="8"/>
    </row>
    <row r="7649" spans="1:2">
      <c r="A7649" s="7"/>
      <c r="B7649" s="8"/>
    </row>
    <row r="7650" spans="1:2">
      <c r="A7650" s="7"/>
      <c r="B7650" s="8"/>
    </row>
    <row r="7651" spans="1:2">
      <c r="A7651" s="7"/>
      <c r="B7651" s="8"/>
    </row>
    <row r="7652" spans="1:2">
      <c r="A7652" s="7"/>
      <c r="B7652" s="8"/>
    </row>
    <row r="7653" spans="1:2">
      <c r="A7653" s="7"/>
      <c r="B7653" s="8"/>
    </row>
    <row r="7654" spans="1:2">
      <c r="A7654" s="7"/>
      <c r="B7654" s="8"/>
    </row>
    <row r="7655" spans="1:2">
      <c r="A7655" s="7"/>
      <c r="B7655" s="8"/>
    </row>
    <row r="7656" spans="1:2">
      <c r="A7656" s="7"/>
      <c r="B7656" s="8"/>
    </row>
    <row r="7657" spans="1:2">
      <c r="A7657" s="7"/>
      <c r="B7657" s="8"/>
    </row>
    <row r="7658" spans="1:2">
      <c r="A7658" s="7"/>
      <c r="B7658" s="8"/>
    </row>
    <row r="7659" spans="1:2">
      <c r="A7659" s="7"/>
      <c r="B7659" s="8"/>
    </row>
    <row r="7660" spans="1:2">
      <c r="A7660" s="7"/>
      <c r="B7660" s="8"/>
    </row>
    <row r="7661" spans="1:2">
      <c r="A7661" s="7"/>
      <c r="B7661" s="8"/>
    </row>
    <row r="7662" spans="1:2">
      <c r="A7662" s="7"/>
      <c r="B7662" s="8"/>
    </row>
    <row r="7663" spans="1:2">
      <c r="A7663" s="7"/>
      <c r="B7663" s="8"/>
    </row>
    <row r="7664" spans="1:2">
      <c r="A7664" s="7"/>
      <c r="B7664" s="8"/>
    </row>
    <row r="7665" spans="1:2">
      <c r="A7665" s="7"/>
      <c r="B7665" s="8"/>
    </row>
    <row r="7666" spans="1:2">
      <c r="A7666" s="7"/>
      <c r="B7666" s="8"/>
    </row>
    <row r="7667" spans="1:2">
      <c r="A7667" s="7"/>
      <c r="B7667" s="8"/>
    </row>
    <row r="7668" spans="1:2">
      <c r="A7668" s="7"/>
      <c r="B7668" s="8"/>
    </row>
    <row r="7669" spans="1:2">
      <c r="A7669" s="7"/>
      <c r="B7669" s="8"/>
    </row>
    <row r="7670" spans="1:2">
      <c r="A7670" s="7"/>
      <c r="B7670" s="8"/>
    </row>
    <row r="7671" spans="1:2">
      <c r="A7671" s="7"/>
      <c r="B7671" s="8"/>
    </row>
    <row r="7672" spans="1:2">
      <c r="A7672" s="7"/>
      <c r="B7672" s="8"/>
    </row>
    <row r="7673" spans="1:2">
      <c r="A7673" s="7"/>
      <c r="B7673" s="8"/>
    </row>
    <row r="7674" spans="1:2">
      <c r="A7674" s="7"/>
      <c r="B7674" s="8"/>
    </row>
    <row r="7675" spans="1:2">
      <c r="A7675" s="7"/>
      <c r="B7675" s="8"/>
    </row>
    <row r="7676" spans="1:2">
      <c r="A7676" s="7"/>
      <c r="B7676" s="8"/>
    </row>
    <row r="7677" spans="1:2">
      <c r="A7677" s="7"/>
      <c r="B7677" s="8"/>
    </row>
    <row r="7678" spans="1:2">
      <c r="A7678" s="7"/>
      <c r="B7678" s="8"/>
    </row>
    <row r="7679" spans="1:2">
      <c r="A7679" s="7"/>
      <c r="B7679" s="8"/>
    </row>
    <row r="7680" spans="1:2">
      <c r="A7680" s="7"/>
      <c r="B7680" s="8"/>
    </row>
    <row r="7681" spans="1:2">
      <c r="A7681" s="7"/>
      <c r="B7681" s="8"/>
    </row>
    <row r="7682" spans="1:2">
      <c r="A7682" s="7"/>
      <c r="B7682" s="8"/>
    </row>
    <row r="7683" spans="1:2">
      <c r="A7683" s="7"/>
      <c r="B7683" s="8"/>
    </row>
    <row r="7684" spans="1:2">
      <c r="A7684" s="7"/>
      <c r="B7684" s="8"/>
    </row>
    <row r="7685" spans="1:2">
      <c r="A7685" s="7"/>
      <c r="B7685" s="8"/>
    </row>
    <row r="7686" spans="1:2">
      <c r="A7686" s="7"/>
      <c r="B7686" s="8"/>
    </row>
    <row r="7687" spans="1:2">
      <c r="A7687" s="7"/>
      <c r="B7687" s="8"/>
    </row>
    <row r="7688" spans="1:2">
      <c r="A7688" s="7"/>
      <c r="B7688" s="8"/>
    </row>
    <row r="7689" spans="1:2">
      <c r="A7689" s="7"/>
      <c r="B7689" s="8"/>
    </row>
    <row r="7690" spans="1:2">
      <c r="A7690" s="7"/>
      <c r="B7690" s="8"/>
    </row>
    <row r="7691" spans="1:2">
      <c r="A7691" s="7"/>
      <c r="B7691" s="8"/>
    </row>
    <row r="7692" spans="1:2">
      <c r="A7692" s="7"/>
      <c r="B7692" s="8"/>
    </row>
    <row r="7693" spans="1:2">
      <c r="A7693" s="7"/>
      <c r="B7693" s="8"/>
    </row>
    <row r="7694" spans="1:2">
      <c r="A7694" s="7"/>
      <c r="B7694" s="8"/>
    </row>
    <row r="7695" spans="1:2">
      <c r="A7695" s="7"/>
      <c r="B7695" s="8"/>
    </row>
    <row r="7696" spans="1:2">
      <c r="A7696" s="7"/>
      <c r="B7696" s="8"/>
    </row>
    <row r="7697" spans="1:2">
      <c r="A7697" s="7"/>
      <c r="B7697" s="8"/>
    </row>
    <row r="7698" spans="1:2">
      <c r="A7698" s="7"/>
      <c r="B7698" s="8"/>
    </row>
    <row r="7699" spans="1:2">
      <c r="A7699" s="7"/>
      <c r="B7699" s="8"/>
    </row>
    <row r="7700" spans="1:2">
      <c r="A7700" s="7"/>
      <c r="B7700" s="8"/>
    </row>
    <row r="7701" spans="1:2">
      <c r="A7701" s="7"/>
      <c r="B7701" s="8"/>
    </row>
    <row r="7702" spans="1:2">
      <c r="A7702" s="7"/>
      <c r="B7702" s="8"/>
    </row>
    <row r="7703" spans="1:2">
      <c r="A7703" s="7"/>
      <c r="B7703" s="8"/>
    </row>
    <row r="7704" spans="1:2">
      <c r="A7704" s="7"/>
      <c r="B7704" s="8"/>
    </row>
    <row r="7705" spans="1:2">
      <c r="A7705" s="7"/>
      <c r="B7705" s="8"/>
    </row>
    <row r="7706" spans="1:2">
      <c r="A7706" s="7"/>
      <c r="B7706" s="8"/>
    </row>
    <row r="7707" spans="1:2">
      <c r="A7707" s="7"/>
      <c r="B7707" s="8"/>
    </row>
    <row r="7708" spans="1:2">
      <c r="A7708" s="7"/>
      <c r="B7708" s="8"/>
    </row>
    <row r="7709" spans="1:2">
      <c r="A7709" s="7"/>
      <c r="B7709" s="8"/>
    </row>
    <row r="7710" spans="1:2">
      <c r="A7710" s="7"/>
      <c r="B7710" s="8"/>
    </row>
    <row r="7711" spans="1:2">
      <c r="A7711" s="7"/>
      <c r="B7711" s="8"/>
    </row>
    <row r="7712" spans="1:2">
      <c r="A7712" s="7"/>
      <c r="B7712" s="8"/>
    </row>
    <row r="7713" spans="1:2">
      <c r="A7713" s="7"/>
      <c r="B7713" s="8"/>
    </row>
    <row r="7714" spans="1:2">
      <c r="A7714" s="7"/>
      <c r="B7714" s="8"/>
    </row>
    <row r="7715" spans="1:2">
      <c r="A7715" s="7"/>
      <c r="B7715" s="8"/>
    </row>
    <row r="7716" spans="1:2">
      <c r="A7716" s="7"/>
      <c r="B7716" s="8"/>
    </row>
    <row r="7717" spans="1:2">
      <c r="A7717" s="7"/>
      <c r="B7717" s="8"/>
    </row>
    <row r="7718" spans="1:2">
      <c r="A7718" s="7"/>
      <c r="B7718" s="8"/>
    </row>
    <row r="7719" spans="1:2">
      <c r="A7719" s="7"/>
      <c r="B7719" s="8"/>
    </row>
    <row r="7720" spans="1:2">
      <c r="A7720" s="7"/>
      <c r="B7720" s="8"/>
    </row>
    <row r="7721" spans="1:2">
      <c r="A7721" s="7"/>
      <c r="B7721" s="8"/>
    </row>
    <row r="7722" spans="1:2">
      <c r="A7722" s="7"/>
      <c r="B7722" s="8"/>
    </row>
    <row r="7723" spans="1:2">
      <c r="A7723" s="7"/>
      <c r="B7723" s="8"/>
    </row>
    <row r="7724" spans="1:2">
      <c r="A7724" s="7"/>
      <c r="B7724" s="8"/>
    </row>
    <row r="7725" spans="1:2">
      <c r="A7725" s="7"/>
      <c r="B7725" s="8"/>
    </row>
    <row r="7726" spans="1:2">
      <c r="A7726" s="7"/>
      <c r="B7726" s="8"/>
    </row>
    <row r="7727" spans="1:2">
      <c r="A7727" s="7"/>
      <c r="B7727" s="8"/>
    </row>
    <row r="7728" spans="1:2">
      <c r="A7728" s="7"/>
      <c r="B7728" s="8"/>
    </row>
    <row r="7729" spans="1:2">
      <c r="A7729" s="7"/>
      <c r="B7729" s="8"/>
    </row>
    <row r="7730" spans="1:2">
      <c r="A7730" s="7"/>
      <c r="B7730" s="8"/>
    </row>
    <row r="7731" spans="1:2">
      <c r="A7731" s="7"/>
      <c r="B7731" s="8"/>
    </row>
    <row r="7732" spans="1:2">
      <c r="A7732" s="7"/>
      <c r="B7732" s="8"/>
    </row>
    <row r="7733" spans="1:2">
      <c r="A7733" s="7"/>
      <c r="B7733" s="8"/>
    </row>
    <row r="7734" spans="1:2">
      <c r="A7734" s="7"/>
      <c r="B7734" s="8"/>
    </row>
    <row r="7735" spans="1:2">
      <c r="A7735" s="7"/>
      <c r="B7735" s="8"/>
    </row>
    <row r="7736" spans="1:2">
      <c r="A7736" s="7"/>
      <c r="B7736" s="8"/>
    </row>
    <row r="7737" spans="1:2">
      <c r="A7737" s="7"/>
      <c r="B7737" s="8"/>
    </row>
    <row r="7738" spans="1:2">
      <c r="A7738" s="7"/>
      <c r="B7738" s="8"/>
    </row>
    <row r="7739" spans="1:2">
      <c r="A7739" s="7"/>
      <c r="B7739" s="8"/>
    </row>
    <row r="7740" spans="1:2">
      <c r="A7740" s="7"/>
      <c r="B7740" s="8"/>
    </row>
    <row r="7741" spans="1:2">
      <c r="A7741" s="7"/>
      <c r="B7741" s="8"/>
    </row>
    <row r="7742" spans="1:2">
      <c r="A7742" s="7"/>
      <c r="B7742" s="8"/>
    </row>
    <row r="7743" spans="1:2">
      <c r="A7743" s="7"/>
      <c r="B7743" s="8"/>
    </row>
    <row r="7744" spans="1:2">
      <c r="A7744" s="7"/>
      <c r="B7744" s="8"/>
    </row>
    <row r="7745" spans="1:2">
      <c r="A7745" s="7"/>
      <c r="B7745" s="8"/>
    </row>
    <row r="7746" spans="1:2">
      <c r="A7746" s="7"/>
      <c r="B7746" s="8"/>
    </row>
    <row r="7747" spans="1:2">
      <c r="A7747" s="7"/>
      <c r="B7747" s="8"/>
    </row>
    <row r="7748" spans="1:2">
      <c r="A7748" s="7"/>
      <c r="B7748" s="8"/>
    </row>
    <row r="7749" spans="1:2">
      <c r="A7749" s="7"/>
      <c r="B7749" s="8"/>
    </row>
    <row r="7750" spans="1:2">
      <c r="A7750" s="7"/>
      <c r="B7750" s="8"/>
    </row>
    <row r="7751" spans="1:2">
      <c r="A7751" s="7"/>
      <c r="B7751" s="8"/>
    </row>
    <row r="7752" spans="1:2">
      <c r="A7752" s="7"/>
      <c r="B7752" s="8"/>
    </row>
    <row r="7753" spans="1:2">
      <c r="A7753" s="7"/>
      <c r="B7753" s="8"/>
    </row>
    <row r="7754" spans="1:2">
      <c r="A7754" s="7"/>
      <c r="B7754" s="8"/>
    </row>
    <row r="7755" spans="1:2">
      <c r="A7755" s="7"/>
      <c r="B7755" s="8"/>
    </row>
    <row r="7756" spans="1:2">
      <c r="A7756" s="7"/>
      <c r="B7756" s="8"/>
    </row>
    <row r="7757" spans="1:2">
      <c r="A7757" s="7"/>
      <c r="B7757" s="8"/>
    </row>
    <row r="7758" spans="1:2">
      <c r="A7758" s="7"/>
      <c r="B7758" s="8"/>
    </row>
    <row r="7759" spans="1:2">
      <c r="A7759" s="7"/>
      <c r="B7759" s="8"/>
    </row>
    <row r="7760" spans="1:2">
      <c r="A7760" s="7"/>
      <c r="B7760" s="8"/>
    </row>
    <row r="7761" spans="1:2">
      <c r="A7761" s="7"/>
      <c r="B7761" s="8"/>
    </row>
    <row r="7762" spans="1:2">
      <c r="A7762" s="7"/>
      <c r="B7762" s="8"/>
    </row>
    <row r="7763" spans="1:2">
      <c r="A7763" s="7"/>
      <c r="B7763" s="8"/>
    </row>
    <row r="7764" spans="1:2">
      <c r="A7764" s="7"/>
      <c r="B7764" s="8"/>
    </row>
    <row r="7765" spans="1:2">
      <c r="A7765" s="7"/>
      <c r="B7765" s="8"/>
    </row>
    <row r="7766" spans="1:2">
      <c r="A7766" s="7"/>
      <c r="B7766" s="8"/>
    </row>
    <row r="7767" spans="1:2">
      <c r="A7767" s="7"/>
      <c r="B7767" s="8"/>
    </row>
    <row r="7768" spans="1:2">
      <c r="A7768" s="7"/>
      <c r="B7768" s="8"/>
    </row>
    <row r="7769" spans="1:2">
      <c r="A7769" s="7"/>
      <c r="B7769" s="8"/>
    </row>
    <row r="7770" spans="1:2">
      <c r="A7770" s="7"/>
      <c r="B7770" s="8"/>
    </row>
    <row r="7771" spans="1:2">
      <c r="A7771" s="7"/>
      <c r="B7771" s="8"/>
    </row>
    <row r="7772" spans="1:2">
      <c r="A7772" s="7"/>
      <c r="B7772" s="8"/>
    </row>
    <row r="7773" spans="1:2">
      <c r="A7773" s="7"/>
      <c r="B7773" s="8"/>
    </row>
    <row r="7774" spans="1:2">
      <c r="A7774" s="7"/>
      <c r="B7774" s="8"/>
    </row>
    <row r="7775" spans="1:2">
      <c r="A7775" s="7"/>
      <c r="B7775" s="8"/>
    </row>
    <row r="7776" spans="1:2">
      <c r="A7776" s="7"/>
      <c r="B7776" s="8"/>
    </row>
    <row r="7777" spans="1:2">
      <c r="A7777" s="7"/>
      <c r="B7777" s="8"/>
    </row>
    <row r="7778" spans="1:2">
      <c r="A7778" s="7"/>
      <c r="B7778" s="8"/>
    </row>
    <row r="7779" spans="1:2">
      <c r="A7779" s="7"/>
      <c r="B7779" s="8"/>
    </row>
    <row r="7780" spans="1:2">
      <c r="A7780" s="7"/>
      <c r="B7780" s="8"/>
    </row>
    <row r="7781" spans="1:2">
      <c r="A7781" s="7"/>
      <c r="B7781" s="8"/>
    </row>
    <row r="7782" spans="1:2">
      <c r="A7782" s="7"/>
      <c r="B7782" s="8"/>
    </row>
    <row r="7783" spans="1:2">
      <c r="A7783" s="7"/>
      <c r="B7783" s="8"/>
    </row>
    <row r="7784" spans="1:2">
      <c r="A7784" s="7"/>
      <c r="B7784" s="8"/>
    </row>
    <row r="7785" spans="1:2">
      <c r="A7785" s="7"/>
      <c r="B7785" s="8"/>
    </row>
    <row r="7786" spans="1:2">
      <c r="A7786" s="7"/>
      <c r="B7786" s="8"/>
    </row>
    <row r="7787" spans="1:2">
      <c r="A7787" s="7"/>
      <c r="B7787" s="8"/>
    </row>
    <row r="7788" spans="1:2">
      <c r="A7788" s="7"/>
      <c r="B7788" s="8"/>
    </row>
    <row r="7789" spans="1:2">
      <c r="A7789" s="7"/>
      <c r="B7789" s="8"/>
    </row>
    <row r="7790" spans="1:2">
      <c r="A7790" s="7"/>
      <c r="B7790" s="8"/>
    </row>
    <row r="7791" spans="1:2">
      <c r="A7791" s="7"/>
      <c r="B7791" s="8"/>
    </row>
    <row r="7792" spans="1:2">
      <c r="A7792" s="7"/>
      <c r="B7792" s="8"/>
    </row>
    <row r="7793" spans="1:2">
      <c r="A7793" s="7"/>
      <c r="B7793" s="8"/>
    </row>
    <row r="7794" spans="1:2">
      <c r="A7794" s="7"/>
      <c r="B7794" s="8"/>
    </row>
    <row r="7795" spans="1:2">
      <c r="A7795" s="7"/>
      <c r="B7795" s="8"/>
    </row>
    <row r="7796" spans="1:2">
      <c r="A7796" s="7"/>
      <c r="B7796" s="8"/>
    </row>
    <row r="7797" spans="1:2">
      <c r="A7797" s="7"/>
      <c r="B7797" s="8"/>
    </row>
    <row r="7798" spans="1:2">
      <c r="A7798" s="7"/>
      <c r="B7798" s="8"/>
    </row>
    <row r="7799" spans="1:2">
      <c r="A7799" s="7"/>
      <c r="B7799" s="8"/>
    </row>
    <row r="7800" spans="1:2">
      <c r="A7800" s="7"/>
      <c r="B7800" s="8"/>
    </row>
    <row r="7801" spans="1:2">
      <c r="A7801" s="7"/>
      <c r="B7801" s="8"/>
    </row>
    <row r="7802" spans="1:2">
      <c r="A7802" s="7"/>
      <c r="B7802" s="8"/>
    </row>
    <row r="7803" spans="1:2">
      <c r="A7803" s="7"/>
      <c r="B7803" s="8"/>
    </row>
    <row r="7804" spans="1:2">
      <c r="A7804" s="7"/>
      <c r="B7804" s="8"/>
    </row>
    <row r="7805" spans="1:2">
      <c r="A7805" s="7"/>
      <c r="B7805" s="8"/>
    </row>
    <row r="7806" spans="1:2">
      <c r="A7806" s="7"/>
      <c r="B7806" s="8"/>
    </row>
    <row r="7807" spans="1:2">
      <c r="A7807" s="7"/>
      <c r="B7807" s="8"/>
    </row>
    <row r="7808" spans="1:2">
      <c r="A7808" s="7"/>
      <c r="B7808" s="8"/>
    </row>
    <row r="7809" spans="1:2">
      <c r="A7809" s="7"/>
      <c r="B7809" s="8"/>
    </row>
    <row r="7810" spans="1:2">
      <c r="A7810" s="7"/>
      <c r="B7810" s="8"/>
    </row>
    <row r="7811" spans="1:2">
      <c r="A7811" s="7"/>
      <c r="B7811" s="8"/>
    </row>
    <row r="7812" spans="1:2">
      <c r="A7812" s="7"/>
      <c r="B7812" s="8"/>
    </row>
    <row r="7813" spans="1:2">
      <c r="A7813" s="7"/>
      <c r="B7813" s="8"/>
    </row>
    <row r="7814" spans="1:2">
      <c r="A7814" s="7"/>
      <c r="B7814" s="8"/>
    </row>
    <row r="7815" spans="1:2">
      <c r="A7815" s="7"/>
      <c r="B7815" s="8"/>
    </row>
    <row r="7816" spans="1:2">
      <c r="A7816" s="7"/>
      <c r="B7816" s="8"/>
    </row>
    <row r="7817" spans="1:2">
      <c r="A7817" s="7"/>
      <c r="B7817" s="8"/>
    </row>
    <row r="7818" spans="1:2">
      <c r="A7818" s="7"/>
      <c r="B7818" s="8"/>
    </row>
    <row r="7819" spans="1:2">
      <c r="A7819" s="7"/>
      <c r="B7819" s="8"/>
    </row>
    <row r="7820" spans="1:2">
      <c r="A7820" s="7"/>
      <c r="B7820" s="8"/>
    </row>
    <row r="7821" spans="1:2">
      <c r="A7821" s="7"/>
      <c r="B7821" s="8"/>
    </row>
    <row r="7822" spans="1:2">
      <c r="A7822" s="7"/>
      <c r="B7822" s="8"/>
    </row>
    <row r="7823" spans="1:2">
      <c r="A7823" s="7"/>
      <c r="B7823" s="8"/>
    </row>
    <row r="7824" spans="1:2">
      <c r="A7824" s="7"/>
      <c r="B7824" s="8"/>
    </row>
    <row r="7825" spans="1:2">
      <c r="A7825" s="7"/>
      <c r="B7825" s="8"/>
    </row>
    <row r="7826" spans="1:2">
      <c r="A7826" s="7"/>
      <c r="B7826" s="8"/>
    </row>
    <row r="7827" spans="1:2">
      <c r="A7827" s="7"/>
      <c r="B7827" s="8"/>
    </row>
    <row r="7828" spans="1:2">
      <c r="A7828" s="7"/>
      <c r="B7828" s="8"/>
    </row>
    <row r="7829" spans="1:2">
      <c r="A7829" s="7"/>
      <c r="B7829" s="8"/>
    </row>
    <row r="7830" spans="1:2">
      <c r="A7830" s="7"/>
      <c r="B7830" s="8"/>
    </row>
    <row r="7831" spans="1:2">
      <c r="A7831" s="7"/>
      <c r="B7831" s="8"/>
    </row>
    <row r="7832" spans="1:2">
      <c r="A7832" s="7"/>
      <c r="B7832" s="8"/>
    </row>
    <row r="7833" spans="1:2">
      <c r="A7833" s="7"/>
      <c r="B7833" s="8"/>
    </row>
    <row r="7834" spans="1:2">
      <c r="A7834" s="7"/>
      <c r="B7834" s="8"/>
    </row>
    <row r="7835" spans="1:2">
      <c r="A7835" s="7"/>
      <c r="B7835" s="8"/>
    </row>
    <row r="7836" spans="1:2">
      <c r="A7836" s="7"/>
      <c r="B7836" s="8"/>
    </row>
    <row r="7837" spans="1:2">
      <c r="A7837" s="7"/>
      <c r="B7837" s="8"/>
    </row>
    <row r="7838" spans="1:2">
      <c r="A7838" s="7"/>
      <c r="B7838" s="8"/>
    </row>
    <row r="7839" spans="1:2">
      <c r="A7839" s="7"/>
      <c r="B7839" s="8"/>
    </row>
    <row r="7840" spans="1:2">
      <c r="A7840" s="7"/>
      <c r="B7840" s="8"/>
    </row>
    <row r="7841" spans="1:2">
      <c r="A7841" s="7"/>
      <c r="B7841" s="8"/>
    </row>
    <row r="7842" spans="1:2">
      <c r="A7842" s="7"/>
      <c r="B7842" s="8"/>
    </row>
    <row r="7843" spans="1:2">
      <c r="A7843" s="7"/>
      <c r="B7843" s="8"/>
    </row>
    <row r="7844" spans="1:2">
      <c r="A7844" s="7"/>
      <c r="B7844" s="8"/>
    </row>
    <row r="7845" spans="1:2">
      <c r="A7845" s="7"/>
      <c r="B7845" s="8"/>
    </row>
    <row r="7846" spans="1:2">
      <c r="A7846" s="7"/>
      <c r="B7846" s="8"/>
    </row>
    <row r="7847" spans="1:2">
      <c r="A7847" s="7"/>
      <c r="B7847" s="8"/>
    </row>
    <row r="7848" spans="1:2">
      <c r="A7848" s="7"/>
      <c r="B7848" s="8"/>
    </row>
    <row r="7849" spans="1:2">
      <c r="A7849" s="7"/>
      <c r="B7849" s="8"/>
    </row>
    <row r="7850" spans="1:2">
      <c r="A7850" s="7"/>
      <c r="B7850" s="8"/>
    </row>
    <row r="7851" spans="1:2">
      <c r="A7851" s="7"/>
      <c r="B7851" s="8"/>
    </row>
    <row r="7852" spans="1:2">
      <c r="A7852" s="7"/>
      <c r="B7852" s="8"/>
    </row>
    <row r="7853" spans="1:2">
      <c r="A7853" s="7"/>
      <c r="B7853" s="8"/>
    </row>
    <row r="7854" spans="1:2">
      <c r="A7854" s="7"/>
      <c r="B7854" s="8"/>
    </row>
    <row r="7855" spans="1:2">
      <c r="A7855" s="7"/>
      <c r="B7855" s="8"/>
    </row>
    <row r="7856" spans="1:2">
      <c r="A7856" s="7"/>
      <c r="B7856" s="8"/>
    </row>
    <row r="7857" spans="1:2">
      <c r="A7857" s="7"/>
      <c r="B7857" s="8"/>
    </row>
    <row r="7858" spans="1:2">
      <c r="A7858" s="7"/>
      <c r="B7858" s="8"/>
    </row>
    <row r="7859" spans="1:2">
      <c r="A7859" s="7"/>
      <c r="B7859" s="8"/>
    </row>
    <row r="7860" spans="1:2">
      <c r="A7860" s="7"/>
      <c r="B7860" s="8"/>
    </row>
    <row r="7861" spans="1:2">
      <c r="A7861" s="7"/>
      <c r="B7861" s="8"/>
    </row>
    <row r="7862" spans="1:2">
      <c r="A7862" s="7"/>
      <c r="B7862" s="8"/>
    </row>
    <row r="7863" spans="1:2">
      <c r="A7863" s="7"/>
      <c r="B7863" s="8"/>
    </row>
    <row r="7864" spans="1:2">
      <c r="A7864" s="7"/>
      <c r="B7864" s="8"/>
    </row>
    <row r="7865" spans="1:2">
      <c r="A7865" s="7"/>
      <c r="B7865" s="8"/>
    </row>
    <row r="7866" spans="1:2">
      <c r="A7866" s="7"/>
      <c r="B7866" s="8"/>
    </row>
    <row r="7867" spans="1:2">
      <c r="A7867" s="7"/>
      <c r="B7867" s="8"/>
    </row>
    <row r="7868" spans="1:2">
      <c r="A7868" s="7"/>
      <c r="B7868" s="8"/>
    </row>
    <row r="7869" spans="1:2">
      <c r="A7869" s="7"/>
      <c r="B7869" s="8"/>
    </row>
    <row r="7870" spans="1:2">
      <c r="A7870" s="7"/>
      <c r="B7870" s="8"/>
    </row>
    <row r="7871" spans="1:2">
      <c r="A7871" s="7"/>
      <c r="B7871" s="8"/>
    </row>
    <row r="7872" spans="1:2">
      <c r="A7872" s="7"/>
      <c r="B7872" s="8"/>
    </row>
    <row r="7873" spans="1:2">
      <c r="A7873" s="7"/>
      <c r="B7873" s="8"/>
    </row>
    <row r="7874" spans="1:2">
      <c r="A7874" s="7"/>
      <c r="B7874" s="8"/>
    </row>
    <row r="7875" spans="1:2">
      <c r="A7875" s="7"/>
      <c r="B7875" s="8"/>
    </row>
    <row r="7876" spans="1:2">
      <c r="A7876" s="7"/>
      <c r="B7876" s="8"/>
    </row>
    <row r="7877" spans="1:2">
      <c r="A7877" s="7"/>
      <c r="B7877" s="8"/>
    </row>
    <row r="7878" spans="1:2">
      <c r="A7878" s="7"/>
      <c r="B7878" s="8"/>
    </row>
    <row r="7879" spans="1:2">
      <c r="A7879" s="7"/>
      <c r="B7879" s="8"/>
    </row>
    <row r="7880" spans="1:2">
      <c r="A7880" s="7"/>
      <c r="B7880" s="8"/>
    </row>
    <row r="7881" spans="1:2">
      <c r="A7881" s="7"/>
      <c r="B7881" s="8"/>
    </row>
    <row r="7882" spans="1:2">
      <c r="A7882" s="7"/>
      <c r="B7882" s="8"/>
    </row>
    <row r="7883" spans="1:2">
      <c r="A7883" s="7"/>
      <c r="B7883" s="8"/>
    </row>
    <row r="7884" spans="1:2">
      <c r="A7884" s="7"/>
      <c r="B7884" s="8"/>
    </row>
    <row r="7885" spans="1:2">
      <c r="A7885" s="7"/>
      <c r="B7885" s="8"/>
    </row>
    <row r="7886" spans="1:2">
      <c r="A7886" s="7"/>
      <c r="B7886" s="8"/>
    </row>
    <row r="7887" spans="1:2">
      <c r="A7887" s="7"/>
      <c r="B7887" s="8"/>
    </row>
    <row r="7888" spans="1:2">
      <c r="A7888" s="7"/>
      <c r="B7888" s="8"/>
    </row>
    <row r="7889" spans="1:2">
      <c r="A7889" s="7"/>
      <c r="B7889" s="8"/>
    </row>
    <row r="7890" spans="1:2">
      <c r="A7890" s="7"/>
      <c r="B7890" s="8"/>
    </row>
    <row r="7891" spans="1:2">
      <c r="A7891" s="7"/>
      <c r="B7891" s="8"/>
    </row>
    <row r="7892" spans="1:2">
      <c r="A7892" s="7"/>
      <c r="B7892" s="8"/>
    </row>
    <row r="7893" spans="1:2">
      <c r="A7893" s="7"/>
      <c r="B7893" s="8"/>
    </row>
    <row r="7894" spans="1:2">
      <c r="A7894" s="7"/>
      <c r="B7894" s="8"/>
    </row>
    <row r="7895" spans="1:2">
      <c r="A7895" s="7"/>
      <c r="B7895" s="8"/>
    </row>
    <row r="7896" spans="1:2">
      <c r="A7896" s="7"/>
      <c r="B7896" s="8"/>
    </row>
    <row r="7897" spans="1:2">
      <c r="A7897" s="7"/>
      <c r="B7897" s="8"/>
    </row>
    <row r="7898" spans="1:2">
      <c r="A7898" s="7"/>
      <c r="B7898" s="8"/>
    </row>
    <row r="7899" spans="1:2">
      <c r="A7899" s="7"/>
      <c r="B7899" s="8"/>
    </row>
    <row r="7900" spans="1:2">
      <c r="A7900" s="7"/>
      <c r="B7900" s="8"/>
    </row>
    <row r="7901" spans="1:2">
      <c r="A7901" s="7"/>
      <c r="B7901" s="8"/>
    </row>
    <row r="7902" spans="1:2">
      <c r="A7902" s="7"/>
      <c r="B7902" s="8"/>
    </row>
    <row r="7903" spans="1:2">
      <c r="A7903" s="7"/>
      <c r="B7903" s="8"/>
    </row>
    <row r="7904" spans="1:2">
      <c r="A7904" s="7"/>
      <c r="B7904" s="8"/>
    </row>
    <row r="7905" spans="1:2">
      <c r="A7905" s="7"/>
      <c r="B7905" s="8"/>
    </row>
    <row r="7906" spans="1:2">
      <c r="A7906" s="7"/>
      <c r="B7906" s="8"/>
    </row>
    <row r="7907" spans="1:2">
      <c r="A7907" s="7"/>
      <c r="B7907" s="8"/>
    </row>
    <row r="7908" spans="1:2">
      <c r="A7908" s="7"/>
      <c r="B7908" s="8"/>
    </row>
    <row r="7909" spans="1:2">
      <c r="A7909" s="7"/>
      <c r="B7909" s="8"/>
    </row>
    <row r="7910" spans="1:2">
      <c r="A7910" s="7"/>
      <c r="B7910" s="8"/>
    </row>
    <row r="7911" spans="1:2">
      <c r="A7911" s="7"/>
      <c r="B7911" s="8"/>
    </row>
    <row r="7912" spans="1:2">
      <c r="A7912" s="7"/>
      <c r="B7912" s="8"/>
    </row>
    <row r="7913" spans="1:2">
      <c r="A7913" s="7"/>
      <c r="B7913" s="8"/>
    </row>
    <row r="7914" spans="1:2">
      <c r="A7914" s="7"/>
      <c r="B7914" s="8"/>
    </row>
    <row r="7915" spans="1:2">
      <c r="A7915" s="7"/>
      <c r="B7915" s="8"/>
    </row>
    <row r="7916" spans="1:2">
      <c r="A7916" s="7"/>
      <c r="B7916" s="8"/>
    </row>
    <row r="7917" spans="1:2">
      <c r="A7917" s="7"/>
      <c r="B7917" s="8"/>
    </row>
    <row r="7918" spans="1:2">
      <c r="A7918" s="7"/>
      <c r="B7918" s="8"/>
    </row>
    <row r="7919" spans="1:2">
      <c r="A7919" s="7"/>
      <c r="B7919" s="8"/>
    </row>
    <row r="7920" spans="1:2">
      <c r="A7920" s="7"/>
      <c r="B7920" s="8"/>
    </row>
    <row r="7921" spans="1:2">
      <c r="A7921" s="7"/>
      <c r="B7921" s="8"/>
    </row>
    <row r="7922" spans="1:2">
      <c r="A7922" s="7"/>
      <c r="B7922" s="8"/>
    </row>
    <row r="7923" spans="1:2">
      <c r="A7923" s="7"/>
      <c r="B7923" s="8"/>
    </row>
    <row r="7924" spans="1:2">
      <c r="A7924" s="7"/>
      <c r="B7924" s="8"/>
    </row>
    <row r="7925" spans="1:2">
      <c r="A7925" s="7"/>
      <c r="B7925" s="8"/>
    </row>
    <row r="7926" spans="1:2">
      <c r="A7926" s="7"/>
      <c r="B7926" s="8"/>
    </row>
    <row r="7927" spans="1:2">
      <c r="A7927" s="7"/>
      <c r="B7927" s="8"/>
    </row>
    <row r="7928" spans="1:2">
      <c r="A7928" s="7"/>
      <c r="B7928" s="8"/>
    </row>
    <row r="7929" spans="1:2">
      <c r="A7929" s="7"/>
      <c r="B7929" s="8"/>
    </row>
    <row r="7930" spans="1:2">
      <c r="A7930" s="7"/>
      <c r="B7930" s="8"/>
    </row>
    <row r="7931" spans="1:2">
      <c r="A7931" s="7"/>
      <c r="B7931" s="8"/>
    </row>
    <row r="7932" spans="1:2">
      <c r="A7932" s="7"/>
      <c r="B7932" s="8"/>
    </row>
    <row r="7933" spans="1:2">
      <c r="A7933" s="7"/>
      <c r="B7933" s="8"/>
    </row>
    <row r="7934" spans="1:2">
      <c r="A7934" s="7"/>
      <c r="B7934" s="8"/>
    </row>
    <row r="7935" spans="1:2">
      <c r="A7935" s="7"/>
      <c r="B7935" s="8"/>
    </row>
    <row r="7936" spans="1:2">
      <c r="A7936" s="7"/>
      <c r="B7936" s="8"/>
    </row>
    <row r="7937" spans="1:2">
      <c r="A7937" s="7"/>
      <c r="B7937" s="8"/>
    </row>
    <row r="7938" spans="1:2">
      <c r="A7938" s="7"/>
      <c r="B7938" s="8"/>
    </row>
    <row r="7939" spans="1:2">
      <c r="A7939" s="7"/>
      <c r="B7939" s="8"/>
    </row>
    <row r="7940" spans="1:2">
      <c r="A7940" s="7"/>
      <c r="B7940" s="8"/>
    </row>
    <row r="7941" spans="1:2">
      <c r="A7941" s="7"/>
      <c r="B7941" s="8"/>
    </row>
    <row r="7942" spans="1:2">
      <c r="A7942" s="7"/>
      <c r="B7942" s="8"/>
    </row>
    <row r="7943" spans="1:2">
      <c r="A7943" s="7"/>
      <c r="B7943" s="8"/>
    </row>
    <row r="7944" spans="1:2">
      <c r="A7944" s="7"/>
      <c r="B7944" s="8"/>
    </row>
    <row r="7945" spans="1:2">
      <c r="A7945" s="7"/>
      <c r="B7945" s="8"/>
    </row>
    <row r="7946" spans="1:2">
      <c r="A7946" s="7"/>
      <c r="B7946" s="8"/>
    </row>
    <row r="7947" spans="1:2">
      <c r="A7947" s="7"/>
      <c r="B7947" s="8"/>
    </row>
    <row r="7948" spans="1:2">
      <c r="A7948" s="7"/>
      <c r="B7948" s="8"/>
    </row>
    <row r="7949" spans="1:2">
      <c r="A7949" s="7"/>
      <c r="B7949" s="8"/>
    </row>
    <row r="7950" spans="1:2">
      <c r="A7950" s="7"/>
      <c r="B7950" s="8"/>
    </row>
    <row r="7951" spans="1:2">
      <c r="A7951" s="7"/>
      <c r="B7951" s="8"/>
    </row>
    <row r="7952" spans="1:2">
      <c r="A7952" s="7"/>
      <c r="B7952" s="8"/>
    </row>
    <row r="7953" spans="1:2">
      <c r="A7953" s="7"/>
      <c r="B7953" s="8"/>
    </row>
    <row r="7954" spans="1:2">
      <c r="A7954" s="7"/>
      <c r="B7954" s="8"/>
    </row>
    <row r="7955" spans="1:2">
      <c r="A7955" s="7"/>
      <c r="B7955" s="8"/>
    </row>
    <row r="7956" spans="1:2">
      <c r="A7956" s="7"/>
      <c r="B7956" s="8"/>
    </row>
    <row r="7957" spans="1:2">
      <c r="A7957" s="7"/>
      <c r="B7957" s="8"/>
    </row>
    <row r="7958" spans="1:2">
      <c r="A7958" s="7"/>
      <c r="B7958" s="8"/>
    </row>
    <row r="7959" spans="1:2">
      <c r="A7959" s="7"/>
      <c r="B7959" s="8"/>
    </row>
    <row r="7960" spans="1:2">
      <c r="A7960" s="7"/>
      <c r="B7960" s="8"/>
    </row>
    <row r="7961" spans="1:2">
      <c r="A7961" s="7"/>
      <c r="B7961" s="8"/>
    </row>
    <row r="7962" spans="1:2">
      <c r="A7962" s="7"/>
      <c r="B7962" s="8"/>
    </row>
    <row r="7963" spans="1:2">
      <c r="A7963" s="7"/>
      <c r="B7963" s="8"/>
    </row>
    <row r="7964" spans="1:2">
      <c r="A7964" s="7"/>
      <c r="B7964" s="8"/>
    </row>
    <row r="7965" spans="1:2">
      <c r="A7965" s="7"/>
      <c r="B7965" s="8"/>
    </row>
    <row r="7966" spans="1:2">
      <c r="A7966" s="7"/>
      <c r="B7966" s="8"/>
    </row>
    <row r="7967" spans="1:2">
      <c r="A7967" s="7"/>
      <c r="B7967" s="8"/>
    </row>
    <row r="7968" spans="1:2">
      <c r="A7968" s="7"/>
      <c r="B7968" s="8"/>
    </row>
    <row r="7969" spans="1:2">
      <c r="A7969" s="7"/>
      <c r="B7969" s="8"/>
    </row>
    <row r="7970" spans="1:2">
      <c r="A7970" s="7"/>
      <c r="B7970" s="8"/>
    </row>
    <row r="7971" spans="1:2">
      <c r="A7971" s="7"/>
      <c r="B7971" s="8"/>
    </row>
    <row r="7972" spans="1:2">
      <c r="A7972" s="7"/>
      <c r="B7972" s="8"/>
    </row>
    <row r="7973" spans="1:2">
      <c r="A7973" s="7"/>
      <c r="B7973" s="8"/>
    </row>
    <row r="7974" spans="1:2">
      <c r="A7974" s="7"/>
      <c r="B7974" s="8"/>
    </row>
    <row r="7975" spans="1:2">
      <c r="A7975" s="7"/>
      <c r="B7975" s="8"/>
    </row>
    <row r="7976" spans="1:2">
      <c r="A7976" s="7"/>
      <c r="B7976" s="8"/>
    </row>
    <row r="7977" spans="1:2">
      <c r="A7977" s="7"/>
      <c r="B7977" s="8"/>
    </row>
    <row r="7978" spans="1:2">
      <c r="A7978" s="7"/>
      <c r="B7978" s="8"/>
    </row>
    <row r="7979" spans="1:2">
      <c r="A7979" s="7"/>
      <c r="B7979" s="8"/>
    </row>
    <row r="7980" spans="1:2">
      <c r="A7980" s="7"/>
      <c r="B7980" s="8"/>
    </row>
    <row r="7981" spans="1:2">
      <c r="A7981" s="7"/>
      <c r="B7981" s="8"/>
    </row>
    <row r="7982" spans="1:2">
      <c r="A7982" s="7"/>
      <c r="B7982" s="8"/>
    </row>
    <row r="7983" spans="1:2">
      <c r="A7983" s="7"/>
      <c r="B7983" s="8"/>
    </row>
    <row r="7984" spans="1:2">
      <c r="A7984" s="7"/>
      <c r="B7984" s="8"/>
    </row>
    <row r="7985" spans="1:2">
      <c r="A7985" s="7"/>
      <c r="B7985" s="8"/>
    </row>
    <row r="7986" spans="1:2">
      <c r="A7986" s="7"/>
      <c r="B7986" s="8"/>
    </row>
    <row r="7987" spans="1:2">
      <c r="A7987" s="7"/>
      <c r="B7987" s="8"/>
    </row>
    <row r="7988" spans="1:2">
      <c r="A7988" s="7"/>
      <c r="B7988" s="8"/>
    </row>
    <row r="7989" spans="1:2">
      <c r="A7989" s="7"/>
      <c r="B7989" s="8"/>
    </row>
    <row r="7990" spans="1:2">
      <c r="A7990" s="7"/>
      <c r="B7990" s="8"/>
    </row>
    <row r="7991" spans="1:2">
      <c r="A7991" s="7"/>
      <c r="B7991" s="8"/>
    </row>
    <row r="7992" spans="1:2">
      <c r="A7992" s="7"/>
      <c r="B7992" s="8"/>
    </row>
    <row r="7993" spans="1:2">
      <c r="A7993" s="7"/>
      <c r="B7993" s="8"/>
    </row>
    <row r="7994" spans="1:2">
      <c r="A7994" s="7"/>
      <c r="B7994" s="8"/>
    </row>
    <row r="7995" spans="1:2">
      <c r="A7995" s="7"/>
      <c r="B7995" s="8"/>
    </row>
    <row r="7996" spans="1:2">
      <c r="A7996" s="7"/>
      <c r="B7996" s="8"/>
    </row>
    <row r="7997" spans="1:2">
      <c r="A7997" s="7"/>
      <c r="B7997" s="8"/>
    </row>
    <row r="7998" spans="1:2">
      <c r="A7998" s="7"/>
      <c r="B7998" s="8"/>
    </row>
    <row r="7999" spans="1:2">
      <c r="A7999" s="7"/>
      <c r="B7999" s="8"/>
    </row>
    <row r="8000" spans="1:2">
      <c r="A8000" s="7"/>
      <c r="B8000" s="8"/>
    </row>
    <row r="8001" spans="1:2">
      <c r="A8001" s="7"/>
      <c r="B8001" s="8"/>
    </row>
    <row r="8002" spans="1:2">
      <c r="A8002" s="7"/>
      <c r="B8002" s="8"/>
    </row>
    <row r="8003" spans="1:2">
      <c r="A8003" s="7"/>
      <c r="B8003" s="8"/>
    </row>
    <row r="8004" spans="1:2">
      <c r="A8004" s="7"/>
      <c r="B8004" s="8"/>
    </row>
    <row r="8005" spans="1:2">
      <c r="A8005" s="7"/>
      <c r="B8005" s="8"/>
    </row>
    <row r="8006" spans="1:2">
      <c r="A8006" s="7"/>
      <c r="B8006" s="8"/>
    </row>
    <row r="8007" spans="1:2">
      <c r="A8007" s="7"/>
      <c r="B8007" s="8"/>
    </row>
    <row r="8008" spans="1:2">
      <c r="A8008" s="7"/>
      <c r="B8008" s="8"/>
    </row>
    <row r="8009" spans="1:2">
      <c r="A8009" s="7"/>
      <c r="B8009" s="8"/>
    </row>
    <row r="8010" spans="1:2">
      <c r="A8010" s="7"/>
      <c r="B8010" s="8"/>
    </row>
    <row r="8011" spans="1:2">
      <c r="A8011" s="7"/>
      <c r="B8011" s="8"/>
    </row>
    <row r="8012" spans="1:2">
      <c r="A8012" s="7"/>
      <c r="B8012" s="8"/>
    </row>
    <row r="8013" spans="1:2">
      <c r="A8013" s="7"/>
      <c r="B8013" s="8"/>
    </row>
    <row r="8014" spans="1:2">
      <c r="A8014" s="7"/>
      <c r="B8014" s="8"/>
    </row>
    <row r="8015" spans="1:2">
      <c r="A8015" s="7"/>
      <c r="B8015" s="8"/>
    </row>
    <row r="8016" spans="1:2">
      <c r="A8016" s="7"/>
      <c r="B8016" s="8"/>
    </row>
    <row r="8017" spans="1:2">
      <c r="A8017" s="7"/>
      <c r="B8017" s="8"/>
    </row>
    <row r="8018" spans="1:2">
      <c r="A8018" s="7"/>
      <c r="B8018" s="8"/>
    </row>
    <row r="8019" spans="1:2">
      <c r="A8019" s="7"/>
      <c r="B8019" s="8"/>
    </row>
    <row r="8020" spans="1:2">
      <c r="A8020" s="7"/>
      <c r="B8020" s="8"/>
    </row>
    <row r="8021" spans="1:2">
      <c r="A8021" s="7"/>
      <c r="B8021" s="8"/>
    </row>
    <row r="8022" spans="1:2">
      <c r="A8022" s="7"/>
      <c r="B8022" s="8"/>
    </row>
    <row r="8023" spans="1:2">
      <c r="A8023" s="7"/>
      <c r="B8023" s="8"/>
    </row>
    <row r="8024" spans="1:2">
      <c r="A8024" s="7"/>
      <c r="B8024" s="8"/>
    </row>
    <row r="8025" spans="1:2">
      <c r="A8025" s="7"/>
      <c r="B8025" s="8"/>
    </row>
    <row r="8026" spans="1:2">
      <c r="A8026" s="7"/>
      <c r="B8026" s="8"/>
    </row>
    <row r="8027" spans="1:2">
      <c r="A8027" s="7"/>
      <c r="B8027" s="8"/>
    </row>
    <row r="8028" spans="1:2">
      <c r="A8028" s="7"/>
      <c r="B8028" s="8"/>
    </row>
    <row r="8029" spans="1:2">
      <c r="A8029" s="7"/>
      <c r="B8029" s="8"/>
    </row>
    <row r="8030" spans="1:2">
      <c r="A8030" s="7"/>
      <c r="B8030" s="8"/>
    </row>
    <row r="8031" spans="1:2">
      <c r="A8031" s="7"/>
      <c r="B8031" s="8"/>
    </row>
    <row r="8032" spans="1:2">
      <c r="A8032" s="7"/>
      <c r="B8032" s="8"/>
    </row>
    <row r="8033" spans="1:2">
      <c r="A8033" s="7"/>
      <c r="B8033" s="8"/>
    </row>
    <row r="8034" spans="1:2">
      <c r="A8034" s="7"/>
      <c r="B8034" s="8"/>
    </row>
    <row r="8035" spans="1:2">
      <c r="A8035" s="7"/>
      <c r="B8035" s="8"/>
    </row>
    <row r="8036" spans="1:2">
      <c r="A8036" s="7"/>
      <c r="B8036" s="8"/>
    </row>
    <row r="8037" spans="1:2">
      <c r="A8037" s="7"/>
      <c r="B8037" s="8"/>
    </row>
    <row r="8038" spans="1:2">
      <c r="A8038" s="7"/>
      <c r="B8038" s="8"/>
    </row>
    <row r="8039" spans="1:2">
      <c r="A8039" s="7"/>
      <c r="B8039" s="8"/>
    </row>
    <row r="8040" spans="1:2">
      <c r="A8040" s="7"/>
      <c r="B8040" s="8"/>
    </row>
    <row r="8041" spans="1:2">
      <c r="A8041" s="7"/>
      <c r="B8041" s="8"/>
    </row>
    <row r="8042" spans="1:2">
      <c r="A8042" s="7"/>
      <c r="B8042" s="8"/>
    </row>
    <row r="8043" spans="1:2">
      <c r="A8043" s="7"/>
      <c r="B8043" s="8"/>
    </row>
    <row r="8044" spans="1:2">
      <c r="A8044" s="7"/>
      <c r="B8044" s="8"/>
    </row>
    <row r="8045" spans="1:2">
      <c r="A8045" s="7"/>
      <c r="B8045" s="8"/>
    </row>
    <row r="8046" spans="1:2">
      <c r="A8046" s="7"/>
      <c r="B8046" s="8"/>
    </row>
    <row r="8047" spans="1:2">
      <c r="A8047" s="7"/>
      <c r="B8047" s="8"/>
    </row>
    <row r="8048" spans="1:2">
      <c r="A8048" s="7"/>
      <c r="B8048" s="8"/>
    </row>
    <row r="8049" spans="1:2">
      <c r="A8049" s="7"/>
      <c r="B8049" s="8"/>
    </row>
    <row r="8050" spans="1:2">
      <c r="A8050" s="7"/>
      <c r="B8050" s="8"/>
    </row>
    <row r="8051" spans="1:2">
      <c r="A8051" s="7"/>
      <c r="B8051" s="8"/>
    </row>
    <row r="8052" spans="1:2">
      <c r="A8052" s="7"/>
      <c r="B8052" s="8"/>
    </row>
    <row r="8053" spans="1:2">
      <c r="A8053" s="7"/>
      <c r="B8053" s="8"/>
    </row>
    <row r="8054" spans="1:2">
      <c r="A8054" s="7"/>
      <c r="B8054" s="8"/>
    </row>
    <row r="8055" spans="1:2">
      <c r="A8055" s="7"/>
      <c r="B8055" s="8"/>
    </row>
    <row r="8056" spans="1:2">
      <c r="A8056" s="7"/>
      <c r="B8056" s="8"/>
    </row>
    <row r="8057" spans="1:2">
      <c r="A8057" s="7"/>
      <c r="B8057" s="8"/>
    </row>
    <row r="8058" spans="1:2">
      <c r="A8058" s="7"/>
      <c r="B8058" s="8"/>
    </row>
    <row r="8059" spans="1:2">
      <c r="A8059" s="7"/>
      <c r="B8059" s="8"/>
    </row>
    <row r="8060" spans="1:2">
      <c r="A8060" s="7"/>
      <c r="B8060" s="8"/>
    </row>
    <row r="8061" spans="1:2">
      <c r="A8061" s="7"/>
      <c r="B8061" s="8"/>
    </row>
    <row r="8062" spans="1:2">
      <c r="A8062" s="7"/>
      <c r="B8062" s="8"/>
    </row>
    <row r="8063" spans="1:2">
      <c r="A8063" s="7"/>
      <c r="B8063" s="8"/>
    </row>
    <row r="8064" spans="1:2">
      <c r="A8064" s="7"/>
      <c r="B8064" s="8"/>
    </row>
    <row r="8065" spans="1:2">
      <c r="A8065" s="7"/>
      <c r="B8065" s="8"/>
    </row>
    <row r="8066" spans="1:2">
      <c r="A8066" s="7"/>
      <c r="B8066" s="8"/>
    </row>
    <row r="8067" spans="1:2">
      <c r="A8067" s="7"/>
      <c r="B8067" s="8"/>
    </row>
    <row r="8068" spans="1:2">
      <c r="A8068" s="7"/>
      <c r="B8068" s="8"/>
    </row>
    <row r="8069" spans="1:2">
      <c r="A8069" s="7"/>
      <c r="B8069" s="8"/>
    </row>
    <row r="8070" spans="1:2">
      <c r="A8070" s="7"/>
      <c r="B8070" s="8"/>
    </row>
    <row r="8071" spans="1:2">
      <c r="A8071" s="7"/>
      <c r="B8071" s="8"/>
    </row>
    <row r="8072" spans="1:2">
      <c r="A8072" s="7"/>
      <c r="B8072" s="8"/>
    </row>
    <row r="8073" spans="1:2">
      <c r="A8073" s="7"/>
      <c r="B8073" s="8"/>
    </row>
    <row r="8074" spans="1:2">
      <c r="A8074" s="7"/>
      <c r="B8074" s="8"/>
    </row>
    <row r="8075" spans="1:2">
      <c r="A8075" s="7"/>
      <c r="B8075" s="8"/>
    </row>
    <row r="8076" spans="1:2">
      <c r="A8076" s="7"/>
      <c r="B8076" s="8"/>
    </row>
    <row r="8077" spans="1:2">
      <c r="A8077" s="7"/>
      <c r="B8077" s="8"/>
    </row>
    <row r="8078" spans="1:2">
      <c r="A8078" s="7"/>
      <c r="B8078" s="8"/>
    </row>
    <row r="8079" spans="1:2">
      <c r="A8079" s="7"/>
      <c r="B8079" s="8"/>
    </row>
    <row r="8080" spans="1:2">
      <c r="A8080" s="7"/>
      <c r="B8080" s="8"/>
    </row>
    <row r="8081" spans="1:2">
      <c r="A8081" s="7"/>
      <c r="B8081" s="8"/>
    </row>
    <row r="8082" spans="1:2">
      <c r="A8082" s="7"/>
      <c r="B8082" s="8"/>
    </row>
    <row r="8083" spans="1:2">
      <c r="A8083" s="7"/>
      <c r="B8083" s="8"/>
    </row>
    <row r="8084" spans="1:2">
      <c r="A8084" s="7"/>
      <c r="B8084" s="8"/>
    </row>
    <row r="8085" spans="1:2">
      <c r="A8085" s="7"/>
      <c r="B8085" s="8"/>
    </row>
    <row r="8086" spans="1:2">
      <c r="A8086" s="7"/>
      <c r="B8086" s="8"/>
    </row>
    <row r="8087" spans="1:2">
      <c r="A8087" s="7"/>
      <c r="B8087" s="8"/>
    </row>
    <row r="8088" spans="1:2">
      <c r="A8088" s="7"/>
      <c r="B8088" s="8"/>
    </row>
    <row r="8089" spans="1:2">
      <c r="A8089" s="7"/>
      <c r="B8089" s="8"/>
    </row>
    <row r="8090" spans="1:2">
      <c r="A8090" s="7"/>
      <c r="B8090" s="8"/>
    </row>
    <row r="8091" spans="1:2">
      <c r="A8091" s="7"/>
      <c r="B8091" s="8"/>
    </row>
    <row r="8092" spans="1:2">
      <c r="A8092" s="7"/>
      <c r="B8092" s="8"/>
    </row>
    <row r="8093" spans="1:2">
      <c r="A8093" s="7"/>
      <c r="B8093" s="8"/>
    </row>
    <row r="8094" spans="1:2">
      <c r="A8094" s="7"/>
      <c r="B8094" s="8"/>
    </row>
    <row r="8095" spans="1:2">
      <c r="A8095" s="7"/>
      <c r="B8095" s="8"/>
    </row>
    <row r="8096" spans="1:2">
      <c r="A8096" s="7"/>
      <c r="B8096" s="8"/>
    </row>
    <row r="8097" spans="1:2">
      <c r="A8097" s="7"/>
      <c r="B8097" s="8"/>
    </row>
    <row r="8098" spans="1:2">
      <c r="A8098" s="7"/>
      <c r="B8098" s="8"/>
    </row>
    <row r="8099" spans="1:2">
      <c r="A8099" s="7"/>
      <c r="B8099" s="8"/>
    </row>
    <row r="8100" spans="1:2">
      <c r="A8100" s="7"/>
      <c r="B8100" s="8"/>
    </row>
    <row r="8101" spans="1:2">
      <c r="A8101" s="7"/>
      <c r="B8101" s="8"/>
    </row>
    <row r="8102" spans="1:2">
      <c r="A8102" s="7"/>
      <c r="B8102" s="8"/>
    </row>
    <row r="8103" spans="1:2">
      <c r="A8103" s="7"/>
      <c r="B8103" s="8"/>
    </row>
    <row r="8104" spans="1:2">
      <c r="A8104" s="7"/>
      <c r="B8104" s="8"/>
    </row>
    <row r="8105" spans="1:2">
      <c r="A8105" s="7"/>
      <c r="B8105" s="8"/>
    </row>
    <row r="8106" spans="1:2">
      <c r="A8106" s="7"/>
      <c r="B8106" s="8"/>
    </row>
    <row r="8107" spans="1:2">
      <c r="A8107" s="7"/>
      <c r="B8107" s="8"/>
    </row>
    <row r="8108" spans="1:2">
      <c r="A8108" s="7"/>
      <c r="B8108" s="8"/>
    </row>
    <row r="8109" spans="1:2">
      <c r="A8109" s="7"/>
      <c r="B8109" s="8"/>
    </row>
    <row r="8110" spans="1:2">
      <c r="A8110" s="7"/>
      <c r="B8110" s="8"/>
    </row>
    <row r="8111" spans="1:2">
      <c r="A8111" s="7"/>
      <c r="B8111" s="8"/>
    </row>
    <row r="8112" spans="1:2">
      <c r="A8112" s="7"/>
      <c r="B8112" s="8"/>
    </row>
    <row r="8113" spans="1:2">
      <c r="A8113" s="7"/>
      <c r="B8113" s="8"/>
    </row>
    <row r="8114" spans="1:2">
      <c r="A8114" s="7"/>
      <c r="B8114" s="8"/>
    </row>
    <row r="8115" spans="1:2">
      <c r="A8115" s="7"/>
      <c r="B8115" s="8"/>
    </row>
    <row r="8116" spans="1:2">
      <c r="A8116" s="7"/>
      <c r="B8116" s="8"/>
    </row>
    <row r="8117" spans="1:2">
      <c r="A8117" s="7"/>
      <c r="B8117" s="8"/>
    </row>
    <row r="8118" spans="1:2">
      <c r="A8118" s="7"/>
      <c r="B8118" s="8"/>
    </row>
    <row r="8119" spans="1:2">
      <c r="A8119" s="7"/>
      <c r="B8119" s="8"/>
    </row>
    <row r="8120" spans="1:2">
      <c r="A8120" s="7"/>
      <c r="B8120" s="8"/>
    </row>
    <row r="8121" spans="1:2">
      <c r="A8121" s="7"/>
      <c r="B8121" s="8"/>
    </row>
    <row r="8122" spans="1:2">
      <c r="A8122" s="7"/>
      <c r="B8122" s="8"/>
    </row>
    <row r="8123" spans="1:2">
      <c r="A8123" s="7"/>
      <c r="B8123" s="8"/>
    </row>
    <row r="8124" spans="1:2">
      <c r="A8124" s="7"/>
      <c r="B8124" s="8"/>
    </row>
    <row r="8125" spans="1:2">
      <c r="A8125" s="7"/>
      <c r="B8125" s="8"/>
    </row>
    <row r="8126" spans="1:2">
      <c r="A8126" s="7"/>
      <c r="B8126" s="8"/>
    </row>
    <row r="8127" spans="1:2">
      <c r="A8127" s="7"/>
      <c r="B8127" s="8"/>
    </row>
    <row r="8128" spans="1:2">
      <c r="A8128" s="7"/>
      <c r="B8128" s="8"/>
    </row>
    <row r="8129" spans="1:2">
      <c r="A8129" s="7"/>
      <c r="B8129" s="8"/>
    </row>
    <row r="8130" spans="1:2">
      <c r="A8130" s="7"/>
      <c r="B8130" s="8"/>
    </row>
    <row r="8131" spans="1:2">
      <c r="A8131" s="7"/>
      <c r="B8131" s="8"/>
    </row>
    <row r="8132" spans="1:2">
      <c r="A8132" s="7"/>
      <c r="B8132" s="8"/>
    </row>
    <row r="8133" spans="1:2">
      <c r="A8133" s="7"/>
      <c r="B8133" s="8"/>
    </row>
    <row r="8134" spans="1:2">
      <c r="A8134" s="7"/>
      <c r="B8134" s="8"/>
    </row>
    <row r="8135" spans="1:2">
      <c r="A8135" s="7"/>
      <c r="B8135" s="8"/>
    </row>
    <row r="8136" spans="1:2">
      <c r="A8136" s="7"/>
      <c r="B8136" s="8"/>
    </row>
    <row r="8137" spans="1:2">
      <c r="A8137" s="7"/>
      <c r="B8137" s="8"/>
    </row>
    <row r="8138" spans="1:2">
      <c r="A8138" s="7"/>
      <c r="B8138" s="8"/>
    </row>
    <row r="8139" spans="1:2">
      <c r="A8139" s="7"/>
      <c r="B8139" s="8"/>
    </row>
    <row r="8140" spans="1:2">
      <c r="A8140" s="7"/>
      <c r="B8140" s="8"/>
    </row>
    <row r="8141" spans="1:2">
      <c r="A8141" s="7"/>
      <c r="B8141" s="8"/>
    </row>
    <row r="8142" spans="1:2">
      <c r="A8142" s="7"/>
      <c r="B8142" s="8"/>
    </row>
    <row r="8143" spans="1:2">
      <c r="A8143" s="7"/>
      <c r="B8143" s="8"/>
    </row>
    <row r="8144" spans="1:2">
      <c r="A8144" s="7"/>
      <c r="B8144" s="8"/>
    </row>
    <row r="8145" spans="1:2">
      <c r="A8145" s="7"/>
      <c r="B8145" s="8"/>
    </row>
    <row r="8146" spans="1:2">
      <c r="A8146" s="7"/>
      <c r="B8146" s="8"/>
    </row>
    <row r="8147" spans="1:2">
      <c r="A8147" s="7"/>
      <c r="B8147" s="8"/>
    </row>
    <row r="8148" spans="1:2">
      <c r="A8148" s="7"/>
      <c r="B8148" s="8"/>
    </row>
    <row r="8149" spans="1:2">
      <c r="A8149" s="7"/>
      <c r="B8149" s="8"/>
    </row>
    <row r="8150" spans="1:2">
      <c r="A8150" s="7"/>
      <c r="B8150" s="8"/>
    </row>
    <row r="8151" spans="1:2">
      <c r="A8151" s="7"/>
      <c r="B8151" s="8"/>
    </row>
    <row r="8152" spans="1:2">
      <c r="A8152" s="7"/>
      <c r="B8152" s="8"/>
    </row>
    <row r="8153" spans="1:2">
      <c r="A8153" s="7"/>
      <c r="B8153" s="8"/>
    </row>
    <row r="8154" spans="1:2">
      <c r="A8154" s="7"/>
      <c r="B8154" s="8"/>
    </row>
    <row r="8155" spans="1:2">
      <c r="A8155" s="7"/>
      <c r="B8155" s="8"/>
    </row>
    <row r="8156" spans="1:2">
      <c r="A8156" s="7"/>
      <c r="B8156" s="8"/>
    </row>
    <row r="8157" spans="1:2">
      <c r="A8157" s="7"/>
      <c r="B8157" s="8"/>
    </row>
    <row r="8158" spans="1:2">
      <c r="A8158" s="7"/>
      <c r="B8158" s="8"/>
    </row>
    <row r="8159" spans="1:2">
      <c r="A8159" s="7"/>
      <c r="B8159" s="8"/>
    </row>
    <row r="8160" spans="1:2">
      <c r="A8160" s="7"/>
      <c r="B8160" s="8"/>
    </row>
    <row r="8161" spans="1:2">
      <c r="A8161" s="7"/>
      <c r="B8161" s="8"/>
    </row>
    <row r="8162" spans="1:2">
      <c r="A8162" s="7"/>
      <c r="B8162" s="8"/>
    </row>
    <row r="8163" spans="1:2">
      <c r="A8163" s="7"/>
      <c r="B8163" s="8"/>
    </row>
    <row r="8164" spans="1:2">
      <c r="A8164" s="7"/>
      <c r="B8164" s="8"/>
    </row>
    <row r="8165" spans="1:2">
      <c r="A8165" s="7"/>
      <c r="B8165" s="8"/>
    </row>
    <row r="8166" spans="1:2">
      <c r="A8166" s="7"/>
      <c r="B8166" s="8"/>
    </row>
    <row r="8167" spans="1:2">
      <c r="A8167" s="7"/>
      <c r="B8167" s="8"/>
    </row>
    <row r="8168" spans="1:2">
      <c r="A8168" s="7"/>
      <c r="B8168" s="8"/>
    </row>
    <row r="8169" spans="1:2">
      <c r="A8169" s="7"/>
      <c r="B8169" s="8"/>
    </row>
    <row r="8170" spans="1:2">
      <c r="A8170" s="7"/>
      <c r="B8170" s="8"/>
    </row>
    <row r="8171" spans="1:2">
      <c r="A8171" s="7"/>
      <c r="B8171" s="8"/>
    </row>
    <row r="8172" spans="1:2">
      <c r="A8172" s="7"/>
      <c r="B8172" s="8"/>
    </row>
    <row r="8173" spans="1:2">
      <c r="A8173" s="7"/>
      <c r="B8173" s="8"/>
    </row>
    <row r="8174" spans="1:2">
      <c r="A8174" s="7"/>
      <c r="B8174" s="8"/>
    </row>
    <row r="8175" spans="1:2">
      <c r="A8175" s="7"/>
      <c r="B8175" s="8"/>
    </row>
    <row r="8176" spans="1:2">
      <c r="A8176" s="7"/>
      <c r="B8176" s="8"/>
    </row>
    <row r="8177" spans="1:2">
      <c r="A8177" s="7"/>
      <c r="B8177" s="8"/>
    </row>
    <row r="8178" spans="1:2">
      <c r="A8178" s="7"/>
      <c r="B8178" s="8"/>
    </row>
    <row r="8179" spans="1:2">
      <c r="A8179" s="7"/>
      <c r="B8179" s="8"/>
    </row>
    <row r="8180" spans="1:2">
      <c r="A8180" s="7"/>
      <c r="B8180" s="8"/>
    </row>
    <row r="8181" spans="1:2">
      <c r="A8181" s="7"/>
      <c r="B8181" s="8"/>
    </row>
    <row r="8182" spans="1:2">
      <c r="A8182" s="7"/>
      <c r="B8182" s="8"/>
    </row>
    <row r="8183" spans="1:2">
      <c r="A8183" s="7"/>
      <c r="B8183" s="8"/>
    </row>
    <row r="8184" spans="1:2">
      <c r="A8184" s="7"/>
      <c r="B8184" s="8"/>
    </row>
    <row r="8185" spans="1:2">
      <c r="A8185" s="7"/>
      <c r="B8185" s="8"/>
    </row>
    <row r="8186" spans="1:2">
      <c r="A8186" s="7"/>
      <c r="B8186" s="8"/>
    </row>
    <row r="8187" spans="1:2">
      <c r="A8187" s="7"/>
      <c r="B8187" s="8"/>
    </row>
    <row r="8188" spans="1:2">
      <c r="A8188" s="7"/>
      <c r="B8188" s="8"/>
    </row>
    <row r="8189" spans="1:2">
      <c r="A8189" s="7"/>
      <c r="B8189" s="8"/>
    </row>
    <row r="8190" spans="1:2">
      <c r="A8190" s="7"/>
      <c r="B8190" s="8"/>
    </row>
    <row r="8191" spans="1:2">
      <c r="A8191" s="7"/>
      <c r="B8191" s="8"/>
    </row>
    <row r="8192" spans="1:2">
      <c r="A8192" s="7"/>
      <c r="B8192" s="8"/>
    </row>
    <row r="8193" spans="1:2">
      <c r="A8193" s="7"/>
      <c r="B8193" s="8"/>
    </row>
    <row r="8194" spans="1:2">
      <c r="A8194" s="7"/>
      <c r="B8194" s="8"/>
    </row>
    <row r="8195" spans="1:2">
      <c r="A8195" s="7"/>
      <c r="B8195" s="8"/>
    </row>
    <row r="8196" spans="1:2">
      <c r="A8196" s="7"/>
      <c r="B8196" s="8"/>
    </row>
    <row r="8197" spans="1:2">
      <c r="A8197" s="7"/>
      <c r="B8197" s="8"/>
    </row>
    <row r="8198" spans="1:2">
      <c r="A8198" s="7"/>
      <c r="B8198" s="8"/>
    </row>
    <row r="8199" spans="1:2">
      <c r="A8199" s="7"/>
      <c r="B8199" s="8"/>
    </row>
    <row r="8200" spans="1:2">
      <c r="A8200" s="7"/>
      <c r="B8200" s="8"/>
    </row>
    <row r="8201" spans="1:2">
      <c r="A8201" s="7"/>
      <c r="B8201" s="8"/>
    </row>
    <row r="8202" spans="1:2">
      <c r="A8202" s="7"/>
      <c r="B8202" s="8"/>
    </row>
    <row r="8203" spans="1:2">
      <c r="A8203" s="7"/>
      <c r="B8203" s="8"/>
    </row>
    <row r="8204" spans="1:2">
      <c r="A8204" s="7"/>
      <c r="B8204" s="8"/>
    </row>
    <row r="8205" spans="1:2">
      <c r="A8205" s="7"/>
      <c r="B8205" s="8"/>
    </row>
    <row r="8206" spans="1:2">
      <c r="A8206" s="7"/>
      <c r="B8206" s="8"/>
    </row>
    <row r="8207" spans="1:2">
      <c r="A8207" s="7"/>
      <c r="B8207" s="8"/>
    </row>
    <row r="8208" spans="1:2">
      <c r="A8208" s="7"/>
      <c r="B8208" s="8"/>
    </row>
    <row r="8209" spans="1:2">
      <c r="A8209" s="7"/>
      <c r="B8209" s="8"/>
    </row>
    <row r="8210" spans="1:2">
      <c r="A8210" s="7"/>
      <c r="B8210" s="8"/>
    </row>
    <row r="8211" spans="1:2">
      <c r="A8211" s="7"/>
      <c r="B8211" s="8"/>
    </row>
    <row r="8212" spans="1:2">
      <c r="A8212" s="7"/>
      <c r="B8212" s="8"/>
    </row>
    <row r="8213" spans="1:2">
      <c r="A8213" s="7"/>
      <c r="B8213" s="8"/>
    </row>
    <row r="8214" spans="1:2">
      <c r="A8214" s="7"/>
      <c r="B8214" s="8"/>
    </row>
    <row r="8215" spans="1:2">
      <c r="A8215" s="7"/>
      <c r="B8215" s="8"/>
    </row>
    <row r="8216" spans="1:2">
      <c r="A8216" s="7"/>
      <c r="B8216" s="8"/>
    </row>
    <row r="8217" spans="1:2">
      <c r="A8217" s="7"/>
      <c r="B8217" s="8"/>
    </row>
    <row r="8218" spans="1:2">
      <c r="A8218" s="7"/>
      <c r="B8218" s="8"/>
    </row>
    <row r="8219" spans="1:2">
      <c r="A8219" s="7"/>
      <c r="B8219" s="8"/>
    </row>
    <row r="8220" spans="1:2">
      <c r="A8220" s="7"/>
      <c r="B8220" s="8"/>
    </row>
    <row r="8221" spans="1:2">
      <c r="A8221" s="7"/>
      <c r="B8221" s="8"/>
    </row>
    <row r="8222" spans="1:2">
      <c r="A8222" s="7"/>
      <c r="B8222" s="8"/>
    </row>
    <row r="8223" spans="1:2">
      <c r="A8223" s="7"/>
      <c r="B8223" s="8"/>
    </row>
    <row r="8224" spans="1:2">
      <c r="A8224" s="7"/>
      <c r="B8224" s="8"/>
    </row>
    <row r="8225" spans="1:2">
      <c r="A8225" s="7"/>
      <c r="B8225" s="8"/>
    </row>
    <row r="8226" spans="1:2">
      <c r="A8226" s="7"/>
      <c r="B8226" s="8"/>
    </row>
    <row r="8227" spans="1:2">
      <c r="A8227" s="7"/>
      <c r="B8227" s="8"/>
    </row>
    <row r="8228" spans="1:2">
      <c r="A8228" s="7"/>
      <c r="B8228" s="8"/>
    </row>
    <row r="8229" spans="1:2">
      <c r="A8229" s="7"/>
      <c r="B8229" s="8"/>
    </row>
    <row r="8230" spans="1:2">
      <c r="A8230" s="7"/>
      <c r="B8230" s="8"/>
    </row>
    <row r="8231" spans="1:2">
      <c r="A8231" s="7"/>
      <c r="B8231" s="8"/>
    </row>
    <row r="8232" spans="1:2">
      <c r="A8232" s="7"/>
      <c r="B8232" s="8"/>
    </row>
    <row r="8233" spans="1:2">
      <c r="A8233" s="7"/>
      <c r="B8233" s="8"/>
    </row>
    <row r="8234" spans="1:2">
      <c r="A8234" s="7"/>
      <c r="B8234" s="8"/>
    </row>
    <row r="8235" spans="1:2">
      <c r="A8235" s="7"/>
      <c r="B8235" s="8"/>
    </row>
    <row r="8236" spans="1:2">
      <c r="A8236" s="7"/>
      <c r="B8236" s="8"/>
    </row>
    <row r="8237" spans="1:2">
      <c r="A8237" s="7"/>
      <c r="B8237" s="8"/>
    </row>
    <row r="8238" spans="1:2">
      <c r="A8238" s="7"/>
      <c r="B8238" s="8"/>
    </row>
    <row r="8239" spans="1:2">
      <c r="A8239" s="7"/>
      <c r="B8239" s="8"/>
    </row>
    <row r="8240" spans="1:2">
      <c r="A8240" s="7"/>
      <c r="B8240" s="8"/>
    </row>
    <row r="8241" spans="1:2">
      <c r="A8241" s="7"/>
      <c r="B8241" s="8"/>
    </row>
    <row r="8242" spans="1:2">
      <c r="A8242" s="7"/>
      <c r="B8242" s="8"/>
    </row>
    <row r="8243" spans="1:2">
      <c r="A8243" s="7"/>
      <c r="B8243" s="8"/>
    </row>
    <row r="8244" spans="1:2">
      <c r="A8244" s="7"/>
      <c r="B8244" s="8"/>
    </row>
    <row r="8245" spans="1:2">
      <c r="A8245" s="7"/>
      <c r="B8245" s="8"/>
    </row>
    <row r="8246" spans="1:2">
      <c r="A8246" s="7"/>
      <c r="B8246" s="8"/>
    </row>
    <row r="8247" spans="1:2">
      <c r="A8247" s="7"/>
      <c r="B8247" s="8"/>
    </row>
    <row r="8248" spans="1:2">
      <c r="A8248" s="7"/>
      <c r="B8248" s="8"/>
    </row>
    <row r="8249" spans="1:2">
      <c r="A8249" s="7"/>
      <c r="B8249" s="8"/>
    </row>
    <row r="8250" spans="1:2">
      <c r="A8250" s="7"/>
      <c r="B8250" s="8"/>
    </row>
    <row r="8251" spans="1:2">
      <c r="A8251" s="7"/>
      <c r="B8251" s="8"/>
    </row>
    <row r="8252" spans="1:2">
      <c r="A8252" s="7"/>
      <c r="B8252" s="8"/>
    </row>
    <row r="8253" spans="1:2">
      <c r="A8253" s="7"/>
      <c r="B8253" s="8"/>
    </row>
    <row r="8254" spans="1:2">
      <c r="A8254" s="7"/>
      <c r="B8254" s="8"/>
    </row>
    <row r="8255" spans="1:2">
      <c r="A8255" s="7"/>
      <c r="B8255" s="8"/>
    </row>
    <row r="8256" spans="1:2">
      <c r="A8256" s="7"/>
      <c r="B8256" s="8"/>
    </row>
    <row r="8257" spans="1:2">
      <c r="A8257" s="7"/>
      <c r="B8257" s="8"/>
    </row>
    <row r="8258" spans="1:2">
      <c r="A8258" s="7"/>
      <c r="B8258" s="8"/>
    </row>
    <row r="8259" spans="1:2">
      <c r="A8259" s="7"/>
      <c r="B8259" s="8"/>
    </row>
    <row r="8260" spans="1:2">
      <c r="A8260" s="7"/>
      <c r="B8260" s="8"/>
    </row>
    <row r="8261" spans="1:2">
      <c r="A8261" s="7"/>
      <c r="B8261" s="8"/>
    </row>
    <row r="8262" spans="1:2">
      <c r="A8262" s="7"/>
      <c r="B8262" s="8"/>
    </row>
    <row r="8263" spans="1:2">
      <c r="A8263" s="7"/>
      <c r="B8263" s="8"/>
    </row>
    <row r="8264" spans="1:2">
      <c r="A8264" s="7"/>
      <c r="B8264" s="8"/>
    </row>
    <row r="8265" spans="1:2">
      <c r="A8265" s="7"/>
      <c r="B8265" s="8"/>
    </row>
    <row r="8266" spans="1:2">
      <c r="A8266" s="7"/>
      <c r="B8266" s="8"/>
    </row>
    <row r="8267" spans="1:2">
      <c r="A8267" s="7"/>
      <c r="B8267" s="8"/>
    </row>
    <row r="8268" spans="1:2">
      <c r="A8268" s="7"/>
      <c r="B8268" s="8"/>
    </row>
    <row r="8269" spans="1:2">
      <c r="A8269" s="7"/>
      <c r="B8269" s="8"/>
    </row>
    <row r="8270" spans="1:2">
      <c r="A8270" s="7"/>
      <c r="B8270" s="8"/>
    </row>
    <row r="8271" spans="1:2">
      <c r="A8271" s="7"/>
      <c r="B8271" s="8"/>
    </row>
    <row r="8272" spans="1:2">
      <c r="A8272" s="7"/>
      <c r="B8272" s="8"/>
    </row>
    <row r="8273" spans="1:2">
      <c r="A8273" s="7"/>
      <c r="B8273" s="8"/>
    </row>
    <row r="8274" spans="1:2">
      <c r="A8274" s="7"/>
      <c r="B8274" s="8"/>
    </row>
    <row r="8275" spans="1:2">
      <c r="A8275" s="7"/>
      <c r="B8275" s="8"/>
    </row>
    <row r="8276" spans="1:2">
      <c r="A8276" s="7"/>
      <c r="B8276" s="8"/>
    </row>
    <row r="8277" spans="1:2">
      <c r="A8277" s="7"/>
      <c r="B8277" s="8"/>
    </row>
    <row r="8278" spans="1:2">
      <c r="A8278" s="7"/>
      <c r="B8278" s="8"/>
    </row>
    <row r="8279" spans="1:2">
      <c r="A8279" s="7"/>
      <c r="B8279" s="8"/>
    </row>
    <row r="8280" spans="1:2">
      <c r="A8280" s="7"/>
      <c r="B8280" s="8"/>
    </row>
    <row r="8281" spans="1:2">
      <c r="A8281" s="7"/>
      <c r="B8281" s="8"/>
    </row>
    <row r="8282" spans="1:2">
      <c r="A8282" s="7"/>
      <c r="B8282" s="8"/>
    </row>
    <row r="8283" spans="1:2">
      <c r="A8283" s="7"/>
      <c r="B8283" s="8"/>
    </row>
    <row r="8284" spans="1:2">
      <c r="A8284" s="7"/>
      <c r="B8284" s="8"/>
    </row>
    <row r="8285" spans="1:2">
      <c r="A8285" s="7"/>
      <c r="B8285" s="8"/>
    </row>
    <row r="8286" spans="1:2">
      <c r="A8286" s="7"/>
      <c r="B8286" s="8"/>
    </row>
    <row r="8287" spans="1:2">
      <c r="A8287" s="7"/>
      <c r="B8287" s="8"/>
    </row>
    <row r="8288" spans="1:2">
      <c r="A8288" s="7"/>
      <c r="B8288" s="8"/>
    </row>
    <row r="8289" spans="1:2">
      <c r="A8289" s="7"/>
      <c r="B8289" s="8"/>
    </row>
    <row r="8290" spans="1:2">
      <c r="A8290" s="7"/>
      <c r="B8290" s="8"/>
    </row>
    <row r="8291" spans="1:2">
      <c r="A8291" s="7"/>
      <c r="B8291" s="8"/>
    </row>
    <row r="8292" spans="1:2">
      <c r="A8292" s="7"/>
      <c r="B8292" s="8"/>
    </row>
    <row r="8293" spans="1:2">
      <c r="A8293" s="7"/>
      <c r="B8293" s="8"/>
    </row>
    <row r="8294" spans="1:2">
      <c r="A8294" s="7"/>
      <c r="B8294" s="8"/>
    </row>
    <row r="8295" spans="1:2">
      <c r="A8295" s="7"/>
      <c r="B8295" s="8"/>
    </row>
    <row r="8296" spans="1:2">
      <c r="A8296" s="7"/>
      <c r="B8296" s="8"/>
    </row>
    <row r="8297" spans="1:2">
      <c r="A8297" s="7"/>
      <c r="B8297" s="8"/>
    </row>
    <row r="8298" spans="1:2">
      <c r="A8298" s="7"/>
      <c r="B8298" s="8"/>
    </row>
    <row r="8299" spans="1:2">
      <c r="A8299" s="7"/>
      <c r="B8299" s="8"/>
    </row>
    <row r="8300" spans="1:2">
      <c r="A8300" s="7"/>
      <c r="B8300" s="8"/>
    </row>
    <row r="8301" spans="1:2">
      <c r="A8301" s="7"/>
      <c r="B8301" s="8"/>
    </row>
    <row r="8302" spans="1:2">
      <c r="A8302" s="7"/>
      <c r="B8302" s="8"/>
    </row>
    <row r="8303" spans="1:2">
      <c r="A8303" s="7"/>
      <c r="B8303" s="8"/>
    </row>
    <row r="8304" spans="1:2">
      <c r="A8304" s="7"/>
      <c r="B8304" s="8"/>
    </row>
    <row r="8305" spans="1:2">
      <c r="A8305" s="7"/>
      <c r="B8305" s="8"/>
    </row>
    <row r="8306" spans="1:2">
      <c r="A8306" s="7"/>
      <c r="B8306" s="8"/>
    </row>
    <row r="8307" spans="1:2">
      <c r="A8307" s="7"/>
      <c r="B8307" s="8"/>
    </row>
    <row r="8308" spans="1:2">
      <c r="A8308" s="7"/>
      <c r="B8308" s="8"/>
    </row>
    <row r="8309" spans="1:2">
      <c r="A8309" s="7"/>
      <c r="B8309" s="8"/>
    </row>
    <row r="8310" spans="1:2">
      <c r="A8310" s="7"/>
      <c r="B8310" s="8"/>
    </row>
    <row r="8311" spans="1:2">
      <c r="A8311" s="7"/>
      <c r="B8311" s="8"/>
    </row>
    <row r="8312" spans="1:2">
      <c r="A8312" s="7"/>
      <c r="B8312" s="8"/>
    </row>
    <row r="8313" spans="1:2">
      <c r="A8313" s="7"/>
      <c r="B8313" s="8"/>
    </row>
    <row r="8314" spans="1:2">
      <c r="A8314" s="7"/>
      <c r="B8314" s="8"/>
    </row>
    <row r="8315" spans="1:2">
      <c r="A8315" s="7"/>
      <c r="B8315" s="8"/>
    </row>
    <row r="8316" spans="1:2">
      <c r="A8316" s="7"/>
      <c r="B8316" s="8"/>
    </row>
    <row r="8317" spans="1:2">
      <c r="A8317" s="7"/>
      <c r="B8317" s="8"/>
    </row>
    <row r="8318" spans="1:2">
      <c r="A8318" s="7"/>
      <c r="B8318" s="8"/>
    </row>
    <row r="8319" spans="1:2">
      <c r="A8319" s="7"/>
      <c r="B8319" s="8"/>
    </row>
    <row r="8320" spans="1:2">
      <c r="A8320" s="7"/>
      <c r="B8320" s="8"/>
    </row>
    <row r="8321" spans="1:2">
      <c r="A8321" s="7"/>
      <c r="B8321" s="8"/>
    </row>
    <row r="8322" spans="1:2">
      <c r="A8322" s="7"/>
      <c r="B8322" s="8"/>
    </row>
    <row r="8323" spans="1:2">
      <c r="A8323" s="7"/>
      <c r="B8323" s="8"/>
    </row>
    <row r="8324" spans="1:2">
      <c r="A8324" s="7"/>
      <c r="B8324" s="8"/>
    </row>
    <row r="8325" spans="1:2">
      <c r="A8325" s="7"/>
      <c r="B8325" s="8"/>
    </row>
    <row r="8326" spans="1:2">
      <c r="A8326" s="7"/>
      <c r="B8326" s="8"/>
    </row>
    <row r="8327" spans="1:2">
      <c r="A8327" s="7"/>
      <c r="B8327" s="8"/>
    </row>
    <row r="8328" spans="1:2">
      <c r="A8328" s="7"/>
      <c r="B8328" s="8"/>
    </row>
    <row r="8329" spans="1:2">
      <c r="A8329" s="7"/>
      <c r="B8329" s="8"/>
    </row>
    <row r="8330" spans="1:2">
      <c r="A8330" s="7"/>
      <c r="B8330" s="8"/>
    </row>
    <row r="8331" spans="1:2">
      <c r="A8331" s="7"/>
      <c r="B8331" s="8"/>
    </row>
    <row r="8332" spans="1:2">
      <c r="A8332" s="7"/>
      <c r="B8332" s="8"/>
    </row>
    <row r="8333" spans="1:2">
      <c r="A8333" s="7"/>
      <c r="B8333" s="8"/>
    </row>
    <row r="8334" spans="1:2">
      <c r="A8334" s="7"/>
      <c r="B8334" s="8"/>
    </row>
    <row r="8335" spans="1:2">
      <c r="A8335" s="7"/>
      <c r="B8335" s="8"/>
    </row>
    <row r="8336" spans="1:2">
      <c r="A8336" s="7"/>
      <c r="B8336" s="8"/>
    </row>
    <row r="8337" spans="1:2">
      <c r="A8337" s="7"/>
      <c r="B8337" s="8"/>
    </row>
    <row r="8338" spans="1:2">
      <c r="A8338" s="7"/>
      <c r="B8338" s="8"/>
    </row>
    <row r="8339" spans="1:2">
      <c r="A8339" s="7"/>
      <c r="B8339" s="8"/>
    </row>
    <row r="8340" spans="1:2">
      <c r="A8340" s="7"/>
      <c r="B8340" s="8"/>
    </row>
    <row r="8341" spans="1:2">
      <c r="A8341" s="7"/>
      <c r="B8341" s="8"/>
    </row>
    <row r="8342" spans="1:2">
      <c r="A8342" s="7"/>
      <c r="B8342" s="8"/>
    </row>
    <row r="8343" spans="1:2">
      <c r="A8343" s="7"/>
      <c r="B8343" s="8"/>
    </row>
    <row r="8344" spans="1:2">
      <c r="A8344" s="7"/>
      <c r="B8344" s="8"/>
    </row>
    <row r="8345" spans="1:2">
      <c r="A8345" s="7"/>
      <c r="B8345" s="8"/>
    </row>
    <row r="8346" spans="1:2">
      <c r="A8346" s="7"/>
      <c r="B8346" s="8"/>
    </row>
    <row r="8347" spans="1:2">
      <c r="A8347" s="7"/>
      <c r="B8347" s="8"/>
    </row>
    <row r="8348" spans="1:2">
      <c r="A8348" s="7"/>
      <c r="B8348" s="8"/>
    </row>
    <row r="8349" spans="1:2">
      <c r="A8349" s="7"/>
      <c r="B8349" s="8"/>
    </row>
    <row r="8350" spans="1:2">
      <c r="A8350" s="7"/>
      <c r="B8350" s="8"/>
    </row>
    <row r="8351" spans="1:2">
      <c r="A8351" s="7"/>
      <c r="B8351" s="8"/>
    </row>
    <row r="8352" spans="1:2">
      <c r="A8352" s="7"/>
      <c r="B8352" s="8"/>
    </row>
    <row r="8353" spans="1:2">
      <c r="A8353" s="7"/>
      <c r="B8353" s="8"/>
    </row>
    <row r="8354" spans="1:2">
      <c r="A8354" s="7"/>
      <c r="B8354" s="8"/>
    </row>
    <row r="8355" spans="1:2">
      <c r="A8355" s="7"/>
      <c r="B8355" s="8"/>
    </row>
    <row r="8356" spans="1:2">
      <c r="A8356" s="7"/>
      <c r="B8356" s="8"/>
    </row>
    <row r="8357" spans="1:2">
      <c r="A8357" s="7"/>
      <c r="B8357" s="8"/>
    </row>
    <row r="8358" spans="1:2">
      <c r="A8358" s="7"/>
      <c r="B8358" s="8"/>
    </row>
    <row r="8359" spans="1:2">
      <c r="A8359" s="7"/>
      <c r="B8359" s="8"/>
    </row>
    <row r="8360" spans="1:2">
      <c r="A8360" s="7"/>
      <c r="B8360" s="8"/>
    </row>
    <row r="8361" spans="1:2">
      <c r="A8361" s="7"/>
      <c r="B8361" s="8"/>
    </row>
    <row r="8362" spans="1:2">
      <c r="A8362" s="7"/>
      <c r="B8362" s="8"/>
    </row>
    <row r="8363" spans="1:2">
      <c r="A8363" s="7"/>
      <c r="B8363" s="8"/>
    </row>
    <row r="8364" spans="1:2">
      <c r="A8364" s="7"/>
      <c r="B8364" s="8"/>
    </row>
    <row r="8365" spans="1:2">
      <c r="A8365" s="7"/>
      <c r="B8365" s="8"/>
    </row>
    <row r="8366" spans="1:2">
      <c r="A8366" s="7"/>
      <c r="B8366" s="8"/>
    </row>
    <row r="8367" spans="1:2">
      <c r="A8367" s="7"/>
      <c r="B8367" s="8"/>
    </row>
    <row r="8368" spans="1:2">
      <c r="A8368" s="7"/>
      <c r="B8368" s="8"/>
    </row>
    <row r="8369" spans="1:2">
      <c r="A8369" s="7"/>
      <c r="B8369" s="8"/>
    </row>
    <row r="8370" spans="1:2">
      <c r="A8370" s="7"/>
      <c r="B8370" s="8"/>
    </row>
    <row r="8371" spans="1:2">
      <c r="A8371" s="7"/>
      <c r="B8371" s="8"/>
    </row>
    <row r="8372" spans="1:2">
      <c r="A8372" s="7"/>
      <c r="B8372" s="8"/>
    </row>
    <row r="8373" spans="1:2">
      <c r="A8373" s="7"/>
      <c r="B8373" s="8"/>
    </row>
    <row r="8374" spans="1:2">
      <c r="A8374" s="7"/>
      <c r="B8374" s="8"/>
    </row>
    <row r="8375" spans="1:2">
      <c r="A8375" s="7"/>
      <c r="B8375" s="8"/>
    </row>
    <row r="8376" spans="1:2">
      <c r="A8376" s="7"/>
      <c r="B8376" s="8"/>
    </row>
    <row r="8377" spans="1:2">
      <c r="A8377" s="7"/>
      <c r="B8377" s="8"/>
    </row>
    <row r="8378" spans="1:2">
      <c r="A8378" s="7"/>
      <c r="B8378" s="8"/>
    </row>
    <row r="8379" spans="1:2">
      <c r="A8379" s="7"/>
      <c r="B8379" s="8"/>
    </row>
    <row r="8380" spans="1:2">
      <c r="A8380" s="7"/>
      <c r="B8380" s="8"/>
    </row>
    <row r="8381" spans="1:2">
      <c r="A8381" s="7"/>
      <c r="B8381" s="8"/>
    </row>
    <row r="8382" spans="1:2">
      <c r="A8382" s="7"/>
      <c r="B8382" s="8"/>
    </row>
    <row r="8383" spans="1:2">
      <c r="A8383" s="7"/>
      <c r="B8383" s="8"/>
    </row>
    <row r="8384" spans="1:2">
      <c r="A8384" s="7"/>
      <c r="B8384" s="8"/>
    </row>
    <row r="8385" spans="1:2">
      <c r="A8385" s="7"/>
      <c r="B8385" s="8"/>
    </row>
    <row r="8386" spans="1:2">
      <c r="A8386" s="7"/>
      <c r="B8386" s="8"/>
    </row>
    <row r="8387" spans="1:2">
      <c r="A8387" s="7"/>
      <c r="B8387" s="8"/>
    </row>
    <row r="8388" spans="1:2">
      <c r="A8388" s="7"/>
      <c r="B8388" s="8"/>
    </row>
    <row r="8389" spans="1:2">
      <c r="A8389" s="7"/>
      <c r="B8389" s="8"/>
    </row>
    <row r="8390" spans="1:2">
      <c r="A8390" s="7"/>
      <c r="B8390" s="8"/>
    </row>
    <row r="8391" spans="1:2">
      <c r="A8391" s="7"/>
      <c r="B8391" s="8"/>
    </row>
    <row r="8392" spans="1:2">
      <c r="A8392" s="7"/>
      <c r="B8392" s="8"/>
    </row>
    <row r="8393" spans="1:2">
      <c r="A8393" s="7"/>
      <c r="B8393" s="8"/>
    </row>
    <row r="8394" spans="1:2">
      <c r="A8394" s="7"/>
      <c r="B8394" s="8"/>
    </row>
    <row r="8395" spans="1:2">
      <c r="A8395" s="7"/>
      <c r="B8395" s="8"/>
    </row>
    <row r="8396" spans="1:2">
      <c r="A8396" s="7"/>
      <c r="B8396" s="8"/>
    </row>
    <row r="8397" spans="1:2">
      <c r="A8397" s="7"/>
      <c r="B8397" s="8"/>
    </row>
    <row r="8398" spans="1:2">
      <c r="A8398" s="7"/>
      <c r="B8398" s="8"/>
    </row>
    <row r="8399" spans="1:2">
      <c r="A8399" s="7"/>
      <c r="B8399" s="8"/>
    </row>
    <row r="8400" spans="1:2">
      <c r="A8400" s="7"/>
      <c r="B8400" s="8"/>
    </row>
    <row r="8401" spans="1:2">
      <c r="A8401" s="7"/>
      <c r="B8401" s="8"/>
    </row>
    <row r="8402" spans="1:2">
      <c r="A8402" s="7"/>
      <c r="B8402" s="8"/>
    </row>
    <row r="8403" spans="1:2">
      <c r="A8403" s="7"/>
      <c r="B8403" s="8"/>
    </row>
    <row r="8404" spans="1:2">
      <c r="A8404" s="7"/>
      <c r="B8404" s="8"/>
    </row>
    <row r="8405" spans="1:2">
      <c r="A8405" s="7"/>
      <c r="B8405" s="8"/>
    </row>
    <row r="8406" spans="1:2">
      <c r="A8406" s="7"/>
      <c r="B8406" s="8"/>
    </row>
    <row r="8407" spans="1:2">
      <c r="A8407" s="7"/>
      <c r="B8407" s="8"/>
    </row>
    <row r="8408" spans="1:2">
      <c r="A8408" s="7"/>
      <c r="B8408" s="8"/>
    </row>
    <row r="8409" spans="1:2">
      <c r="A8409" s="7"/>
      <c r="B8409" s="8"/>
    </row>
    <row r="8410" spans="1:2">
      <c r="A8410" s="7"/>
      <c r="B8410" s="8"/>
    </row>
    <row r="8411" spans="1:2">
      <c r="A8411" s="7"/>
      <c r="B8411" s="8"/>
    </row>
    <row r="8412" spans="1:2">
      <c r="A8412" s="7"/>
      <c r="B8412" s="8"/>
    </row>
    <row r="8413" spans="1:2">
      <c r="A8413" s="7"/>
      <c r="B8413" s="8"/>
    </row>
    <row r="8414" spans="1:2">
      <c r="A8414" s="7"/>
      <c r="B8414" s="8"/>
    </row>
    <row r="8415" spans="1:2">
      <c r="A8415" s="7"/>
      <c r="B8415" s="8"/>
    </row>
    <row r="8416" spans="1:2">
      <c r="A8416" s="7"/>
      <c r="B8416" s="8"/>
    </row>
    <row r="8417" spans="1:2">
      <c r="A8417" s="7"/>
      <c r="B8417" s="8"/>
    </row>
    <row r="8418" spans="1:2">
      <c r="A8418" s="7"/>
      <c r="B8418" s="8"/>
    </row>
    <row r="8419" spans="1:2">
      <c r="A8419" s="7"/>
      <c r="B8419" s="8"/>
    </row>
    <row r="8420" spans="1:2">
      <c r="A8420" s="7"/>
      <c r="B8420" s="8"/>
    </row>
    <row r="8421" spans="1:2">
      <c r="A8421" s="7"/>
      <c r="B8421" s="8"/>
    </row>
    <row r="8422" spans="1:2">
      <c r="A8422" s="7"/>
      <c r="B8422" s="8"/>
    </row>
    <row r="8423" spans="1:2">
      <c r="A8423" s="7"/>
      <c r="B8423" s="8"/>
    </row>
    <row r="8424" spans="1:2">
      <c r="A8424" s="7"/>
      <c r="B8424" s="8"/>
    </row>
    <row r="8425" spans="1:2">
      <c r="A8425" s="7"/>
      <c r="B8425" s="8"/>
    </row>
    <row r="8426" spans="1:2">
      <c r="A8426" s="7"/>
      <c r="B8426" s="8"/>
    </row>
    <row r="8427" spans="1:2">
      <c r="A8427" s="7"/>
      <c r="B8427" s="8"/>
    </row>
    <row r="8428" spans="1:2">
      <c r="A8428" s="7"/>
      <c r="B8428" s="8"/>
    </row>
    <row r="8429" spans="1:2">
      <c r="A8429" s="7"/>
      <c r="B8429" s="8"/>
    </row>
    <row r="8430" spans="1:2">
      <c r="A8430" s="7"/>
      <c r="B8430" s="8"/>
    </row>
    <row r="8431" spans="1:2">
      <c r="A8431" s="7"/>
      <c r="B8431" s="8"/>
    </row>
    <row r="8432" spans="1:2">
      <c r="A8432" s="7"/>
      <c r="B8432" s="8"/>
    </row>
    <row r="8433" spans="1:2">
      <c r="A8433" s="7"/>
      <c r="B8433" s="8"/>
    </row>
    <row r="8434" spans="1:2">
      <c r="A8434" s="7"/>
      <c r="B8434" s="8"/>
    </row>
    <row r="8435" spans="1:2">
      <c r="A8435" s="7"/>
      <c r="B8435" s="8"/>
    </row>
    <row r="8436" spans="1:2">
      <c r="A8436" s="7"/>
      <c r="B8436" s="8"/>
    </row>
    <row r="8437" spans="1:2">
      <c r="A8437" s="7"/>
      <c r="B8437" s="8"/>
    </row>
    <row r="8438" spans="1:2">
      <c r="A8438" s="7"/>
      <c r="B8438" s="8"/>
    </row>
    <row r="8439" spans="1:2">
      <c r="A8439" s="7"/>
      <c r="B8439" s="8"/>
    </row>
    <row r="8440" spans="1:2">
      <c r="A8440" s="7"/>
      <c r="B8440" s="8"/>
    </row>
    <row r="8441" spans="1:2">
      <c r="A8441" s="7"/>
      <c r="B8441" s="8"/>
    </row>
    <row r="8442" spans="1:2">
      <c r="A8442" s="7"/>
      <c r="B8442" s="8"/>
    </row>
    <row r="8443" spans="1:2">
      <c r="A8443" s="7"/>
      <c r="B8443" s="8"/>
    </row>
    <row r="8444" spans="1:2">
      <c r="A8444" s="7"/>
      <c r="B8444" s="8"/>
    </row>
    <row r="8445" spans="1:2">
      <c r="A8445" s="7"/>
      <c r="B8445" s="8"/>
    </row>
    <row r="8446" spans="1:2">
      <c r="A8446" s="7"/>
      <c r="B8446" s="8"/>
    </row>
    <row r="8447" spans="1:2">
      <c r="A8447" s="7"/>
      <c r="B8447" s="8"/>
    </row>
    <row r="8448" spans="1:2">
      <c r="A8448" s="7"/>
      <c r="B8448" s="8"/>
    </row>
    <row r="8449" spans="1:2">
      <c r="A8449" s="7"/>
      <c r="B8449" s="8"/>
    </row>
    <row r="8450" spans="1:2">
      <c r="A8450" s="7"/>
      <c r="B8450" s="8"/>
    </row>
    <row r="8451" spans="1:2">
      <c r="A8451" s="7"/>
      <c r="B8451" s="8"/>
    </row>
    <row r="8452" spans="1:2">
      <c r="A8452" s="7"/>
      <c r="B8452" s="8"/>
    </row>
    <row r="8453" spans="1:2">
      <c r="A8453" s="7"/>
      <c r="B8453" s="8"/>
    </row>
    <row r="8454" spans="1:2">
      <c r="A8454" s="7"/>
      <c r="B8454" s="8"/>
    </row>
    <row r="8455" spans="1:2">
      <c r="A8455" s="7"/>
      <c r="B8455" s="8"/>
    </row>
    <row r="8456" spans="1:2">
      <c r="A8456" s="7"/>
      <c r="B8456" s="8"/>
    </row>
    <row r="8457" spans="1:2">
      <c r="A8457" s="7"/>
      <c r="B8457" s="8"/>
    </row>
    <row r="8458" spans="1:2">
      <c r="A8458" s="7"/>
      <c r="B8458" s="8"/>
    </row>
    <row r="8459" spans="1:2">
      <c r="A8459" s="7"/>
      <c r="B8459" s="8"/>
    </row>
    <row r="8460" spans="1:2">
      <c r="A8460" s="7"/>
      <c r="B8460" s="8"/>
    </row>
    <row r="8461" spans="1:2">
      <c r="A8461" s="7"/>
      <c r="B8461" s="8"/>
    </row>
    <row r="8462" spans="1:2">
      <c r="A8462" s="7"/>
      <c r="B8462" s="8"/>
    </row>
    <row r="8463" spans="1:2">
      <c r="A8463" s="7"/>
      <c r="B8463" s="8"/>
    </row>
    <row r="8464" spans="1:2">
      <c r="A8464" s="7"/>
      <c r="B8464" s="8"/>
    </row>
    <row r="8465" spans="1:2">
      <c r="A8465" s="7"/>
      <c r="B8465" s="8"/>
    </row>
    <row r="8466" spans="1:2">
      <c r="A8466" s="7"/>
      <c r="B8466" s="8"/>
    </row>
    <row r="8467" spans="1:2">
      <c r="A8467" s="7"/>
      <c r="B8467" s="8"/>
    </row>
    <row r="8468" spans="1:2">
      <c r="A8468" s="7"/>
      <c r="B8468" s="8"/>
    </row>
    <row r="8469" spans="1:2">
      <c r="A8469" s="7"/>
      <c r="B8469" s="8"/>
    </row>
    <row r="8470" spans="1:2">
      <c r="A8470" s="7"/>
      <c r="B8470" s="8"/>
    </row>
    <row r="8471" spans="1:2">
      <c r="A8471" s="7"/>
      <c r="B8471" s="8"/>
    </row>
    <row r="8472" spans="1:2">
      <c r="A8472" s="7"/>
      <c r="B8472" s="8"/>
    </row>
    <row r="8473" spans="1:2">
      <c r="A8473" s="7"/>
      <c r="B8473" s="8"/>
    </row>
    <row r="8474" spans="1:2">
      <c r="A8474" s="7"/>
      <c r="B8474" s="8"/>
    </row>
    <row r="8475" spans="1:2">
      <c r="A8475" s="7"/>
      <c r="B8475" s="8"/>
    </row>
    <row r="8476" spans="1:2">
      <c r="A8476" s="7"/>
      <c r="B8476" s="8"/>
    </row>
    <row r="8477" spans="1:2">
      <c r="A8477" s="7"/>
      <c r="B8477" s="8"/>
    </row>
    <row r="8478" spans="1:2">
      <c r="A8478" s="7"/>
      <c r="B8478" s="8"/>
    </row>
    <row r="8479" spans="1:2">
      <c r="A8479" s="7"/>
      <c r="B8479" s="8"/>
    </row>
    <row r="8480" spans="1:2">
      <c r="A8480" s="7"/>
      <c r="B8480" s="8"/>
    </row>
    <row r="8481" spans="1:2">
      <c r="A8481" s="7"/>
      <c r="B8481" s="8"/>
    </row>
    <row r="8482" spans="1:2">
      <c r="A8482" s="7"/>
      <c r="B8482" s="8"/>
    </row>
    <row r="8483" spans="1:2">
      <c r="A8483" s="7"/>
      <c r="B8483" s="8"/>
    </row>
    <row r="8484" spans="1:2">
      <c r="A8484" s="7"/>
      <c r="B8484" s="8"/>
    </row>
    <row r="8485" spans="1:2">
      <c r="A8485" s="7"/>
      <c r="B8485" s="8"/>
    </row>
    <row r="8486" spans="1:2">
      <c r="A8486" s="7"/>
      <c r="B8486" s="8"/>
    </row>
    <row r="8487" spans="1:2">
      <c r="A8487" s="7"/>
      <c r="B8487" s="8"/>
    </row>
    <row r="8488" spans="1:2">
      <c r="A8488" s="7"/>
      <c r="B8488" s="8"/>
    </row>
    <row r="8489" spans="1:2">
      <c r="A8489" s="7"/>
      <c r="B8489" s="8"/>
    </row>
    <row r="8490" spans="1:2">
      <c r="A8490" s="7"/>
      <c r="B8490" s="8"/>
    </row>
    <row r="8491" spans="1:2">
      <c r="A8491" s="7"/>
      <c r="B8491" s="8"/>
    </row>
    <row r="8492" spans="1:2">
      <c r="A8492" s="7"/>
      <c r="B8492" s="8"/>
    </row>
    <row r="8493" spans="1:2">
      <c r="A8493" s="7"/>
      <c r="B8493" s="8"/>
    </row>
    <row r="8494" spans="1:2">
      <c r="A8494" s="7"/>
      <c r="B8494" s="8"/>
    </row>
    <row r="8495" spans="1:2">
      <c r="A8495" s="7"/>
      <c r="B8495" s="8"/>
    </row>
    <row r="8496" spans="1:2">
      <c r="A8496" s="7"/>
      <c r="B8496" s="8"/>
    </row>
    <row r="8497" spans="1:2">
      <c r="A8497" s="7"/>
      <c r="B8497" s="8"/>
    </row>
    <row r="8498" spans="1:2">
      <c r="A8498" s="7"/>
      <c r="B8498" s="8"/>
    </row>
    <row r="8499" spans="1:2">
      <c r="A8499" s="7"/>
      <c r="B8499" s="8"/>
    </row>
    <row r="8500" spans="1:2">
      <c r="A8500" s="7"/>
      <c r="B8500" s="8"/>
    </row>
    <row r="8501" spans="1:2">
      <c r="A8501" s="7"/>
      <c r="B8501" s="8"/>
    </row>
    <row r="8502" spans="1:2">
      <c r="A8502" s="7"/>
      <c r="B8502" s="8"/>
    </row>
    <row r="8503" spans="1:2">
      <c r="A8503" s="7"/>
      <c r="B8503" s="8"/>
    </row>
    <row r="8504" spans="1:2">
      <c r="A8504" s="7"/>
      <c r="B8504" s="8"/>
    </row>
    <row r="8505" spans="1:2">
      <c r="A8505" s="7"/>
      <c r="B8505" s="8"/>
    </row>
    <row r="8506" spans="1:2">
      <c r="A8506" s="7"/>
      <c r="B8506" s="8"/>
    </row>
    <row r="8507" spans="1:2">
      <c r="A8507" s="7"/>
      <c r="B8507" s="8"/>
    </row>
    <row r="8508" spans="1:2">
      <c r="A8508" s="7"/>
      <c r="B8508" s="8"/>
    </row>
    <row r="8509" spans="1:2">
      <c r="A8509" s="7"/>
      <c r="B8509" s="8"/>
    </row>
    <row r="8510" spans="1:2">
      <c r="A8510" s="7"/>
      <c r="B8510" s="8"/>
    </row>
    <row r="8511" spans="1:2">
      <c r="A8511" s="7"/>
      <c r="B8511" s="8"/>
    </row>
    <row r="8512" spans="1:2">
      <c r="A8512" s="7"/>
      <c r="B8512" s="8"/>
    </row>
    <row r="8513" spans="1:2">
      <c r="A8513" s="7"/>
      <c r="B8513" s="8"/>
    </row>
    <row r="8514" spans="1:2">
      <c r="A8514" s="7"/>
      <c r="B8514" s="8"/>
    </row>
    <row r="8515" spans="1:2">
      <c r="A8515" s="7"/>
      <c r="B8515" s="8"/>
    </row>
    <row r="8516" spans="1:2">
      <c r="A8516" s="7"/>
      <c r="B8516" s="8"/>
    </row>
    <row r="8517" spans="1:2">
      <c r="A8517" s="7"/>
      <c r="B8517" s="8"/>
    </row>
    <row r="8518" spans="1:2">
      <c r="A8518" s="7"/>
      <c r="B8518" s="8"/>
    </row>
    <row r="8519" spans="1:2">
      <c r="A8519" s="7"/>
      <c r="B8519" s="8"/>
    </row>
    <row r="8520" spans="1:2">
      <c r="A8520" s="7"/>
      <c r="B8520" s="8"/>
    </row>
    <row r="8521" spans="1:2">
      <c r="A8521" s="7"/>
      <c r="B8521" s="8"/>
    </row>
    <row r="8522" spans="1:2">
      <c r="A8522" s="7"/>
      <c r="B8522" s="8"/>
    </row>
    <row r="8523" spans="1:2">
      <c r="A8523" s="7"/>
      <c r="B8523" s="8"/>
    </row>
    <row r="8524" spans="1:2">
      <c r="A8524" s="7"/>
      <c r="B8524" s="8"/>
    </row>
    <row r="8525" spans="1:2">
      <c r="A8525" s="7"/>
      <c r="B8525" s="8"/>
    </row>
    <row r="8526" spans="1:2">
      <c r="A8526" s="7"/>
      <c r="B8526" s="8"/>
    </row>
    <row r="8527" spans="1:2">
      <c r="A8527" s="7"/>
      <c r="B8527" s="8"/>
    </row>
    <row r="8528" spans="1:2">
      <c r="A8528" s="7"/>
      <c r="B8528" s="8"/>
    </row>
    <row r="8529" spans="1:2">
      <c r="A8529" s="7"/>
      <c r="B8529" s="8"/>
    </row>
    <row r="8530" spans="1:2">
      <c r="A8530" s="7"/>
      <c r="B8530" s="8"/>
    </row>
    <row r="8531" spans="1:2">
      <c r="A8531" s="7"/>
      <c r="B8531" s="8"/>
    </row>
    <row r="8532" spans="1:2">
      <c r="A8532" s="7"/>
      <c r="B8532" s="8"/>
    </row>
    <row r="8533" spans="1:2">
      <c r="A8533" s="7"/>
      <c r="B8533" s="8"/>
    </row>
    <row r="8534" spans="1:2">
      <c r="A8534" s="7"/>
      <c r="B8534" s="8"/>
    </row>
    <row r="8535" spans="1:2">
      <c r="A8535" s="7"/>
      <c r="B8535" s="8"/>
    </row>
    <row r="8536" spans="1:2">
      <c r="A8536" s="7"/>
      <c r="B8536" s="8"/>
    </row>
    <row r="8537" spans="1:2">
      <c r="A8537" s="7"/>
      <c r="B8537" s="8"/>
    </row>
    <row r="8538" spans="1:2">
      <c r="A8538" s="7"/>
      <c r="B8538" s="8"/>
    </row>
    <row r="8539" spans="1:2">
      <c r="A8539" s="7"/>
      <c r="B8539" s="8"/>
    </row>
    <row r="8540" spans="1:2">
      <c r="A8540" s="7"/>
      <c r="B8540" s="8"/>
    </row>
    <row r="8541" spans="1:2">
      <c r="A8541" s="7"/>
      <c r="B8541" s="8"/>
    </row>
    <row r="8542" spans="1:2">
      <c r="A8542" s="7"/>
      <c r="B8542" s="8"/>
    </row>
    <row r="8543" spans="1:2">
      <c r="A8543" s="7"/>
      <c r="B8543" s="8"/>
    </row>
    <row r="8544" spans="1:2">
      <c r="A8544" s="7"/>
      <c r="B8544" s="8"/>
    </row>
    <row r="8545" spans="1:2">
      <c r="A8545" s="7"/>
      <c r="B8545" s="8"/>
    </row>
    <row r="8546" spans="1:2">
      <c r="A8546" s="7"/>
      <c r="B8546" s="8"/>
    </row>
    <row r="8547" spans="1:2">
      <c r="A8547" s="7"/>
      <c r="B8547" s="8"/>
    </row>
    <row r="8548" spans="1:2">
      <c r="A8548" s="7"/>
      <c r="B8548" s="8"/>
    </row>
    <row r="8549" spans="1:2">
      <c r="A8549" s="7"/>
      <c r="B8549" s="8"/>
    </row>
    <row r="8550" spans="1:2">
      <c r="A8550" s="7"/>
      <c r="B8550" s="8"/>
    </row>
    <row r="8551" spans="1:2">
      <c r="A8551" s="7"/>
      <c r="B8551" s="8"/>
    </row>
    <row r="8552" spans="1:2">
      <c r="A8552" s="7"/>
      <c r="B8552" s="8"/>
    </row>
    <row r="8553" spans="1:2">
      <c r="A8553" s="7"/>
      <c r="B8553" s="8"/>
    </row>
    <row r="8554" spans="1:2">
      <c r="A8554" s="7"/>
      <c r="B8554" s="8"/>
    </row>
    <row r="8555" spans="1:2">
      <c r="A8555" s="7"/>
      <c r="B8555" s="8"/>
    </row>
    <row r="8556" spans="1:2">
      <c r="A8556" s="7"/>
      <c r="B8556" s="8"/>
    </row>
    <row r="8557" spans="1:2">
      <c r="A8557" s="7"/>
      <c r="B8557" s="8"/>
    </row>
    <row r="8558" spans="1:2">
      <c r="A8558" s="7"/>
      <c r="B8558" s="8"/>
    </row>
    <row r="8559" spans="1:2">
      <c r="A8559" s="7"/>
      <c r="B8559" s="8"/>
    </row>
    <row r="8560" spans="1:2">
      <c r="A8560" s="7"/>
      <c r="B8560" s="8"/>
    </row>
    <row r="8561" spans="1:2">
      <c r="A8561" s="7"/>
      <c r="B8561" s="8"/>
    </row>
    <row r="8562" spans="1:2">
      <c r="A8562" s="7"/>
      <c r="B8562" s="8"/>
    </row>
    <row r="8563" spans="1:2">
      <c r="A8563" s="7"/>
      <c r="B8563" s="8"/>
    </row>
    <row r="8564" spans="1:2">
      <c r="A8564" s="7"/>
      <c r="B8564" s="8"/>
    </row>
    <row r="8565" spans="1:2">
      <c r="A8565" s="7"/>
      <c r="B8565" s="8"/>
    </row>
    <row r="8566" spans="1:2">
      <c r="A8566" s="7"/>
      <c r="B8566" s="8"/>
    </row>
    <row r="8567" spans="1:2">
      <c r="A8567" s="7"/>
      <c r="B8567" s="8"/>
    </row>
    <row r="8568" spans="1:2">
      <c r="A8568" s="7"/>
      <c r="B8568" s="8"/>
    </row>
    <row r="8569" spans="1:2">
      <c r="A8569" s="7"/>
      <c r="B8569" s="8"/>
    </row>
    <row r="8570" spans="1:2">
      <c r="A8570" s="7"/>
      <c r="B8570" s="8"/>
    </row>
    <row r="8571" spans="1:2">
      <c r="A8571" s="7"/>
      <c r="B8571" s="8"/>
    </row>
    <row r="8572" spans="1:2">
      <c r="A8572" s="7"/>
      <c r="B8572" s="8"/>
    </row>
    <row r="8573" spans="1:2">
      <c r="A8573" s="7"/>
      <c r="B8573" s="8"/>
    </row>
    <row r="8574" spans="1:2">
      <c r="A8574" s="7"/>
      <c r="B8574" s="8"/>
    </row>
    <row r="8575" spans="1:2">
      <c r="A8575" s="7"/>
      <c r="B8575" s="8"/>
    </row>
    <row r="8576" spans="1:2">
      <c r="A8576" s="7"/>
      <c r="B8576" s="8"/>
    </row>
    <row r="8577" spans="1:2">
      <c r="A8577" s="7"/>
      <c r="B8577" s="8"/>
    </row>
    <row r="8578" spans="1:2">
      <c r="A8578" s="7"/>
      <c r="B8578" s="8"/>
    </row>
    <row r="8579" spans="1:2">
      <c r="A8579" s="7"/>
      <c r="B8579" s="8"/>
    </row>
    <row r="8580" spans="1:2">
      <c r="A8580" s="7"/>
      <c r="B8580" s="8"/>
    </row>
    <row r="8581" spans="1:2">
      <c r="A8581" s="7"/>
      <c r="B8581" s="8"/>
    </row>
    <row r="8582" spans="1:2">
      <c r="A8582" s="7"/>
      <c r="B8582" s="8"/>
    </row>
    <row r="8583" spans="1:2">
      <c r="A8583" s="7"/>
      <c r="B8583" s="8"/>
    </row>
    <row r="8584" spans="1:2">
      <c r="A8584" s="7"/>
      <c r="B8584" s="8"/>
    </row>
    <row r="8585" spans="1:2">
      <c r="A8585" s="7"/>
      <c r="B8585" s="8"/>
    </row>
    <row r="8586" spans="1:2">
      <c r="A8586" s="7"/>
      <c r="B8586" s="8"/>
    </row>
    <row r="8587" spans="1:2">
      <c r="A8587" s="7"/>
      <c r="B8587" s="8"/>
    </row>
    <row r="8588" spans="1:2">
      <c r="A8588" s="7"/>
      <c r="B8588" s="8"/>
    </row>
    <row r="8589" spans="1:2">
      <c r="A8589" s="7"/>
      <c r="B8589" s="8"/>
    </row>
    <row r="8590" spans="1:2">
      <c r="A8590" s="7"/>
      <c r="B8590" s="8"/>
    </row>
    <row r="8591" spans="1:2">
      <c r="A8591" s="7"/>
      <c r="B8591" s="8"/>
    </row>
    <row r="8592" spans="1:2">
      <c r="A8592" s="7"/>
      <c r="B8592" s="8"/>
    </row>
    <row r="8593" spans="1:2">
      <c r="A8593" s="7"/>
      <c r="B8593" s="8"/>
    </row>
    <row r="8594" spans="1:2">
      <c r="A8594" s="7"/>
      <c r="B8594" s="8"/>
    </row>
    <row r="8595" spans="1:2">
      <c r="A8595" s="7"/>
      <c r="B8595" s="8"/>
    </row>
    <row r="8596" spans="1:2">
      <c r="A8596" s="7"/>
      <c r="B8596" s="8"/>
    </row>
    <row r="8597" spans="1:2">
      <c r="A8597" s="7"/>
      <c r="B8597" s="8"/>
    </row>
    <row r="8598" spans="1:2">
      <c r="A8598" s="7"/>
      <c r="B8598" s="8"/>
    </row>
    <row r="8599" spans="1:2">
      <c r="A8599" s="7"/>
      <c r="B8599" s="8"/>
    </row>
    <row r="8600" spans="1:2">
      <c r="A8600" s="7"/>
      <c r="B8600" s="8"/>
    </row>
    <row r="8601" spans="1:2">
      <c r="A8601" s="7"/>
      <c r="B8601" s="8"/>
    </row>
    <row r="8602" spans="1:2">
      <c r="A8602" s="7"/>
      <c r="B8602" s="8"/>
    </row>
    <row r="8603" spans="1:2">
      <c r="A8603" s="7"/>
      <c r="B8603" s="8"/>
    </row>
    <row r="8604" spans="1:2">
      <c r="A8604" s="7"/>
      <c r="B8604" s="8"/>
    </row>
    <row r="8605" spans="1:2">
      <c r="A8605" s="7"/>
      <c r="B8605" s="8"/>
    </row>
    <row r="8606" spans="1:2">
      <c r="A8606" s="7"/>
      <c r="B8606" s="8"/>
    </row>
    <row r="8607" spans="1:2">
      <c r="A8607" s="7"/>
      <c r="B8607" s="8"/>
    </row>
    <row r="8608" spans="1:2">
      <c r="A8608" s="7"/>
      <c r="B8608" s="8"/>
    </row>
    <row r="8609" spans="1:2">
      <c r="A8609" s="7"/>
      <c r="B8609" s="8"/>
    </row>
    <row r="8610" spans="1:2">
      <c r="A8610" s="7"/>
      <c r="B8610" s="8"/>
    </row>
    <row r="8611" spans="1:2">
      <c r="A8611" s="7"/>
      <c r="B8611" s="8"/>
    </row>
    <row r="8612" spans="1:2">
      <c r="A8612" s="7"/>
      <c r="B8612" s="8"/>
    </row>
    <row r="8613" spans="1:2">
      <c r="A8613" s="7"/>
      <c r="B8613" s="8"/>
    </row>
    <row r="8614" spans="1:2">
      <c r="A8614" s="7"/>
      <c r="B8614" s="8"/>
    </row>
    <row r="8615" spans="1:2">
      <c r="A8615" s="7"/>
      <c r="B8615" s="8"/>
    </row>
    <row r="8616" spans="1:2">
      <c r="A8616" s="7"/>
      <c r="B8616" s="8"/>
    </row>
    <row r="8617" spans="1:2">
      <c r="A8617" s="7"/>
      <c r="B8617" s="8"/>
    </row>
    <row r="8618" spans="1:2">
      <c r="A8618" s="7"/>
      <c r="B8618" s="8"/>
    </row>
    <row r="8619" spans="1:2">
      <c r="A8619" s="7"/>
      <c r="B8619" s="8"/>
    </row>
    <row r="8620" spans="1:2">
      <c r="A8620" s="7"/>
      <c r="B8620" s="8"/>
    </row>
    <row r="8621" spans="1:2">
      <c r="A8621" s="7"/>
      <c r="B8621" s="8"/>
    </row>
    <row r="8622" spans="1:2">
      <c r="A8622" s="7"/>
      <c r="B8622" s="8"/>
    </row>
    <row r="8623" spans="1:2">
      <c r="A8623" s="7"/>
      <c r="B8623" s="8"/>
    </row>
    <row r="8624" spans="1:2">
      <c r="A8624" s="7"/>
      <c r="B8624" s="8"/>
    </row>
    <row r="8625" spans="1:2">
      <c r="A8625" s="7"/>
      <c r="B8625" s="8"/>
    </row>
    <row r="8626" spans="1:2">
      <c r="A8626" s="7"/>
      <c r="B8626" s="8"/>
    </row>
    <row r="8627" spans="1:2">
      <c r="A8627" s="7"/>
      <c r="B8627" s="8"/>
    </row>
    <row r="8628" spans="1:2">
      <c r="A8628" s="7"/>
      <c r="B8628" s="8"/>
    </row>
    <row r="8629" spans="1:2">
      <c r="A8629" s="7"/>
      <c r="B8629" s="8"/>
    </row>
    <row r="8630" spans="1:2">
      <c r="A8630" s="7"/>
      <c r="B8630" s="8"/>
    </row>
    <row r="8631" spans="1:2">
      <c r="A8631" s="7"/>
      <c r="B8631" s="8"/>
    </row>
    <row r="8632" spans="1:2">
      <c r="A8632" s="7"/>
      <c r="B8632" s="8"/>
    </row>
    <row r="8633" spans="1:2">
      <c r="A8633" s="7"/>
      <c r="B8633" s="8"/>
    </row>
    <row r="8634" spans="1:2">
      <c r="A8634" s="7"/>
      <c r="B8634" s="8"/>
    </row>
    <row r="8635" spans="1:2">
      <c r="A8635" s="7"/>
      <c r="B8635" s="8"/>
    </row>
    <row r="8636" spans="1:2">
      <c r="A8636" s="7"/>
      <c r="B8636" s="8"/>
    </row>
    <row r="8637" spans="1:2">
      <c r="A8637" s="7"/>
      <c r="B8637" s="8"/>
    </row>
    <row r="8638" spans="1:2">
      <c r="A8638" s="7"/>
      <c r="B8638" s="8"/>
    </row>
    <row r="8639" spans="1:2">
      <c r="A8639" s="7"/>
      <c r="B8639" s="8"/>
    </row>
    <row r="8640" spans="1:2">
      <c r="A8640" s="7"/>
      <c r="B8640" s="8"/>
    </row>
    <row r="8641" spans="1:2">
      <c r="A8641" s="7"/>
      <c r="B8641" s="8"/>
    </row>
    <row r="8642" spans="1:2">
      <c r="A8642" s="7"/>
      <c r="B8642" s="8"/>
    </row>
    <row r="8643" spans="1:2">
      <c r="A8643" s="7"/>
      <c r="B8643" s="8"/>
    </row>
    <row r="8644" spans="1:2">
      <c r="A8644" s="7"/>
      <c r="B8644" s="8"/>
    </row>
    <row r="8645" spans="1:2">
      <c r="A8645" s="7"/>
      <c r="B8645" s="8"/>
    </row>
    <row r="8646" spans="1:2">
      <c r="A8646" s="7"/>
      <c r="B8646" s="8"/>
    </row>
    <row r="8647" spans="1:2">
      <c r="A8647" s="7"/>
      <c r="B8647" s="8"/>
    </row>
    <row r="8648" spans="1:2">
      <c r="A8648" s="7"/>
      <c r="B8648" s="8"/>
    </row>
    <row r="8649" spans="1:2">
      <c r="A8649" s="7"/>
      <c r="B8649" s="8"/>
    </row>
    <row r="8650" spans="1:2">
      <c r="A8650" s="7"/>
      <c r="B8650" s="8"/>
    </row>
    <row r="8651" spans="1:2">
      <c r="A8651" s="7"/>
      <c r="B8651" s="8"/>
    </row>
    <row r="8652" spans="1:2">
      <c r="A8652" s="7"/>
      <c r="B8652" s="8"/>
    </row>
    <row r="8653" spans="1:2">
      <c r="A8653" s="7"/>
      <c r="B8653" s="8"/>
    </row>
    <row r="8654" spans="1:2">
      <c r="A8654" s="7"/>
      <c r="B8654" s="8"/>
    </row>
    <row r="8655" spans="1:2">
      <c r="A8655" s="7"/>
      <c r="B8655" s="8"/>
    </row>
    <row r="8656" spans="1:2">
      <c r="A8656" s="7"/>
      <c r="B8656" s="8"/>
    </row>
    <row r="8657" spans="1:2">
      <c r="A8657" s="7"/>
      <c r="B8657" s="8"/>
    </row>
    <row r="8658" spans="1:2">
      <c r="A8658" s="7"/>
      <c r="B8658" s="8"/>
    </row>
    <row r="8659" spans="1:2">
      <c r="A8659" s="7"/>
      <c r="B8659" s="8"/>
    </row>
    <row r="8660" spans="1:2">
      <c r="A8660" s="7"/>
      <c r="B8660" s="8"/>
    </row>
    <row r="8661" spans="1:2">
      <c r="A8661" s="7"/>
      <c r="B8661" s="8"/>
    </row>
    <row r="8662" spans="1:2">
      <c r="A8662" s="7"/>
      <c r="B8662" s="8"/>
    </row>
    <row r="8663" spans="1:2">
      <c r="A8663" s="7"/>
      <c r="B8663" s="8"/>
    </row>
    <row r="8664" spans="1:2">
      <c r="A8664" s="7"/>
      <c r="B8664" s="8"/>
    </row>
    <row r="8665" spans="1:2">
      <c r="A8665" s="7"/>
      <c r="B8665" s="8"/>
    </row>
    <row r="8666" spans="1:2">
      <c r="A8666" s="7"/>
      <c r="B8666" s="8"/>
    </row>
    <row r="8667" spans="1:2">
      <c r="A8667" s="7"/>
      <c r="B8667" s="8"/>
    </row>
    <row r="8668" spans="1:2">
      <c r="A8668" s="7"/>
      <c r="B8668" s="8"/>
    </row>
    <row r="8669" spans="1:2">
      <c r="A8669" s="7"/>
      <c r="B8669" s="8"/>
    </row>
    <row r="8670" spans="1:2">
      <c r="A8670" s="7"/>
      <c r="B8670" s="8"/>
    </row>
    <row r="8671" spans="1:2">
      <c r="A8671" s="7"/>
      <c r="B8671" s="8"/>
    </row>
    <row r="8672" spans="1:2">
      <c r="A8672" s="7"/>
      <c r="B8672" s="8"/>
    </row>
    <row r="8673" spans="1:2">
      <c r="A8673" s="7"/>
      <c r="B8673" s="8"/>
    </row>
    <row r="8674" spans="1:2">
      <c r="A8674" s="7"/>
      <c r="B8674" s="8"/>
    </row>
    <row r="8675" spans="1:2">
      <c r="A8675" s="7"/>
      <c r="B8675" s="8"/>
    </row>
    <row r="8676" spans="1:2">
      <c r="A8676" s="7"/>
      <c r="B8676" s="8"/>
    </row>
    <row r="8677" spans="1:2">
      <c r="A8677" s="7"/>
      <c r="B8677" s="8"/>
    </row>
    <row r="8678" spans="1:2">
      <c r="A8678" s="7"/>
      <c r="B8678" s="8"/>
    </row>
    <row r="8679" spans="1:2">
      <c r="A8679" s="7"/>
      <c r="B8679" s="8"/>
    </row>
    <row r="8680" spans="1:2">
      <c r="A8680" s="7"/>
      <c r="B8680" s="8"/>
    </row>
    <row r="8681" spans="1:2">
      <c r="A8681" s="7"/>
      <c r="B8681" s="8"/>
    </row>
    <row r="8682" spans="1:2">
      <c r="A8682" s="7"/>
      <c r="B8682" s="8"/>
    </row>
    <row r="8683" spans="1:2">
      <c r="A8683" s="7"/>
      <c r="B8683" s="8"/>
    </row>
    <row r="8684" spans="1:2">
      <c r="A8684" s="7"/>
      <c r="B8684" s="8"/>
    </row>
    <row r="8685" spans="1:2">
      <c r="A8685" s="7"/>
      <c r="B8685" s="8"/>
    </row>
    <row r="8686" spans="1:2">
      <c r="A8686" s="7"/>
      <c r="B8686" s="8"/>
    </row>
    <row r="8687" spans="1:2">
      <c r="A8687" s="7"/>
      <c r="B8687" s="8"/>
    </row>
    <row r="8688" spans="1:2">
      <c r="A8688" s="7"/>
      <c r="B8688" s="8"/>
    </row>
    <row r="8689" spans="1:2">
      <c r="A8689" s="7"/>
      <c r="B8689" s="8"/>
    </row>
    <row r="8690" spans="1:2">
      <c r="A8690" s="7"/>
      <c r="B8690" s="8"/>
    </row>
    <row r="8691" spans="1:2">
      <c r="A8691" s="7"/>
      <c r="B8691" s="8"/>
    </row>
    <row r="8692" spans="1:2">
      <c r="A8692" s="7"/>
      <c r="B8692" s="8"/>
    </row>
    <row r="8693" spans="1:2">
      <c r="A8693" s="7"/>
      <c r="B8693" s="8"/>
    </row>
    <row r="8694" spans="1:2">
      <c r="A8694" s="7"/>
      <c r="B8694" s="8"/>
    </row>
    <row r="8695" spans="1:2">
      <c r="A8695" s="7"/>
      <c r="B8695" s="8"/>
    </row>
    <row r="8696" spans="1:2">
      <c r="A8696" s="7"/>
      <c r="B8696" s="8"/>
    </row>
    <row r="8697" spans="1:2">
      <c r="A8697" s="7"/>
      <c r="B8697" s="8"/>
    </row>
    <row r="8698" spans="1:2">
      <c r="A8698" s="7"/>
      <c r="B8698" s="8"/>
    </row>
    <row r="8699" spans="1:2">
      <c r="A8699" s="7"/>
      <c r="B8699" s="8"/>
    </row>
    <row r="8700" spans="1:2">
      <c r="A8700" s="7"/>
      <c r="B8700" s="8"/>
    </row>
    <row r="8701" spans="1:2">
      <c r="A8701" s="7"/>
      <c r="B8701" s="8"/>
    </row>
    <row r="8702" spans="1:2">
      <c r="A8702" s="7"/>
      <c r="B8702" s="8"/>
    </row>
    <row r="8703" spans="1:2">
      <c r="A8703" s="7"/>
      <c r="B8703" s="8"/>
    </row>
    <row r="8704" spans="1:2">
      <c r="A8704" s="7"/>
      <c r="B8704" s="8"/>
    </row>
    <row r="8705" spans="1:2">
      <c r="A8705" s="7"/>
      <c r="B8705" s="8"/>
    </row>
    <row r="8706" spans="1:2">
      <c r="A8706" s="7"/>
      <c r="B8706" s="8"/>
    </row>
    <row r="8707" spans="1:2">
      <c r="A8707" s="7"/>
      <c r="B8707" s="8"/>
    </row>
    <row r="8708" spans="1:2">
      <c r="A8708" s="7"/>
      <c r="B8708" s="8"/>
    </row>
    <row r="8709" spans="1:2">
      <c r="A8709" s="7"/>
      <c r="B8709" s="8"/>
    </row>
    <row r="8710" spans="1:2">
      <c r="A8710" s="7"/>
      <c r="B8710" s="8"/>
    </row>
    <row r="8711" spans="1:2">
      <c r="A8711" s="7"/>
      <c r="B8711" s="8"/>
    </row>
    <row r="8712" spans="1:2">
      <c r="A8712" s="7"/>
      <c r="B8712" s="8"/>
    </row>
    <row r="8713" spans="1:2">
      <c r="A8713" s="7"/>
      <c r="B8713" s="8"/>
    </row>
    <row r="8714" spans="1:2">
      <c r="A8714" s="7"/>
      <c r="B8714" s="8"/>
    </row>
    <row r="8715" spans="1:2">
      <c r="A8715" s="7"/>
      <c r="B8715" s="8"/>
    </row>
    <row r="8716" spans="1:2">
      <c r="A8716" s="7"/>
      <c r="B8716" s="8"/>
    </row>
    <row r="8717" spans="1:2">
      <c r="A8717" s="7"/>
      <c r="B8717" s="8"/>
    </row>
    <row r="8718" spans="1:2">
      <c r="A8718" s="7"/>
      <c r="B8718" s="8"/>
    </row>
    <row r="8719" spans="1:2">
      <c r="A8719" s="7"/>
      <c r="B8719" s="8"/>
    </row>
    <row r="8720" spans="1:2">
      <c r="A8720" s="7"/>
      <c r="B8720" s="8"/>
    </row>
    <row r="8721" spans="1:2">
      <c r="A8721" s="7"/>
      <c r="B8721" s="8"/>
    </row>
    <row r="8722" spans="1:2">
      <c r="A8722" s="7"/>
      <c r="B8722" s="8"/>
    </row>
    <row r="8723" spans="1:2">
      <c r="A8723" s="7"/>
      <c r="B8723" s="8"/>
    </row>
    <row r="8724" spans="1:2">
      <c r="A8724" s="7"/>
      <c r="B8724" s="8"/>
    </row>
    <row r="8725" spans="1:2">
      <c r="A8725" s="7"/>
      <c r="B8725" s="8"/>
    </row>
    <row r="8726" spans="1:2">
      <c r="A8726" s="7"/>
      <c r="B8726" s="8"/>
    </row>
    <row r="8727" spans="1:2">
      <c r="A8727" s="7"/>
      <c r="B8727" s="8"/>
    </row>
    <row r="8728" spans="1:2">
      <c r="A8728" s="7"/>
      <c r="B8728" s="8"/>
    </row>
    <row r="8729" spans="1:2">
      <c r="A8729" s="7"/>
      <c r="B8729" s="8"/>
    </row>
    <row r="8730" spans="1:2">
      <c r="A8730" s="7"/>
      <c r="B8730" s="8"/>
    </row>
    <row r="8731" spans="1:2">
      <c r="A8731" s="7"/>
      <c r="B8731" s="8"/>
    </row>
    <row r="8732" spans="1:2">
      <c r="A8732" s="7"/>
      <c r="B8732" s="8"/>
    </row>
    <row r="8733" spans="1:2">
      <c r="A8733" s="7"/>
      <c r="B8733" s="8"/>
    </row>
    <row r="8734" spans="1:2">
      <c r="A8734" s="7"/>
      <c r="B8734" s="8"/>
    </row>
    <row r="8735" spans="1:2">
      <c r="A8735" s="7"/>
      <c r="B8735" s="8"/>
    </row>
    <row r="8736" spans="1:2">
      <c r="A8736" s="7"/>
      <c r="B8736" s="8"/>
    </row>
    <row r="8737" spans="1:2">
      <c r="A8737" s="7"/>
      <c r="B8737" s="8"/>
    </row>
    <row r="8738" spans="1:2">
      <c r="A8738" s="7"/>
      <c r="B8738" s="8"/>
    </row>
    <row r="8739" spans="1:2">
      <c r="A8739" s="7"/>
      <c r="B8739" s="8"/>
    </row>
    <row r="8740" spans="1:2">
      <c r="A8740" s="7"/>
      <c r="B8740" s="8"/>
    </row>
    <row r="8741" spans="1:2">
      <c r="A8741" s="7"/>
      <c r="B8741" s="8"/>
    </row>
    <row r="8742" spans="1:2">
      <c r="A8742" s="7"/>
      <c r="B8742" s="8"/>
    </row>
    <row r="8743" spans="1:2">
      <c r="A8743" s="7"/>
      <c r="B8743" s="8"/>
    </row>
    <row r="8744" spans="1:2">
      <c r="A8744" s="7"/>
      <c r="B8744" s="8"/>
    </row>
    <row r="8745" spans="1:2">
      <c r="A8745" s="7"/>
      <c r="B8745" s="8"/>
    </row>
    <row r="8746" spans="1:2">
      <c r="A8746" s="7"/>
      <c r="B8746" s="8"/>
    </row>
    <row r="8747" spans="1:2">
      <c r="A8747" s="7"/>
      <c r="B8747" s="8"/>
    </row>
    <row r="8748" spans="1:2">
      <c r="A8748" s="7"/>
      <c r="B8748" s="8"/>
    </row>
    <row r="8749" spans="1:2">
      <c r="A8749" s="7"/>
      <c r="B8749" s="8"/>
    </row>
    <row r="8750" spans="1:2">
      <c r="A8750" s="7"/>
      <c r="B8750" s="8"/>
    </row>
    <row r="8751" spans="1:2">
      <c r="A8751" s="7"/>
      <c r="B8751" s="8"/>
    </row>
    <row r="8752" spans="1:2">
      <c r="A8752" s="7"/>
      <c r="B8752" s="8"/>
    </row>
    <row r="8753" spans="1:2">
      <c r="A8753" s="7"/>
      <c r="B8753" s="8"/>
    </row>
    <row r="8754" spans="1:2">
      <c r="A8754" s="7"/>
      <c r="B8754" s="8"/>
    </row>
    <row r="8755" spans="1:2">
      <c r="A8755" s="7"/>
      <c r="B8755" s="8"/>
    </row>
    <row r="8756" spans="1:2">
      <c r="A8756" s="7"/>
      <c r="B8756" s="8"/>
    </row>
    <row r="8757" spans="1:2">
      <c r="A8757" s="7"/>
      <c r="B8757" s="8"/>
    </row>
    <row r="8758" spans="1:2">
      <c r="A8758" s="7"/>
      <c r="B8758" s="8"/>
    </row>
    <row r="8759" spans="1:2">
      <c r="A8759" s="7"/>
      <c r="B8759" s="8"/>
    </row>
    <row r="8760" spans="1:2">
      <c r="A8760" s="7"/>
      <c r="B8760" s="8"/>
    </row>
    <row r="8761" spans="1:2">
      <c r="A8761" s="7"/>
      <c r="B8761" s="8"/>
    </row>
    <row r="8762" spans="1:2">
      <c r="A8762" s="7"/>
      <c r="B8762" s="8"/>
    </row>
    <row r="8763" spans="1:2">
      <c r="A8763" s="7"/>
      <c r="B8763" s="8"/>
    </row>
    <row r="8764" spans="1:2">
      <c r="A8764" s="7"/>
      <c r="B8764" s="8"/>
    </row>
    <row r="8765" spans="1:2">
      <c r="A8765" s="7"/>
      <c r="B8765" s="8"/>
    </row>
    <row r="8766" spans="1:2">
      <c r="A8766" s="7"/>
      <c r="B8766" s="8"/>
    </row>
    <row r="8767" spans="1:2">
      <c r="A8767" s="7"/>
      <c r="B8767" s="8"/>
    </row>
    <row r="8768" spans="1:2">
      <c r="A8768" s="7"/>
      <c r="B8768" s="8"/>
    </row>
    <row r="8769" spans="1:2">
      <c r="A8769" s="7"/>
      <c r="B8769" s="8"/>
    </row>
    <row r="8770" spans="1:2">
      <c r="A8770" s="7"/>
      <c r="B8770" s="8"/>
    </row>
    <row r="8771" spans="1:2">
      <c r="A8771" s="7"/>
      <c r="B8771" s="8"/>
    </row>
    <row r="8772" spans="1:2">
      <c r="A8772" s="7"/>
      <c r="B8772" s="8"/>
    </row>
    <row r="8773" spans="1:2">
      <c r="A8773" s="7"/>
      <c r="B8773" s="8"/>
    </row>
    <row r="8774" spans="1:2">
      <c r="A8774" s="7"/>
      <c r="B8774" s="8"/>
    </row>
    <row r="8775" spans="1:2">
      <c r="A8775" s="7"/>
      <c r="B8775" s="8"/>
    </row>
    <row r="8776" spans="1:2">
      <c r="A8776" s="7"/>
      <c r="B8776" s="8"/>
    </row>
    <row r="8777" spans="1:2">
      <c r="A8777" s="7"/>
      <c r="B8777" s="8"/>
    </row>
    <row r="8778" spans="1:2">
      <c r="A8778" s="7"/>
      <c r="B8778" s="8"/>
    </row>
    <row r="8779" spans="1:2">
      <c r="A8779" s="7"/>
      <c r="B8779" s="8"/>
    </row>
    <row r="8780" spans="1:2">
      <c r="A8780" s="7"/>
      <c r="B8780" s="8"/>
    </row>
    <row r="8781" spans="1:2">
      <c r="A8781" s="7"/>
      <c r="B8781" s="8"/>
    </row>
    <row r="8782" spans="1:2">
      <c r="A8782" s="7"/>
      <c r="B8782" s="8"/>
    </row>
    <row r="8783" spans="1:2">
      <c r="A8783" s="7"/>
      <c r="B8783" s="8"/>
    </row>
    <row r="8784" spans="1:2">
      <c r="A8784" s="7"/>
      <c r="B8784" s="8"/>
    </row>
    <row r="8785" spans="1:2">
      <c r="A8785" s="7"/>
      <c r="B8785" s="8"/>
    </row>
    <row r="8786" spans="1:2">
      <c r="A8786" s="7"/>
      <c r="B8786" s="8"/>
    </row>
    <row r="8787" spans="1:2">
      <c r="A8787" s="7"/>
      <c r="B8787" s="8"/>
    </row>
    <row r="8788" spans="1:2">
      <c r="A8788" s="7"/>
      <c r="B8788" s="8"/>
    </row>
    <row r="8789" spans="1:2">
      <c r="A8789" s="7"/>
      <c r="B8789" s="8"/>
    </row>
    <row r="8790" spans="1:2">
      <c r="A8790" s="7"/>
      <c r="B8790" s="8"/>
    </row>
    <row r="8791" spans="1:2">
      <c r="A8791" s="7"/>
      <c r="B8791" s="8"/>
    </row>
    <row r="8792" spans="1:2">
      <c r="A8792" s="7"/>
      <c r="B8792" s="8"/>
    </row>
    <row r="8793" spans="1:2">
      <c r="A8793" s="7"/>
      <c r="B8793" s="8"/>
    </row>
    <row r="8794" spans="1:2">
      <c r="A8794" s="7"/>
      <c r="B8794" s="8"/>
    </row>
    <row r="8795" spans="1:2">
      <c r="A8795" s="7"/>
      <c r="B8795" s="8"/>
    </row>
    <row r="8796" spans="1:2">
      <c r="A8796" s="7"/>
      <c r="B8796" s="8"/>
    </row>
    <row r="8797" spans="1:2">
      <c r="A8797" s="7"/>
      <c r="B8797" s="8"/>
    </row>
    <row r="8798" spans="1:2">
      <c r="A8798" s="7"/>
      <c r="B8798" s="8"/>
    </row>
    <row r="8799" spans="1:2">
      <c r="A8799" s="7"/>
      <c r="B8799" s="8"/>
    </row>
    <row r="8800" spans="1:2">
      <c r="A8800" s="7"/>
      <c r="B8800" s="8"/>
    </row>
    <row r="8801" spans="1:2">
      <c r="A8801" s="7"/>
      <c r="B8801" s="8"/>
    </row>
    <row r="8802" spans="1:2">
      <c r="A8802" s="7"/>
      <c r="B8802" s="8"/>
    </row>
    <row r="8803" spans="1:2">
      <c r="A8803" s="7"/>
      <c r="B8803" s="8"/>
    </row>
    <row r="8804" spans="1:2">
      <c r="A8804" s="7"/>
      <c r="B8804" s="8"/>
    </row>
    <row r="8805" spans="1:2">
      <c r="A8805" s="7"/>
      <c r="B8805" s="8"/>
    </row>
    <row r="8806" spans="1:2">
      <c r="A8806" s="7"/>
      <c r="B8806" s="8"/>
    </row>
    <row r="8807" spans="1:2">
      <c r="A8807" s="7"/>
      <c r="B8807" s="8"/>
    </row>
    <row r="8808" spans="1:2">
      <c r="A8808" s="7"/>
      <c r="B8808" s="8"/>
    </row>
    <row r="8809" spans="1:2">
      <c r="A8809" s="7"/>
      <c r="B8809" s="8"/>
    </row>
    <row r="8810" spans="1:2">
      <c r="A8810" s="7"/>
      <c r="B8810" s="8"/>
    </row>
    <row r="8811" spans="1:2">
      <c r="A8811" s="7"/>
      <c r="B8811" s="8"/>
    </row>
    <row r="8812" spans="1:2">
      <c r="A8812" s="7"/>
      <c r="B8812" s="8"/>
    </row>
    <row r="8813" spans="1:2">
      <c r="A8813" s="7"/>
      <c r="B8813" s="8"/>
    </row>
    <row r="8814" spans="1:2">
      <c r="A8814" s="7"/>
      <c r="B8814" s="8"/>
    </row>
    <row r="8815" spans="1:2">
      <c r="A8815" s="7"/>
      <c r="B8815" s="8"/>
    </row>
    <row r="8816" spans="1:2">
      <c r="A8816" s="7"/>
      <c r="B8816" s="8"/>
    </row>
    <row r="8817" spans="1:2">
      <c r="A8817" s="7"/>
      <c r="B8817" s="8"/>
    </row>
    <row r="8818" spans="1:2">
      <c r="A8818" s="7"/>
      <c r="B8818" s="8"/>
    </row>
    <row r="8819" spans="1:2">
      <c r="A8819" s="7"/>
      <c r="B8819" s="8"/>
    </row>
    <row r="8820" spans="1:2">
      <c r="A8820" s="7"/>
      <c r="B8820" s="8"/>
    </row>
    <row r="8821" spans="1:2">
      <c r="A8821" s="7"/>
      <c r="B8821" s="8"/>
    </row>
    <row r="8822" spans="1:2">
      <c r="A8822" s="7"/>
      <c r="B8822" s="8"/>
    </row>
    <row r="8823" spans="1:2">
      <c r="A8823" s="7"/>
      <c r="B8823" s="8"/>
    </row>
    <row r="8824" spans="1:2">
      <c r="A8824" s="7"/>
      <c r="B8824" s="8"/>
    </row>
    <row r="8825" spans="1:2">
      <c r="A8825" s="7"/>
      <c r="B8825" s="8"/>
    </row>
    <row r="8826" spans="1:2">
      <c r="A8826" s="7"/>
      <c r="B8826" s="8"/>
    </row>
    <row r="8827" spans="1:2">
      <c r="A8827" s="7"/>
      <c r="B8827" s="8"/>
    </row>
    <row r="8828" spans="1:2">
      <c r="A8828" s="7"/>
      <c r="B8828" s="8"/>
    </row>
    <row r="8829" spans="1:2">
      <c r="A8829" s="7"/>
      <c r="B8829" s="8"/>
    </row>
    <row r="8830" spans="1:2">
      <c r="A8830" s="7"/>
      <c r="B8830" s="8"/>
    </row>
    <row r="8831" spans="1:2">
      <c r="A8831" s="7"/>
      <c r="B8831" s="8"/>
    </row>
    <row r="8832" spans="1:2">
      <c r="A8832" s="7"/>
      <c r="B8832" s="8"/>
    </row>
    <row r="8833" spans="1:2">
      <c r="A8833" s="7"/>
      <c r="B8833" s="8"/>
    </row>
    <row r="8834" spans="1:2">
      <c r="A8834" s="7"/>
      <c r="B8834" s="8"/>
    </row>
    <row r="8835" spans="1:2">
      <c r="A8835" s="7"/>
      <c r="B8835" s="8"/>
    </row>
    <row r="8836" spans="1:2">
      <c r="A8836" s="7"/>
      <c r="B8836" s="8"/>
    </row>
    <row r="8837" spans="1:2">
      <c r="A8837" s="7"/>
      <c r="B8837" s="8"/>
    </row>
    <row r="8838" spans="1:2">
      <c r="A8838" s="7"/>
      <c r="B8838" s="8"/>
    </row>
    <row r="8839" spans="1:2">
      <c r="A8839" s="7"/>
      <c r="B8839" s="8"/>
    </row>
    <row r="8840" spans="1:2">
      <c r="A8840" s="7"/>
      <c r="B8840" s="8"/>
    </row>
    <row r="8841" spans="1:2">
      <c r="A8841" s="7"/>
      <c r="B8841" s="8"/>
    </row>
    <row r="8842" spans="1:2">
      <c r="A8842" s="7"/>
      <c r="B8842" s="8"/>
    </row>
    <row r="8843" spans="1:2">
      <c r="A8843" s="7"/>
      <c r="B8843" s="8"/>
    </row>
    <row r="8844" spans="1:2">
      <c r="A8844" s="7"/>
      <c r="B8844" s="8"/>
    </row>
    <row r="8845" spans="1:2">
      <c r="A8845" s="7"/>
      <c r="B8845" s="8"/>
    </row>
    <row r="8846" spans="1:2">
      <c r="A8846" s="7"/>
      <c r="B8846" s="8"/>
    </row>
    <row r="8847" spans="1:2">
      <c r="A8847" s="7"/>
      <c r="B8847" s="8"/>
    </row>
    <row r="8848" spans="1:2">
      <c r="A8848" s="7"/>
      <c r="B8848" s="8"/>
    </row>
    <row r="8849" spans="1:2">
      <c r="A8849" s="7"/>
      <c r="B8849" s="8"/>
    </row>
    <row r="8850" spans="1:2">
      <c r="A8850" s="7"/>
      <c r="B8850" s="8"/>
    </row>
    <row r="8851" spans="1:2">
      <c r="A8851" s="7"/>
      <c r="B8851" s="8"/>
    </row>
    <row r="8852" spans="1:2">
      <c r="A8852" s="7"/>
      <c r="B8852" s="8"/>
    </row>
    <row r="8853" spans="1:2">
      <c r="A8853" s="7"/>
      <c r="B8853" s="8"/>
    </row>
    <row r="8854" spans="1:2">
      <c r="A8854" s="7"/>
      <c r="B8854" s="8"/>
    </row>
    <row r="8855" spans="1:2">
      <c r="A8855" s="7"/>
      <c r="B8855" s="8"/>
    </row>
    <row r="8856" spans="1:2">
      <c r="A8856" s="7"/>
      <c r="B8856" s="8"/>
    </row>
    <row r="8857" spans="1:2">
      <c r="A8857" s="7"/>
      <c r="B8857" s="8"/>
    </row>
    <row r="8858" spans="1:2">
      <c r="A8858" s="7"/>
      <c r="B8858" s="8"/>
    </row>
    <row r="8859" spans="1:2">
      <c r="A8859" s="7"/>
      <c r="B8859" s="8"/>
    </row>
    <row r="8860" spans="1:2">
      <c r="A8860" s="7"/>
      <c r="B8860" s="8"/>
    </row>
    <row r="8861" spans="1:2">
      <c r="A8861" s="7"/>
      <c r="B8861" s="8"/>
    </row>
    <row r="8862" spans="1:2">
      <c r="A8862" s="7"/>
      <c r="B8862" s="8"/>
    </row>
    <row r="8863" spans="1:2">
      <c r="A8863" s="7"/>
      <c r="B8863" s="8"/>
    </row>
    <row r="8864" spans="1:2">
      <c r="A8864" s="7"/>
      <c r="B8864" s="8"/>
    </row>
    <row r="8865" spans="1:2">
      <c r="A8865" s="7"/>
      <c r="B8865" s="8"/>
    </row>
    <row r="8866" spans="1:2">
      <c r="A8866" s="7"/>
      <c r="B8866" s="8"/>
    </row>
    <row r="8867" spans="1:2">
      <c r="A8867" s="7"/>
      <c r="B8867" s="8"/>
    </row>
    <row r="8868" spans="1:2">
      <c r="A8868" s="7"/>
      <c r="B8868" s="8"/>
    </row>
    <row r="8869" spans="1:2">
      <c r="A8869" s="7"/>
      <c r="B8869" s="8"/>
    </row>
    <row r="8870" spans="1:2">
      <c r="A8870" s="7"/>
      <c r="B8870" s="8"/>
    </row>
    <row r="8871" spans="1:2">
      <c r="A8871" s="7"/>
      <c r="B8871" s="8"/>
    </row>
    <row r="8872" spans="1:2">
      <c r="A8872" s="7"/>
      <c r="B8872" s="8"/>
    </row>
    <row r="8873" spans="1:2">
      <c r="A8873" s="7"/>
      <c r="B8873" s="8"/>
    </row>
    <row r="8874" spans="1:2">
      <c r="A8874" s="7"/>
      <c r="B8874" s="8"/>
    </row>
    <row r="8875" spans="1:2">
      <c r="A8875" s="7"/>
      <c r="B8875" s="8"/>
    </row>
    <row r="8876" spans="1:2">
      <c r="A8876" s="7"/>
      <c r="B8876" s="8"/>
    </row>
    <row r="8877" spans="1:2">
      <c r="A8877" s="7"/>
      <c r="B8877" s="8"/>
    </row>
    <row r="8878" spans="1:2">
      <c r="A8878" s="7"/>
      <c r="B8878" s="8"/>
    </row>
    <row r="8879" spans="1:2">
      <c r="A8879" s="7"/>
      <c r="B8879" s="8"/>
    </row>
    <row r="8880" spans="1:2">
      <c r="A8880" s="7"/>
      <c r="B8880" s="8"/>
    </row>
    <row r="8881" spans="1:2">
      <c r="A8881" s="7"/>
      <c r="B8881" s="8"/>
    </row>
    <row r="8882" spans="1:2">
      <c r="A8882" s="7"/>
      <c r="B8882" s="8"/>
    </row>
    <row r="8883" spans="1:2">
      <c r="A8883" s="7"/>
      <c r="B8883" s="8"/>
    </row>
    <row r="8884" spans="1:2">
      <c r="A8884" s="7"/>
      <c r="B8884" s="8"/>
    </row>
    <row r="8885" spans="1:2">
      <c r="A8885" s="7"/>
      <c r="B8885" s="8"/>
    </row>
    <row r="8886" spans="1:2">
      <c r="A8886" s="7"/>
      <c r="B8886" s="8"/>
    </row>
    <row r="8887" spans="1:2">
      <c r="A8887" s="7"/>
      <c r="B8887" s="8"/>
    </row>
    <row r="8888" spans="1:2">
      <c r="A8888" s="7"/>
      <c r="B8888" s="8"/>
    </row>
    <row r="8889" spans="1:2">
      <c r="A8889" s="7"/>
      <c r="B8889" s="8"/>
    </row>
    <row r="8890" spans="1:2">
      <c r="A8890" s="7"/>
      <c r="B8890" s="8"/>
    </row>
    <row r="8891" spans="1:2">
      <c r="A8891" s="7"/>
      <c r="B8891" s="8"/>
    </row>
    <row r="8892" spans="1:2">
      <c r="A8892" s="7"/>
      <c r="B8892" s="8"/>
    </row>
    <row r="8893" spans="1:2">
      <c r="A8893" s="7"/>
      <c r="B8893" s="8"/>
    </row>
    <row r="8894" spans="1:2">
      <c r="A8894" s="7"/>
      <c r="B8894" s="8"/>
    </row>
    <row r="8895" spans="1:2">
      <c r="A8895" s="7"/>
      <c r="B8895" s="8"/>
    </row>
    <row r="8896" spans="1:2">
      <c r="A8896" s="7"/>
      <c r="B8896" s="8"/>
    </row>
    <row r="8897" spans="1:2">
      <c r="A8897" s="7"/>
      <c r="B8897" s="8"/>
    </row>
    <row r="8898" spans="1:2">
      <c r="A8898" s="7"/>
      <c r="B8898" s="8"/>
    </row>
    <row r="8899" spans="1:2">
      <c r="A8899" s="7"/>
      <c r="B8899" s="8"/>
    </row>
    <row r="8900" spans="1:2">
      <c r="A8900" s="7"/>
      <c r="B8900" s="8"/>
    </row>
    <row r="8901" spans="1:2">
      <c r="A8901" s="7"/>
      <c r="B8901" s="8"/>
    </row>
    <row r="8902" spans="1:2">
      <c r="A8902" s="7"/>
      <c r="B8902" s="8"/>
    </row>
    <row r="8903" spans="1:2">
      <c r="A8903" s="7"/>
      <c r="B8903" s="8"/>
    </row>
    <row r="8904" spans="1:2">
      <c r="A8904" s="7"/>
      <c r="B8904" s="8"/>
    </row>
    <row r="8905" spans="1:2">
      <c r="A8905" s="7"/>
      <c r="B8905" s="8"/>
    </row>
    <row r="8906" spans="1:2">
      <c r="A8906" s="7"/>
      <c r="B8906" s="8"/>
    </row>
    <row r="8907" spans="1:2">
      <c r="A8907" s="7"/>
      <c r="B8907" s="8"/>
    </row>
    <row r="8908" spans="1:2">
      <c r="A8908" s="7"/>
      <c r="B8908" s="8"/>
    </row>
    <row r="8909" spans="1:2">
      <c r="A8909" s="7"/>
      <c r="B8909" s="8"/>
    </row>
    <row r="8910" spans="1:2">
      <c r="A8910" s="7"/>
      <c r="B8910" s="8"/>
    </row>
    <row r="8911" spans="1:2">
      <c r="A8911" s="7"/>
      <c r="B8911" s="8"/>
    </row>
    <row r="8912" spans="1:2">
      <c r="A8912" s="7"/>
      <c r="B8912" s="8"/>
    </row>
    <row r="8913" spans="1:2">
      <c r="A8913" s="7"/>
      <c r="B8913" s="8"/>
    </row>
    <row r="8914" spans="1:2">
      <c r="A8914" s="7"/>
      <c r="B8914" s="8"/>
    </row>
    <row r="8915" spans="1:2">
      <c r="A8915" s="7"/>
      <c r="B8915" s="8"/>
    </row>
    <row r="8916" spans="1:2">
      <c r="A8916" s="7"/>
      <c r="B8916" s="8"/>
    </row>
    <row r="8917" spans="1:2">
      <c r="A8917" s="7"/>
      <c r="B8917" s="8"/>
    </row>
    <row r="8918" spans="1:2">
      <c r="A8918" s="7"/>
      <c r="B8918" s="8"/>
    </row>
    <row r="8919" spans="1:2">
      <c r="A8919" s="7"/>
      <c r="B8919" s="8"/>
    </row>
    <row r="8920" spans="1:2">
      <c r="A8920" s="7"/>
      <c r="B8920" s="8"/>
    </row>
    <row r="8921" spans="1:2">
      <c r="A8921" s="7"/>
      <c r="B8921" s="8"/>
    </row>
    <row r="8922" spans="1:2">
      <c r="A8922" s="7"/>
      <c r="B8922" s="8"/>
    </row>
    <row r="8923" spans="1:2">
      <c r="A8923" s="7"/>
      <c r="B8923" s="8"/>
    </row>
    <row r="8924" spans="1:2">
      <c r="A8924" s="7"/>
      <c r="B8924" s="8"/>
    </row>
    <row r="8925" spans="1:2">
      <c r="A8925" s="7"/>
      <c r="B8925" s="8"/>
    </row>
    <row r="8926" spans="1:2">
      <c r="A8926" s="7"/>
      <c r="B8926" s="8"/>
    </row>
    <row r="8927" spans="1:2">
      <c r="A8927" s="7"/>
      <c r="B8927" s="8"/>
    </row>
    <row r="8928" spans="1:2">
      <c r="A8928" s="7"/>
      <c r="B8928" s="8"/>
    </row>
    <row r="8929" spans="1:2">
      <c r="A8929" s="7"/>
      <c r="B8929" s="8"/>
    </row>
    <row r="8930" spans="1:2">
      <c r="A8930" s="7"/>
      <c r="B8930" s="8"/>
    </row>
    <row r="8931" spans="1:2">
      <c r="A8931" s="7"/>
      <c r="B8931" s="8"/>
    </row>
    <row r="8932" spans="1:2">
      <c r="A8932" s="7"/>
      <c r="B8932" s="8"/>
    </row>
    <row r="8933" spans="1:2">
      <c r="A8933" s="7"/>
      <c r="B8933" s="8"/>
    </row>
    <row r="8934" spans="1:2">
      <c r="A8934" s="7"/>
      <c r="B8934" s="8"/>
    </row>
    <row r="8935" spans="1:2">
      <c r="A8935" s="7"/>
      <c r="B8935" s="8"/>
    </row>
    <row r="8936" spans="1:2">
      <c r="A8936" s="7"/>
      <c r="B8936" s="8"/>
    </row>
    <row r="8937" spans="1:2">
      <c r="A8937" s="7"/>
      <c r="B8937" s="8"/>
    </row>
    <row r="8938" spans="1:2">
      <c r="A8938" s="7"/>
      <c r="B8938" s="8"/>
    </row>
    <row r="8939" spans="1:2">
      <c r="A8939" s="7"/>
      <c r="B8939" s="8"/>
    </row>
    <row r="8940" spans="1:2">
      <c r="A8940" s="7"/>
      <c r="B8940" s="8"/>
    </row>
    <row r="8941" spans="1:2">
      <c r="A8941" s="7"/>
      <c r="B8941" s="8"/>
    </row>
    <row r="8942" spans="1:2">
      <c r="A8942" s="7"/>
      <c r="B8942" s="8"/>
    </row>
    <row r="8943" spans="1:2">
      <c r="A8943" s="7"/>
      <c r="B8943" s="8"/>
    </row>
    <row r="8944" spans="1:2">
      <c r="A8944" s="7"/>
      <c r="B8944" s="8"/>
    </row>
    <row r="8945" spans="1:2">
      <c r="A8945" s="7"/>
      <c r="B8945" s="8"/>
    </row>
    <row r="8946" spans="1:2">
      <c r="A8946" s="7"/>
      <c r="B8946" s="8"/>
    </row>
    <row r="8947" spans="1:2">
      <c r="A8947" s="7"/>
      <c r="B8947" s="8"/>
    </row>
    <row r="8948" spans="1:2">
      <c r="A8948" s="7"/>
      <c r="B8948" s="8"/>
    </row>
    <row r="8949" spans="1:2">
      <c r="A8949" s="7"/>
      <c r="B8949" s="8"/>
    </row>
    <row r="8950" spans="1:2">
      <c r="A8950" s="7"/>
      <c r="B8950" s="8"/>
    </row>
    <row r="8951" spans="1:2">
      <c r="A8951" s="7"/>
      <c r="B8951" s="8"/>
    </row>
    <row r="8952" spans="1:2">
      <c r="A8952" s="7"/>
      <c r="B8952" s="8"/>
    </row>
    <row r="8953" spans="1:2">
      <c r="A8953" s="7"/>
      <c r="B8953" s="8"/>
    </row>
    <row r="8954" spans="1:2">
      <c r="A8954" s="7"/>
      <c r="B8954" s="8"/>
    </row>
    <row r="8955" spans="1:2">
      <c r="A8955" s="7"/>
      <c r="B8955" s="8"/>
    </row>
    <row r="8956" spans="1:2">
      <c r="A8956" s="7"/>
      <c r="B8956" s="8"/>
    </row>
    <row r="8957" spans="1:2">
      <c r="A8957" s="7"/>
      <c r="B8957" s="8"/>
    </row>
    <row r="8958" spans="1:2">
      <c r="A8958" s="7"/>
      <c r="B8958" s="8"/>
    </row>
    <row r="8959" spans="1:2">
      <c r="A8959" s="7"/>
      <c r="B8959" s="8"/>
    </row>
    <row r="8960" spans="1:2">
      <c r="A8960" s="7"/>
      <c r="B8960" s="8"/>
    </row>
    <row r="8961" spans="1:2">
      <c r="A8961" s="7"/>
      <c r="B8961" s="8"/>
    </row>
    <row r="8962" spans="1:2">
      <c r="A8962" s="7"/>
      <c r="B8962" s="8"/>
    </row>
    <row r="8963" spans="1:2">
      <c r="A8963" s="7"/>
      <c r="B8963" s="8"/>
    </row>
    <row r="8964" spans="1:2">
      <c r="A8964" s="7"/>
      <c r="B8964" s="8"/>
    </row>
    <row r="8965" spans="1:2">
      <c r="A8965" s="7"/>
      <c r="B8965" s="8"/>
    </row>
    <row r="8966" spans="1:2">
      <c r="A8966" s="7"/>
      <c r="B8966" s="8"/>
    </row>
    <row r="8967" spans="1:2">
      <c r="A8967" s="7"/>
      <c r="B8967" s="8"/>
    </row>
    <row r="8968" spans="1:2">
      <c r="A8968" s="7"/>
      <c r="B8968" s="8"/>
    </row>
    <row r="8969" spans="1:2">
      <c r="A8969" s="7"/>
      <c r="B8969" s="8"/>
    </row>
    <row r="8970" spans="1:2">
      <c r="A8970" s="7"/>
      <c r="B8970" s="8"/>
    </row>
    <row r="8971" spans="1:2">
      <c r="A8971" s="7"/>
      <c r="B8971" s="8"/>
    </row>
    <row r="8972" spans="1:2">
      <c r="A8972" s="7"/>
      <c r="B8972" s="8"/>
    </row>
    <row r="8973" spans="1:2">
      <c r="A8973" s="7"/>
      <c r="B8973" s="8"/>
    </row>
    <row r="8974" spans="1:2">
      <c r="A8974" s="7"/>
      <c r="B8974" s="8"/>
    </row>
    <row r="8975" spans="1:2">
      <c r="A8975" s="7"/>
      <c r="B8975" s="8"/>
    </row>
    <row r="8976" spans="1:2">
      <c r="A8976" s="7"/>
      <c r="B8976" s="8"/>
    </row>
    <row r="8977" spans="1:2">
      <c r="A8977" s="7"/>
      <c r="B8977" s="8"/>
    </row>
    <row r="8978" spans="1:2">
      <c r="A8978" s="7"/>
      <c r="B8978" s="8"/>
    </row>
    <row r="8979" spans="1:2">
      <c r="A8979" s="7"/>
      <c r="B8979" s="8"/>
    </row>
    <row r="8980" spans="1:2">
      <c r="A8980" s="7"/>
      <c r="B8980" s="8"/>
    </row>
    <row r="8981" spans="1:2">
      <c r="A8981" s="7"/>
      <c r="B8981" s="8"/>
    </row>
    <row r="8982" spans="1:2">
      <c r="A8982" s="7"/>
      <c r="B8982" s="8"/>
    </row>
    <row r="8983" spans="1:2">
      <c r="A8983" s="7"/>
      <c r="B8983" s="8"/>
    </row>
    <row r="8984" spans="1:2">
      <c r="A8984" s="7"/>
      <c r="B8984" s="8"/>
    </row>
    <row r="8985" spans="1:2">
      <c r="A8985" s="7"/>
      <c r="B8985" s="8"/>
    </row>
    <row r="8986" spans="1:2">
      <c r="A8986" s="7"/>
      <c r="B8986" s="8"/>
    </row>
    <row r="8987" spans="1:2">
      <c r="A8987" s="7"/>
      <c r="B8987" s="8"/>
    </row>
    <row r="8988" spans="1:2">
      <c r="A8988" s="7"/>
      <c r="B8988" s="8"/>
    </row>
    <row r="8989" spans="1:2">
      <c r="A8989" s="7"/>
      <c r="B8989" s="8"/>
    </row>
    <row r="8990" spans="1:2">
      <c r="A8990" s="7"/>
      <c r="B8990" s="8"/>
    </row>
    <row r="8991" spans="1:2">
      <c r="A8991" s="7"/>
      <c r="B8991" s="8"/>
    </row>
    <row r="8992" spans="1:2">
      <c r="A8992" s="7"/>
      <c r="B8992" s="8"/>
    </row>
    <row r="8993" spans="1:2">
      <c r="A8993" s="7"/>
      <c r="B8993" s="8"/>
    </row>
    <row r="8994" spans="1:2">
      <c r="A8994" s="7"/>
      <c r="B8994" s="8"/>
    </row>
    <row r="8995" spans="1:2">
      <c r="A8995" s="7"/>
      <c r="B8995" s="8"/>
    </row>
    <row r="8996" spans="1:2">
      <c r="A8996" s="7"/>
      <c r="B8996" s="8"/>
    </row>
    <row r="8997" spans="1:2">
      <c r="A8997" s="7"/>
      <c r="B8997" s="8"/>
    </row>
    <row r="8998" spans="1:2">
      <c r="A8998" s="7"/>
      <c r="B8998" s="8"/>
    </row>
    <row r="8999" spans="1:2">
      <c r="A8999" s="7"/>
      <c r="B8999" s="8"/>
    </row>
    <row r="9000" spans="1:2">
      <c r="A9000" s="7"/>
      <c r="B9000" s="8"/>
    </row>
    <row r="9001" spans="1:2">
      <c r="A9001" s="7"/>
      <c r="B9001" s="8"/>
    </row>
    <row r="9002" spans="1:2">
      <c r="A9002" s="7"/>
      <c r="B9002" s="8"/>
    </row>
    <row r="9003" spans="1:2">
      <c r="A9003" s="7"/>
      <c r="B9003" s="8"/>
    </row>
    <row r="9004" spans="1:2">
      <c r="A9004" s="7"/>
      <c r="B9004" s="8"/>
    </row>
    <row r="9005" spans="1:2">
      <c r="A9005" s="7"/>
      <c r="B9005" s="8"/>
    </row>
    <row r="9006" spans="1:2">
      <c r="A9006" s="7"/>
      <c r="B9006" s="8"/>
    </row>
    <row r="9007" spans="1:2">
      <c r="A9007" s="7"/>
      <c r="B9007" s="8"/>
    </row>
    <row r="9008" spans="1:2">
      <c r="A9008" s="7"/>
      <c r="B9008" s="8"/>
    </row>
    <row r="9009" spans="1:2">
      <c r="A9009" s="7"/>
      <c r="B9009" s="8"/>
    </row>
    <row r="9010" spans="1:2">
      <c r="A9010" s="7"/>
      <c r="B9010" s="8"/>
    </row>
    <row r="9011" spans="1:2">
      <c r="A9011" s="7"/>
      <c r="B9011" s="8"/>
    </row>
    <row r="9012" spans="1:2">
      <c r="A9012" s="7"/>
      <c r="B9012" s="8"/>
    </row>
    <row r="9013" spans="1:2">
      <c r="A9013" s="7"/>
      <c r="B9013" s="8"/>
    </row>
    <row r="9014" spans="1:2">
      <c r="A9014" s="7"/>
      <c r="B9014" s="8"/>
    </row>
    <row r="9015" spans="1:2">
      <c r="A9015" s="7"/>
      <c r="B9015" s="8"/>
    </row>
    <row r="9016" spans="1:2">
      <c r="A9016" s="7"/>
      <c r="B9016" s="8"/>
    </row>
    <row r="9017" spans="1:2">
      <c r="A9017" s="7"/>
      <c r="B9017" s="8"/>
    </row>
    <row r="9018" spans="1:2">
      <c r="A9018" s="7"/>
      <c r="B9018" s="8"/>
    </row>
    <row r="9019" spans="1:2">
      <c r="A9019" s="7"/>
      <c r="B9019" s="8"/>
    </row>
    <row r="9020" spans="1:2">
      <c r="A9020" s="7"/>
      <c r="B9020" s="8"/>
    </row>
    <row r="9021" spans="1:2">
      <c r="A9021" s="7"/>
      <c r="B9021" s="8"/>
    </row>
    <row r="9022" spans="1:2">
      <c r="A9022" s="7"/>
      <c r="B9022" s="8"/>
    </row>
    <row r="9023" spans="1:2">
      <c r="A9023" s="7"/>
      <c r="B9023" s="8"/>
    </row>
    <row r="9024" spans="1:2">
      <c r="A9024" s="7"/>
      <c r="B9024" s="8"/>
    </row>
    <row r="9025" spans="1:2">
      <c r="A9025" s="7"/>
      <c r="B9025" s="8"/>
    </row>
    <row r="9026" spans="1:2">
      <c r="A9026" s="7"/>
      <c r="B9026" s="8"/>
    </row>
    <row r="9027" spans="1:2">
      <c r="A9027" s="7"/>
      <c r="B9027" s="8"/>
    </row>
    <row r="9028" spans="1:2">
      <c r="A9028" s="7"/>
      <c r="B9028" s="8"/>
    </row>
    <row r="9029" spans="1:2">
      <c r="A9029" s="7"/>
      <c r="B9029" s="8"/>
    </row>
    <row r="9030" spans="1:2">
      <c r="A9030" s="7"/>
      <c r="B9030" s="8"/>
    </row>
    <row r="9031" spans="1:2">
      <c r="A9031" s="7"/>
      <c r="B9031" s="8"/>
    </row>
    <row r="9032" spans="1:2">
      <c r="A9032" s="7"/>
      <c r="B9032" s="8"/>
    </row>
    <row r="9033" spans="1:2">
      <c r="A9033" s="7"/>
      <c r="B9033" s="8"/>
    </row>
    <row r="9034" spans="1:2">
      <c r="A9034" s="7"/>
      <c r="B9034" s="8"/>
    </row>
    <row r="9035" spans="1:2">
      <c r="A9035" s="7"/>
      <c r="B9035" s="8"/>
    </row>
    <row r="9036" spans="1:2">
      <c r="A9036" s="7"/>
      <c r="B9036" s="8"/>
    </row>
    <row r="9037" spans="1:2">
      <c r="A9037" s="7"/>
      <c r="B9037" s="8"/>
    </row>
    <row r="9038" spans="1:2">
      <c r="A9038" s="7"/>
      <c r="B9038" s="8"/>
    </row>
    <row r="9039" spans="1:2">
      <c r="A9039" s="7"/>
      <c r="B9039" s="8"/>
    </row>
    <row r="9040" spans="1:2">
      <c r="A9040" s="7"/>
      <c r="B9040" s="8"/>
    </row>
    <row r="9041" spans="1:2">
      <c r="A9041" s="7"/>
      <c r="B9041" s="8"/>
    </row>
    <row r="9042" spans="1:2">
      <c r="A9042" s="7"/>
      <c r="B9042" s="8"/>
    </row>
    <row r="9043" spans="1:2">
      <c r="A9043" s="7"/>
      <c r="B9043" s="8"/>
    </row>
    <row r="9044" spans="1:2">
      <c r="A9044" s="7"/>
      <c r="B9044" s="8"/>
    </row>
    <row r="9045" spans="1:2">
      <c r="A9045" s="7"/>
      <c r="B9045" s="8"/>
    </row>
    <row r="9046" spans="1:2">
      <c r="A9046" s="7"/>
      <c r="B9046" s="8"/>
    </row>
    <row r="9047" spans="1:2">
      <c r="A9047" s="7"/>
      <c r="B9047" s="8"/>
    </row>
    <row r="9048" spans="1:2">
      <c r="A9048" s="7"/>
      <c r="B9048" s="8"/>
    </row>
    <row r="9049" spans="1:2">
      <c r="A9049" s="7"/>
      <c r="B9049" s="8"/>
    </row>
    <row r="9050" spans="1:2">
      <c r="A9050" s="7"/>
      <c r="B9050" s="8"/>
    </row>
    <row r="9051" spans="1:2">
      <c r="A9051" s="7"/>
      <c r="B9051" s="8"/>
    </row>
    <row r="9052" spans="1:2">
      <c r="A9052" s="7"/>
      <c r="B9052" s="8"/>
    </row>
    <row r="9053" spans="1:2">
      <c r="A9053" s="7"/>
      <c r="B9053" s="8"/>
    </row>
    <row r="9054" spans="1:2">
      <c r="A9054" s="7"/>
      <c r="B9054" s="8"/>
    </row>
    <row r="9055" spans="1:2">
      <c r="A9055" s="7"/>
      <c r="B9055" s="8"/>
    </row>
    <row r="9056" spans="1:2">
      <c r="A9056" s="7"/>
      <c r="B9056" s="8"/>
    </row>
    <row r="9057" spans="1:2">
      <c r="A9057" s="7"/>
      <c r="B9057" s="8"/>
    </row>
    <row r="9058" spans="1:2">
      <c r="A9058" s="7"/>
      <c r="B9058" s="8"/>
    </row>
    <row r="9059" spans="1:2">
      <c r="A9059" s="7"/>
      <c r="B9059" s="8"/>
    </row>
    <row r="9060" spans="1:2">
      <c r="A9060" s="7"/>
      <c r="B9060" s="8"/>
    </row>
    <row r="9061" spans="1:2">
      <c r="A9061" s="7"/>
      <c r="B9061" s="8"/>
    </row>
    <row r="9062" spans="1:2">
      <c r="A9062" s="7"/>
      <c r="B9062" s="8"/>
    </row>
    <row r="9063" spans="1:2">
      <c r="A9063" s="7"/>
      <c r="B9063" s="8"/>
    </row>
    <row r="9064" spans="1:2">
      <c r="A9064" s="7"/>
      <c r="B9064" s="8"/>
    </row>
    <row r="9065" spans="1:2">
      <c r="A9065" s="7"/>
      <c r="B9065" s="8"/>
    </row>
    <row r="9066" spans="1:2">
      <c r="A9066" s="7"/>
      <c r="B9066" s="8"/>
    </row>
    <row r="9067" spans="1:2">
      <c r="A9067" s="7"/>
      <c r="B9067" s="8"/>
    </row>
    <row r="9068" spans="1:2">
      <c r="A9068" s="7"/>
      <c r="B9068" s="8"/>
    </row>
    <row r="9069" spans="1:2">
      <c r="A9069" s="7"/>
      <c r="B9069" s="8"/>
    </row>
    <row r="9070" spans="1:2">
      <c r="A9070" s="7"/>
      <c r="B9070" s="8"/>
    </row>
    <row r="9071" spans="1:2">
      <c r="A9071" s="7"/>
      <c r="B9071" s="8"/>
    </row>
    <row r="9072" spans="1:2">
      <c r="A9072" s="7"/>
      <c r="B9072" s="8"/>
    </row>
    <row r="9073" spans="1:2">
      <c r="A9073" s="7"/>
      <c r="B9073" s="8"/>
    </row>
    <row r="9074" spans="1:2">
      <c r="A9074" s="7"/>
      <c r="B9074" s="8"/>
    </row>
    <row r="9075" spans="1:2">
      <c r="A9075" s="7"/>
      <c r="B9075" s="8"/>
    </row>
    <row r="9076" spans="1:2">
      <c r="A9076" s="7"/>
      <c r="B9076" s="8"/>
    </row>
    <row r="9077" spans="1:2">
      <c r="A9077" s="7"/>
      <c r="B9077" s="8"/>
    </row>
    <row r="9078" spans="1:2">
      <c r="A9078" s="7"/>
      <c r="B9078" s="8"/>
    </row>
    <row r="9079" spans="1:2">
      <c r="A9079" s="7"/>
      <c r="B9079" s="8"/>
    </row>
    <row r="9080" spans="1:2">
      <c r="A9080" s="7"/>
      <c r="B9080" s="8"/>
    </row>
    <row r="9081" spans="1:2">
      <c r="A9081" s="7"/>
      <c r="B9081" s="8"/>
    </row>
    <row r="9082" spans="1:2">
      <c r="A9082" s="7"/>
      <c r="B9082" s="8"/>
    </row>
    <row r="9083" spans="1:2">
      <c r="A9083" s="7"/>
      <c r="B9083" s="8"/>
    </row>
    <row r="9084" spans="1:2">
      <c r="A9084" s="7"/>
      <c r="B9084" s="8"/>
    </row>
    <row r="9085" spans="1:2">
      <c r="A9085" s="7"/>
      <c r="B9085" s="8"/>
    </row>
    <row r="9086" spans="1:2">
      <c r="A9086" s="7"/>
      <c r="B9086" s="8"/>
    </row>
    <row r="9087" spans="1:2">
      <c r="A9087" s="7"/>
      <c r="B9087" s="8"/>
    </row>
    <row r="9088" spans="1:2">
      <c r="A9088" s="7"/>
      <c r="B9088" s="8"/>
    </row>
    <row r="9089" spans="1:2">
      <c r="A9089" s="7"/>
      <c r="B9089" s="8"/>
    </row>
    <row r="9090" spans="1:2">
      <c r="A9090" s="7"/>
      <c r="B9090" s="8"/>
    </row>
    <row r="9091" spans="1:2">
      <c r="A9091" s="7"/>
      <c r="B9091" s="8"/>
    </row>
    <row r="9092" spans="1:2">
      <c r="A9092" s="7"/>
      <c r="B9092" s="8"/>
    </row>
    <row r="9093" spans="1:2">
      <c r="A9093" s="7"/>
      <c r="B9093" s="8"/>
    </row>
    <row r="9094" spans="1:2">
      <c r="A9094" s="7"/>
      <c r="B9094" s="8"/>
    </row>
    <row r="9095" spans="1:2">
      <c r="A9095" s="7"/>
      <c r="B9095" s="8"/>
    </row>
    <row r="9096" spans="1:2">
      <c r="A9096" s="7"/>
      <c r="B9096" s="8"/>
    </row>
    <row r="9097" spans="1:2">
      <c r="A9097" s="7"/>
      <c r="B9097" s="8"/>
    </row>
    <row r="9098" spans="1:2">
      <c r="A9098" s="7"/>
      <c r="B9098" s="8"/>
    </row>
    <row r="9099" spans="1:2">
      <c r="A9099" s="7"/>
      <c r="B9099" s="8"/>
    </row>
    <row r="9100" spans="1:2">
      <c r="A9100" s="7"/>
      <c r="B9100" s="8"/>
    </row>
    <row r="9101" spans="1:2">
      <c r="A9101" s="7"/>
      <c r="B9101" s="8"/>
    </row>
    <row r="9102" spans="1:2">
      <c r="A9102" s="7"/>
      <c r="B9102" s="8"/>
    </row>
    <row r="9103" spans="1:2">
      <c r="A9103" s="7"/>
      <c r="B9103" s="8"/>
    </row>
    <row r="9104" spans="1:2">
      <c r="A9104" s="7"/>
      <c r="B9104" s="8"/>
    </row>
    <row r="9105" spans="1:2">
      <c r="A9105" s="7"/>
      <c r="B9105" s="8"/>
    </row>
    <row r="9106" spans="1:2">
      <c r="A9106" s="7"/>
      <c r="B9106" s="8"/>
    </row>
    <row r="9107" spans="1:2">
      <c r="A9107" s="7"/>
      <c r="B9107" s="8"/>
    </row>
    <row r="9108" spans="1:2">
      <c r="A9108" s="7"/>
      <c r="B9108" s="8"/>
    </row>
    <row r="9109" spans="1:2">
      <c r="A9109" s="7"/>
      <c r="B9109" s="8"/>
    </row>
    <row r="9110" spans="1:2">
      <c r="A9110" s="7"/>
      <c r="B9110" s="8"/>
    </row>
    <row r="9111" spans="1:2">
      <c r="A9111" s="7"/>
      <c r="B9111" s="8"/>
    </row>
    <row r="9112" spans="1:2">
      <c r="A9112" s="7"/>
      <c r="B9112" s="8"/>
    </row>
    <row r="9113" spans="1:2">
      <c r="A9113" s="7"/>
      <c r="B9113" s="8"/>
    </row>
    <row r="9114" spans="1:2">
      <c r="A9114" s="7"/>
      <c r="B9114" s="8"/>
    </row>
    <row r="9115" spans="1:2">
      <c r="A9115" s="7"/>
      <c r="B9115" s="8"/>
    </row>
    <row r="9116" spans="1:2">
      <c r="A9116" s="7"/>
      <c r="B9116" s="8"/>
    </row>
    <row r="9117" spans="1:2">
      <c r="A9117" s="7"/>
      <c r="B9117" s="8"/>
    </row>
    <row r="9118" spans="1:2">
      <c r="A9118" s="7"/>
      <c r="B9118" s="8"/>
    </row>
    <row r="9119" spans="1:2">
      <c r="A9119" s="7"/>
      <c r="B9119" s="8"/>
    </row>
    <row r="9120" spans="1:2">
      <c r="A9120" s="7"/>
      <c r="B9120" s="8"/>
    </row>
    <row r="9121" spans="1:2">
      <c r="A9121" s="7"/>
      <c r="B9121" s="8"/>
    </row>
    <row r="9122" spans="1:2">
      <c r="A9122" s="7"/>
      <c r="B9122" s="8"/>
    </row>
    <row r="9123" spans="1:2">
      <c r="A9123" s="7"/>
      <c r="B9123" s="8"/>
    </row>
    <row r="9124" spans="1:2">
      <c r="A9124" s="7"/>
      <c r="B9124" s="8"/>
    </row>
    <row r="9125" spans="1:2">
      <c r="A9125" s="7"/>
      <c r="B9125" s="8"/>
    </row>
    <row r="9126" spans="1:2">
      <c r="A9126" s="7"/>
      <c r="B9126" s="8"/>
    </row>
    <row r="9127" spans="1:2">
      <c r="A9127" s="7"/>
      <c r="B9127" s="8"/>
    </row>
    <row r="9128" spans="1:2">
      <c r="A9128" s="7"/>
      <c r="B9128" s="8"/>
    </row>
    <row r="9129" spans="1:2">
      <c r="A9129" s="7"/>
      <c r="B9129" s="8"/>
    </row>
    <row r="9130" spans="1:2">
      <c r="A9130" s="7"/>
      <c r="B9130" s="8"/>
    </row>
    <row r="9131" spans="1:2">
      <c r="A9131" s="7"/>
      <c r="B9131" s="8"/>
    </row>
    <row r="9132" spans="1:2">
      <c r="A9132" s="7"/>
      <c r="B9132" s="8"/>
    </row>
    <row r="9133" spans="1:2">
      <c r="A9133" s="7"/>
      <c r="B9133" s="8"/>
    </row>
    <row r="9134" spans="1:2">
      <c r="A9134" s="7"/>
      <c r="B9134" s="8"/>
    </row>
    <row r="9135" spans="1:2">
      <c r="A9135" s="7"/>
      <c r="B9135" s="8"/>
    </row>
    <row r="9136" spans="1:2">
      <c r="A9136" s="7"/>
      <c r="B9136" s="8"/>
    </row>
    <row r="9137" spans="1:2">
      <c r="A9137" s="7"/>
      <c r="B9137" s="8"/>
    </row>
    <row r="9138" spans="1:2">
      <c r="A9138" s="7"/>
      <c r="B9138" s="8"/>
    </row>
    <row r="9139" spans="1:2">
      <c r="A9139" s="7"/>
      <c r="B9139" s="8"/>
    </row>
    <row r="9140" spans="1:2">
      <c r="A9140" s="7"/>
      <c r="B9140" s="8"/>
    </row>
    <row r="9141" spans="1:2">
      <c r="A9141" s="7"/>
      <c r="B9141" s="8"/>
    </row>
    <row r="9142" spans="1:2">
      <c r="A9142" s="7"/>
      <c r="B9142" s="8"/>
    </row>
    <row r="9143" spans="1:2">
      <c r="A9143" s="7"/>
      <c r="B9143" s="8"/>
    </row>
    <row r="9144" spans="1:2">
      <c r="A9144" s="7"/>
      <c r="B9144" s="8"/>
    </row>
    <row r="9145" spans="1:2">
      <c r="A9145" s="7"/>
      <c r="B9145" s="8"/>
    </row>
    <row r="9146" spans="1:2">
      <c r="A9146" s="7"/>
      <c r="B9146" s="8"/>
    </row>
    <row r="9147" spans="1:2">
      <c r="A9147" s="7"/>
      <c r="B9147" s="8"/>
    </row>
    <row r="9148" spans="1:2">
      <c r="A9148" s="7"/>
      <c r="B9148" s="8"/>
    </row>
    <row r="9149" spans="1:2">
      <c r="A9149" s="7"/>
      <c r="B9149" s="8"/>
    </row>
    <row r="9150" spans="1:2">
      <c r="A9150" s="7"/>
      <c r="B9150" s="8"/>
    </row>
    <row r="9151" spans="1:2">
      <c r="A9151" s="7"/>
      <c r="B9151" s="8"/>
    </row>
    <row r="9152" spans="1:2">
      <c r="A9152" s="7"/>
      <c r="B9152" s="8"/>
    </row>
    <row r="9153" spans="1:2">
      <c r="A9153" s="7"/>
      <c r="B9153" s="8"/>
    </row>
    <row r="9154" spans="1:2">
      <c r="A9154" s="7"/>
      <c r="B9154" s="8"/>
    </row>
    <row r="9155" spans="1:2">
      <c r="A9155" s="7"/>
      <c r="B9155" s="8"/>
    </row>
    <row r="9156" spans="1:2">
      <c r="A9156" s="7"/>
      <c r="B9156" s="8"/>
    </row>
    <row r="9157" spans="1:2">
      <c r="A9157" s="7"/>
      <c r="B9157" s="8"/>
    </row>
    <row r="9158" spans="1:2">
      <c r="A9158" s="7"/>
      <c r="B9158" s="8"/>
    </row>
    <row r="9159" spans="1:2">
      <c r="A9159" s="7"/>
      <c r="B9159" s="8"/>
    </row>
    <row r="9160" spans="1:2">
      <c r="A9160" s="7"/>
      <c r="B9160" s="8"/>
    </row>
    <row r="9161" spans="1:2">
      <c r="A9161" s="7"/>
      <c r="B9161" s="8"/>
    </row>
    <row r="9162" spans="1:2">
      <c r="A9162" s="7"/>
      <c r="B9162" s="8"/>
    </row>
    <row r="9163" spans="1:2">
      <c r="A9163" s="7"/>
      <c r="B9163" s="8"/>
    </row>
    <row r="9164" spans="1:2">
      <c r="A9164" s="7"/>
      <c r="B9164" s="8"/>
    </row>
    <row r="9165" spans="1:2">
      <c r="A9165" s="7"/>
      <c r="B9165" s="8"/>
    </row>
    <row r="9166" spans="1:2">
      <c r="A9166" s="7"/>
      <c r="B9166" s="8"/>
    </row>
    <row r="9167" spans="1:2">
      <c r="A9167" s="7"/>
      <c r="B9167" s="8"/>
    </row>
    <row r="9168" spans="1:2">
      <c r="A9168" s="7"/>
      <c r="B9168" s="8"/>
    </row>
    <row r="9169" spans="1:2">
      <c r="A9169" s="7"/>
      <c r="B9169" s="8"/>
    </row>
    <row r="9170" spans="1:2">
      <c r="A9170" s="7"/>
      <c r="B9170" s="8"/>
    </row>
    <row r="9171" spans="1:2">
      <c r="A9171" s="7"/>
      <c r="B9171" s="8"/>
    </row>
    <row r="9172" spans="1:2">
      <c r="A9172" s="7"/>
      <c r="B9172" s="8"/>
    </row>
    <row r="9173" spans="1:2">
      <c r="A9173" s="7"/>
      <c r="B9173" s="8"/>
    </row>
    <row r="9174" spans="1:2">
      <c r="A9174" s="7"/>
      <c r="B9174" s="8"/>
    </row>
    <row r="9175" spans="1:2">
      <c r="A9175" s="7"/>
      <c r="B9175" s="8"/>
    </row>
    <row r="9176" spans="1:2">
      <c r="A9176" s="7"/>
      <c r="B9176" s="8"/>
    </row>
    <row r="9177" spans="1:2">
      <c r="A9177" s="7"/>
      <c r="B9177" s="8"/>
    </row>
    <row r="9178" spans="1:2">
      <c r="A9178" s="7"/>
      <c r="B9178" s="8"/>
    </row>
    <row r="9179" spans="1:2">
      <c r="A9179" s="7"/>
      <c r="B9179" s="8"/>
    </row>
    <row r="9180" spans="1:2">
      <c r="A9180" s="7"/>
      <c r="B9180" s="8"/>
    </row>
    <row r="9181" spans="1:2">
      <c r="A9181" s="7"/>
      <c r="B9181" s="8"/>
    </row>
    <row r="9182" spans="1:2">
      <c r="A9182" s="7"/>
      <c r="B9182" s="8"/>
    </row>
    <row r="9183" spans="1:2">
      <c r="A9183" s="7"/>
      <c r="B9183" s="8"/>
    </row>
    <row r="9184" spans="1:2">
      <c r="A9184" s="7"/>
      <c r="B9184" s="8"/>
    </row>
    <row r="9185" spans="1:2">
      <c r="A9185" s="7"/>
      <c r="B9185" s="8"/>
    </row>
    <row r="9186" spans="1:2">
      <c r="A9186" s="7"/>
      <c r="B9186" s="8"/>
    </row>
    <row r="9187" spans="1:2">
      <c r="A9187" s="7"/>
      <c r="B9187" s="8"/>
    </row>
    <row r="9188" spans="1:2">
      <c r="A9188" s="7"/>
      <c r="B9188" s="8"/>
    </row>
    <row r="9189" spans="1:2">
      <c r="A9189" s="7"/>
      <c r="B9189" s="8"/>
    </row>
    <row r="9190" spans="1:2">
      <c r="A9190" s="7"/>
      <c r="B9190" s="8"/>
    </row>
    <row r="9191" spans="1:2">
      <c r="A9191" s="7"/>
      <c r="B9191" s="8"/>
    </row>
    <row r="9192" spans="1:2">
      <c r="A9192" s="7"/>
      <c r="B9192" s="8"/>
    </row>
    <row r="9193" spans="1:2">
      <c r="A9193" s="7"/>
      <c r="B9193" s="8"/>
    </row>
    <row r="9194" spans="1:2">
      <c r="A9194" s="7"/>
      <c r="B9194" s="8"/>
    </row>
    <row r="9195" spans="1:2">
      <c r="A9195" s="7"/>
      <c r="B9195" s="8"/>
    </row>
    <row r="9196" spans="1:2">
      <c r="A9196" s="7"/>
      <c r="B9196" s="8"/>
    </row>
    <row r="9197" spans="1:2">
      <c r="A9197" s="7"/>
      <c r="B9197" s="8"/>
    </row>
    <row r="9198" spans="1:2">
      <c r="A9198" s="7"/>
      <c r="B9198" s="8"/>
    </row>
    <row r="9199" spans="1:2">
      <c r="A9199" s="7"/>
      <c r="B9199" s="8"/>
    </row>
    <row r="9200" spans="1:2">
      <c r="A9200" s="7"/>
      <c r="B9200" s="8"/>
    </row>
    <row r="9201" spans="1:2">
      <c r="A9201" s="7"/>
      <c r="B9201" s="8"/>
    </row>
    <row r="9202" spans="1:2">
      <c r="A9202" s="7"/>
      <c r="B9202" s="8"/>
    </row>
    <row r="9203" spans="1:2">
      <c r="A9203" s="7"/>
      <c r="B9203" s="8"/>
    </row>
    <row r="9204" spans="1:2">
      <c r="A9204" s="7"/>
      <c r="B9204" s="8"/>
    </row>
    <row r="9205" spans="1:2">
      <c r="A9205" s="7"/>
      <c r="B9205" s="8"/>
    </row>
    <row r="9206" spans="1:2">
      <c r="A9206" s="7"/>
      <c r="B9206" s="8"/>
    </row>
    <row r="9207" spans="1:2">
      <c r="A9207" s="7"/>
      <c r="B9207" s="8"/>
    </row>
    <row r="9208" spans="1:2">
      <c r="A9208" s="7"/>
      <c r="B9208" s="8"/>
    </row>
    <row r="9209" spans="1:2">
      <c r="A9209" s="7"/>
      <c r="B9209" s="8"/>
    </row>
    <row r="9210" spans="1:2">
      <c r="A9210" s="7"/>
      <c r="B9210" s="8"/>
    </row>
    <row r="9211" spans="1:2">
      <c r="A9211" s="7"/>
      <c r="B9211" s="8"/>
    </row>
    <row r="9212" spans="1:2">
      <c r="A9212" s="7"/>
      <c r="B9212" s="8"/>
    </row>
    <row r="9213" spans="1:2">
      <c r="A9213" s="7"/>
      <c r="B9213" s="8"/>
    </row>
    <row r="9214" spans="1:2">
      <c r="A9214" s="7"/>
      <c r="B9214" s="8"/>
    </row>
    <row r="9215" spans="1:2">
      <c r="A9215" s="7"/>
      <c r="B9215" s="8"/>
    </row>
    <row r="9216" spans="1:2">
      <c r="A9216" s="7"/>
      <c r="B9216" s="8"/>
    </row>
    <row r="9217" spans="1:2">
      <c r="A9217" s="7"/>
      <c r="B9217" s="8"/>
    </row>
    <row r="9218" spans="1:2">
      <c r="A9218" s="7"/>
      <c r="B9218" s="8"/>
    </row>
    <row r="9219" spans="1:2">
      <c r="A9219" s="7"/>
      <c r="B9219" s="8"/>
    </row>
    <row r="9220" spans="1:2">
      <c r="A9220" s="7"/>
      <c r="B9220" s="8"/>
    </row>
    <row r="9221" spans="1:2">
      <c r="A9221" s="7"/>
      <c r="B9221" s="8"/>
    </row>
    <row r="9222" spans="1:2">
      <c r="A9222" s="7"/>
      <c r="B9222" s="8"/>
    </row>
    <row r="9223" spans="1:2">
      <c r="A9223" s="7"/>
      <c r="B9223" s="8"/>
    </row>
    <row r="9224" spans="1:2">
      <c r="A9224" s="7"/>
      <c r="B9224" s="8"/>
    </row>
    <row r="9225" spans="1:2">
      <c r="A9225" s="7"/>
      <c r="B9225" s="8"/>
    </row>
    <row r="9226" spans="1:2">
      <c r="A9226" s="7"/>
      <c r="B9226" s="8"/>
    </row>
    <row r="9227" spans="1:2">
      <c r="A9227" s="7"/>
      <c r="B9227" s="8"/>
    </row>
    <row r="9228" spans="1:2">
      <c r="A9228" s="7"/>
      <c r="B9228" s="8"/>
    </row>
    <row r="9229" spans="1:2">
      <c r="A9229" s="7"/>
      <c r="B9229" s="8"/>
    </row>
    <row r="9230" spans="1:2">
      <c r="A9230" s="7"/>
      <c r="B9230" s="8"/>
    </row>
    <row r="9231" spans="1:2">
      <c r="A9231" s="7"/>
      <c r="B9231" s="8"/>
    </row>
    <row r="9232" spans="1:2">
      <c r="A9232" s="7"/>
      <c r="B9232" s="8"/>
    </row>
    <row r="9233" spans="1:2">
      <c r="A9233" s="7"/>
      <c r="B9233" s="8"/>
    </row>
    <row r="9234" spans="1:2">
      <c r="A9234" s="7"/>
      <c r="B9234" s="8"/>
    </row>
    <row r="9235" spans="1:2">
      <c r="A9235" s="7"/>
      <c r="B9235" s="8"/>
    </row>
    <row r="9236" spans="1:2">
      <c r="A9236" s="7"/>
      <c r="B9236" s="8"/>
    </row>
    <row r="9237" spans="1:2">
      <c r="A9237" s="7"/>
      <c r="B9237" s="8"/>
    </row>
    <row r="9238" spans="1:2">
      <c r="A9238" s="7"/>
      <c r="B9238" s="8"/>
    </row>
    <row r="9239" spans="1:2">
      <c r="A9239" s="7"/>
      <c r="B9239" s="8"/>
    </row>
    <row r="9240" spans="1:2">
      <c r="A9240" s="7"/>
      <c r="B9240" s="8"/>
    </row>
    <row r="9241" spans="1:2">
      <c r="A9241" s="7"/>
      <c r="B9241" s="8"/>
    </row>
    <row r="9242" spans="1:2">
      <c r="A9242" s="7"/>
      <c r="B9242" s="8"/>
    </row>
    <row r="9243" spans="1:2">
      <c r="A9243" s="7"/>
      <c r="B9243" s="8"/>
    </row>
    <row r="9244" spans="1:2">
      <c r="A9244" s="7"/>
      <c r="B9244" s="8"/>
    </row>
    <row r="9245" spans="1:2">
      <c r="A9245" s="7"/>
      <c r="B9245" s="8"/>
    </row>
    <row r="9246" spans="1:2">
      <c r="A9246" s="7"/>
      <c r="B9246" s="8"/>
    </row>
    <row r="9247" spans="1:2">
      <c r="A9247" s="7"/>
      <c r="B9247" s="8"/>
    </row>
    <row r="9248" spans="1:2">
      <c r="A9248" s="7"/>
      <c r="B9248" s="8"/>
    </row>
    <row r="9249" spans="1:2">
      <c r="A9249" s="7"/>
      <c r="B9249" s="8"/>
    </row>
    <row r="9250" spans="1:2">
      <c r="A9250" s="7"/>
      <c r="B9250" s="8"/>
    </row>
    <row r="9251" spans="1:2">
      <c r="A9251" s="7"/>
      <c r="B9251" s="8"/>
    </row>
    <row r="9252" spans="1:2">
      <c r="A9252" s="7"/>
      <c r="B9252" s="8"/>
    </row>
    <row r="9253" spans="1:2">
      <c r="A9253" s="7"/>
      <c r="B9253" s="8"/>
    </row>
    <row r="9254" spans="1:2">
      <c r="A9254" s="7"/>
      <c r="B9254" s="8"/>
    </row>
    <row r="9255" spans="1:2">
      <c r="A9255" s="7"/>
      <c r="B9255" s="8"/>
    </row>
    <row r="9256" spans="1:2">
      <c r="A9256" s="7"/>
      <c r="B9256" s="8"/>
    </row>
    <row r="9257" spans="1:2">
      <c r="A9257" s="7"/>
      <c r="B9257" s="8"/>
    </row>
    <row r="9258" spans="1:2">
      <c r="A9258" s="7"/>
      <c r="B9258" s="8"/>
    </row>
    <row r="9259" spans="1:2">
      <c r="A9259" s="7"/>
      <c r="B9259" s="8"/>
    </row>
    <row r="9260" spans="1:2">
      <c r="A9260" s="7"/>
      <c r="B9260" s="8"/>
    </row>
    <row r="9261" spans="1:2">
      <c r="A9261" s="7"/>
      <c r="B9261" s="8"/>
    </row>
    <row r="9262" spans="1:2">
      <c r="A9262" s="7"/>
      <c r="B9262" s="8"/>
    </row>
    <row r="9263" spans="1:2">
      <c r="A9263" s="7"/>
      <c r="B9263" s="8"/>
    </row>
    <row r="9264" spans="1:2">
      <c r="A9264" s="7"/>
      <c r="B9264" s="8"/>
    </row>
    <row r="9265" spans="1:2">
      <c r="A9265" s="7"/>
      <c r="B9265" s="8"/>
    </row>
    <row r="9266" spans="1:2">
      <c r="A9266" s="7"/>
      <c r="B9266" s="8"/>
    </row>
    <row r="9267" spans="1:2">
      <c r="A9267" s="7"/>
      <c r="B9267" s="8"/>
    </row>
    <row r="9268" spans="1:2">
      <c r="A9268" s="7"/>
      <c r="B9268" s="8"/>
    </row>
    <row r="9269" spans="1:2">
      <c r="A9269" s="7"/>
      <c r="B9269" s="8"/>
    </row>
    <row r="9270" spans="1:2">
      <c r="A9270" s="7"/>
      <c r="B9270" s="8"/>
    </row>
    <row r="9271" spans="1:2">
      <c r="A9271" s="7"/>
      <c r="B9271" s="8"/>
    </row>
    <row r="9272" spans="1:2">
      <c r="A9272" s="7"/>
      <c r="B9272" s="8"/>
    </row>
    <row r="9273" spans="1:2">
      <c r="A9273" s="7"/>
      <c r="B9273" s="8"/>
    </row>
    <row r="9274" spans="1:2">
      <c r="A9274" s="7"/>
      <c r="B9274" s="8"/>
    </row>
    <row r="9275" spans="1:2">
      <c r="A9275" s="7"/>
      <c r="B9275" s="8"/>
    </row>
    <row r="9276" spans="1:2">
      <c r="A9276" s="7"/>
      <c r="B9276" s="8"/>
    </row>
    <row r="9277" spans="1:2">
      <c r="A9277" s="7"/>
      <c r="B9277" s="8"/>
    </row>
    <row r="9278" spans="1:2">
      <c r="A9278" s="7"/>
      <c r="B9278" s="8"/>
    </row>
    <row r="9279" spans="1:2">
      <c r="A9279" s="7"/>
      <c r="B9279" s="8"/>
    </row>
    <row r="9280" spans="1:2">
      <c r="A9280" s="7"/>
      <c r="B9280" s="8"/>
    </row>
    <row r="9281" spans="1:2">
      <c r="A9281" s="7"/>
      <c r="B9281" s="8"/>
    </row>
    <row r="9282" spans="1:2">
      <c r="A9282" s="7"/>
      <c r="B9282" s="8"/>
    </row>
    <row r="9283" spans="1:2">
      <c r="A9283" s="7"/>
      <c r="B9283" s="8"/>
    </row>
    <row r="9284" spans="1:2">
      <c r="A9284" s="7"/>
      <c r="B9284" s="8"/>
    </row>
    <row r="9285" spans="1:2">
      <c r="A9285" s="7"/>
      <c r="B9285" s="8"/>
    </row>
    <row r="9286" spans="1:2">
      <c r="A9286" s="7"/>
      <c r="B9286" s="8"/>
    </row>
    <row r="9287" spans="1:2">
      <c r="A9287" s="7"/>
      <c r="B9287" s="8"/>
    </row>
    <row r="9288" spans="1:2">
      <c r="A9288" s="7"/>
      <c r="B9288" s="8"/>
    </row>
    <row r="9289" spans="1:2">
      <c r="A9289" s="7"/>
      <c r="B9289" s="8"/>
    </row>
    <row r="9290" spans="1:2">
      <c r="A9290" s="7"/>
      <c r="B9290" s="8"/>
    </row>
    <row r="9291" spans="1:2">
      <c r="A9291" s="7"/>
      <c r="B9291" s="8"/>
    </row>
    <row r="9292" spans="1:2">
      <c r="A9292" s="7"/>
      <c r="B9292" s="8"/>
    </row>
    <row r="9293" spans="1:2">
      <c r="A9293" s="7"/>
      <c r="B9293" s="8"/>
    </row>
    <row r="9294" spans="1:2">
      <c r="A9294" s="7"/>
      <c r="B9294" s="8"/>
    </row>
    <row r="9295" spans="1:2">
      <c r="A9295" s="7"/>
      <c r="B9295" s="8"/>
    </row>
    <row r="9296" spans="1:2">
      <c r="A9296" s="7"/>
      <c r="B9296" s="8"/>
    </row>
    <row r="9297" spans="1:2">
      <c r="A9297" s="7"/>
      <c r="B9297" s="8"/>
    </row>
    <row r="9298" spans="1:2">
      <c r="A9298" s="7"/>
      <c r="B9298" s="8"/>
    </row>
    <row r="9299" spans="1:2">
      <c r="A9299" s="7"/>
      <c r="B9299" s="8"/>
    </row>
    <row r="9300" spans="1:2">
      <c r="A9300" s="7"/>
      <c r="B9300" s="8"/>
    </row>
    <row r="9301" spans="1:2">
      <c r="A9301" s="7"/>
      <c r="B9301" s="8"/>
    </row>
    <row r="9302" spans="1:2">
      <c r="A9302" s="7"/>
      <c r="B9302" s="8"/>
    </row>
    <row r="9303" spans="1:2">
      <c r="A9303" s="7"/>
      <c r="B9303" s="8"/>
    </row>
    <row r="9304" spans="1:2">
      <c r="A9304" s="7"/>
      <c r="B9304" s="8"/>
    </row>
    <row r="9305" spans="1:2">
      <c r="A9305" s="7"/>
      <c r="B9305" s="8"/>
    </row>
    <row r="9306" spans="1:2">
      <c r="A9306" s="7"/>
      <c r="B9306" s="8"/>
    </row>
    <row r="9307" spans="1:2">
      <c r="A9307" s="7"/>
      <c r="B9307" s="8"/>
    </row>
    <row r="9308" spans="1:2">
      <c r="A9308" s="7"/>
      <c r="B9308" s="8"/>
    </row>
    <row r="9309" spans="1:2">
      <c r="A9309" s="7"/>
      <c r="B9309" s="8"/>
    </row>
    <row r="9310" spans="1:2">
      <c r="A9310" s="7"/>
      <c r="B9310" s="8"/>
    </row>
    <row r="9311" spans="1:2">
      <c r="A9311" s="7"/>
      <c r="B9311" s="8"/>
    </row>
    <row r="9312" spans="1:2">
      <c r="A9312" s="7"/>
      <c r="B9312" s="8"/>
    </row>
    <row r="9313" spans="1:2">
      <c r="A9313" s="7"/>
      <c r="B9313" s="8"/>
    </row>
    <row r="9314" spans="1:2">
      <c r="A9314" s="7"/>
      <c r="B9314" s="8"/>
    </row>
    <row r="9315" spans="1:2">
      <c r="A9315" s="7"/>
      <c r="B9315" s="8"/>
    </row>
    <row r="9316" spans="1:2">
      <c r="A9316" s="7"/>
      <c r="B9316" s="8"/>
    </row>
    <row r="9317" spans="1:2">
      <c r="A9317" s="7"/>
      <c r="B9317" s="8"/>
    </row>
    <row r="9318" spans="1:2">
      <c r="A9318" s="7"/>
      <c r="B9318" s="8"/>
    </row>
    <row r="9319" spans="1:2">
      <c r="A9319" s="7"/>
      <c r="B9319" s="8"/>
    </row>
    <row r="9320" spans="1:2">
      <c r="A9320" s="7"/>
      <c r="B9320" s="8"/>
    </row>
    <row r="9321" spans="1:2">
      <c r="A9321" s="7"/>
      <c r="B9321" s="8"/>
    </row>
    <row r="9322" spans="1:2">
      <c r="A9322" s="7"/>
      <c r="B9322" s="8"/>
    </row>
    <row r="9323" spans="1:2">
      <c r="A9323" s="7"/>
      <c r="B9323" s="8"/>
    </row>
    <row r="9324" spans="1:2">
      <c r="A9324" s="7"/>
      <c r="B9324" s="8"/>
    </row>
    <row r="9325" spans="1:2">
      <c r="A9325" s="7"/>
      <c r="B9325" s="8"/>
    </row>
    <row r="9326" spans="1:2">
      <c r="A9326" s="7"/>
      <c r="B9326" s="8"/>
    </row>
    <row r="9327" spans="1:2">
      <c r="A9327" s="7"/>
      <c r="B9327" s="8"/>
    </row>
    <row r="9328" spans="1:2">
      <c r="A9328" s="7"/>
      <c r="B9328" s="8"/>
    </row>
    <row r="9329" spans="1:2">
      <c r="A9329" s="7"/>
      <c r="B9329" s="8"/>
    </row>
    <row r="9330" spans="1:2">
      <c r="A9330" s="7"/>
      <c r="B9330" s="8"/>
    </row>
    <row r="9331" spans="1:2">
      <c r="A9331" s="7"/>
      <c r="B9331" s="8"/>
    </row>
    <row r="9332" spans="1:2">
      <c r="A9332" s="7"/>
      <c r="B9332" s="8"/>
    </row>
    <row r="9333" spans="1:2">
      <c r="A9333" s="7"/>
      <c r="B9333" s="8"/>
    </row>
    <row r="9334" spans="1:2">
      <c r="A9334" s="7"/>
      <c r="B9334" s="8"/>
    </row>
    <row r="9335" spans="1:2">
      <c r="A9335" s="7"/>
      <c r="B9335" s="8"/>
    </row>
    <row r="9336" spans="1:2">
      <c r="A9336" s="7"/>
      <c r="B9336" s="8"/>
    </row>
    <row r="9337" spans="1:2">
      <c r="A9337" s="7"/>
      <c r="B9337" s="8"/>
    </row>
    <row r="9338" spans="1:2">
      <c r="A9338" s="7"/>
      <c r="B9338" s="8"/>
    </row>
    <row r="9339" spans="1:2">
      <c r="A9339" s="7"/>
      <c r="B9339" s="8"/>
    </row>
    <row r="9340" spans="1:2">
      <c r="A9340" s="7"/>
      <c r="B9340" s="8"/>
    </row>
    <row r="9341" spans="1:2">
      <c r="A9341" s="7"/>
      <c r="B9341" s="8"/>
    </row>
    <row r="9342" spans="1:2">
      <c r="A9342" s="7"/>
      <c r="B9342" s="8"/>
    </row>
    <row r="9343" spans="1:2">
      <c r="A9343" s="7"/>
      <c r="B9343" s="8"/>
    </row>
    <row r="9344" spans="1:2">
      <c r="A9344" s="7"/>
      <c r="B9344" s="8"/>
    </row>
    <row r="9345" spans="1:2">
      <c r="A9345" s="7"/>
      <c r="B9345" s="8"/>
    </row>
    <row r="9346" spans="1:2">
      <c r="A9346" s="7"/>
      <c r="B9346" s="8"/>
    </row>
    <row r="9347" spans="1:2">
      <c r="A9347" s="7"/>
      <c r="B9347" s="8"/>
    </row>
    <row r="9348" spans="1:2">
      <c r="A9348" s="7"/>
      <c r="B9348" s="8"/>
    </row>
    <row r="9349" spans="1:2">
      <c r="A9349" s="7"/>
      <c r="B9349" s="8"/>
    </row>
    <row r="9350" spans="1:2">
      <c r="A9350" s="7"/>
      <c r="B9350" s="8"/>
    </row>
    <row r="9351" spans="1:2">
      <c r="A9351" s="7"/>
      <c r="B9351" s="8"/>
    </row>
    <row r="9352" spans="1:2">
      <c r="A9352" s="7"/>
      <c r="B9352" s="8"/>
    </row>
    <row r="9353" spans="1:2">
      <c r="A9353" s="7"/>
      <c r="B9353" s="8"/>
    </row>
    <row r="9354" spans="1:2">
      <c r="A9354" s="7"/>
      <c r="B9354" s="8"/>
    </row>
    <row r="9355" spans="1:2">
      <c r="A9355" s="7"/>
      <c r="B9355" s="8"/>
    </row>
    <row r="9356" spans="1:2">
      <c r="A9356" s="7"/>
      <c r="B9356" s="8"/>
    </row>
    <row r="9357" spans="1:2">
      <c r="A9357" s="7"/>
      <c r="B9357" s="8"/>
    </row>
    <row r="9358" spans="1:2">
      <c r="A9358" s="7"/>
      <c r="B9358" s="8"/>
    </row>
    <row r="9359" spans="1:2">
      <c r="A9359" s="7"/>
      <c r="B9359" s="8"/>
    </row>
    <row r="9360" spans="1:2">
      <c r="A9360" s="7"/>
      <c r="B9360" s="8"/>
    </row>
    <row r="9361" spans="1:2">
      <c r="A9361" s="7"/>
      <c r="B9361" s="8"/>
    </row>
    <row r="9362" spans="1:2">
      <c r="A9362" s="7"/>
      <c r="B9362" s="8"/>
    </row>
    <row r="9363" spans="1:2">
      <c r="A9363" s="7"/>
      <c r="B9363" s="8"/>
    </row>
    <row r="9364" spans="1:2">
      <c r="A9364" s="7"/>
      <c r="B9364" s="8"/>
    </row>
    <row r="9365" spans="1:2">
      <c r="A9365" s="7"/>
      <c r="B9365" s="8"/>
    </row>
    <row r="9366" spans="1:2">
      <c r="A9366" s="7"/>
      <c r="B9366" s="8"/>
    </row>
    <row r="9367" spans="1:2">
      <c r="A9367" s="7"/>
      <c r="B9367" s="8"/>
    </row>
    <row r="9368" spans="1:2">
      <c r="A9368" s="7"/>
      <c r="B9368" s="8"/>
    </row>
    <row r="9369" spans="1:2">
      <c r="A9369" s="7"/>
      <c r="B9369" s="8"/>
    </row>
    <row r="9370" spans="1:2">
      <c r="A9370" s="7"/>
      <c r="B9370" s="8"/>
    </row>
    <row r="9371" spans="1:2">
      <c r="A9371" s="7"/>
      <c r="B9371" s="8"/>
    </row>
    <row r="9372" spans="1:2">
      <c r="A9372" s="7"/>
      <c r="B9372" s="8"/>
    </row>
    <row r="9373" spans="1:2">
      <c r="A9373" s="7"/>
      <c r="B9373" s="8"/>
    </row>
    <row r="9374" spans="1:2">
      <c r="A9374" s="7"/>
      <c r="B9374" s="8"/>
    </row>
    <row r="9375" spans="1:2">
      <c r="A9375" s="7"/>
      <c r="B9375" s="8"/>
    </row>
    <row r="9376" spans="1:2">
      <c r="A9376" s="7"/>
      <c r="B9376" s="8"/>
    </row>
    <row r="9377" spans="1:2">
      <c r="A9377" s="7"/>
      <c r="B9377" s="8"/>
    </row>
    <row r="9378" spans="1:2">
      <c r="A9378" s="7"/>
      <c r="B9378" s="8"/>
    </row>
    <row r="9379" spans="1:2">
      <c r="A9379" s="7"/>
      <c r="B9379" s="8"/>
    </row>
    <row r="9380" spans="1:2">
      <c r="A9380" s="7"/>
      <c r="B9380" s="8"/>
    </row>
    <row r="9381" spans="1:2">
      <c r="A9381" s="7"/>
      <c r="B9381" s="8"/>
    </row>
    <row r="9382" spans="1:2">
      <c r="A9382" s="7"/>
      <c r="B9382" s="8"/>
    </row>
    <row r="9383" spans="1:2">
      <c r="A9383" s="7"/>
      <c r="B9383" s="8"/>
    </row>
    <row r="9384" spans="1:2">
      <c r="A9384" s="7"/>
      <c r="B9384" s="8"/>
    </row>
    <row r="9385" spans="1:2">
      <c r="A9385" s="7"/>
      <c r="B9385" s="8"/>
    </row>
    <row r="9386" spans="1:2">
      <c r="A9386" s="7"/>
      <c r="B9386" s="8"/>
    </row>
    <row r="9387" spans="1:2">
      <c r="A9387" s="7"/>
      <c r="B9387" s="8"/>
    </row>
    <row r="9388" spans="1:2">
      <c r="A9388" s="7"/>
      <c r="B9388" s="8"/>
    </row>
    <row r="9389" spans="1:2">
      <c r="A9389" s="7"/>
      <c r="B9389" s="8"/>
    </row>
    <row r="9390" spans="1:2">
      <c r="A9390" s="7"/>
      <c r="B9390" s="8"/>
    </row>
    <row r="9391" spans="1:2">
      <c r="A9391" s="7"/>
      <c r="B9391" s="8"/>
    </row>
    <row r="9392" spans="1:2">
      <c r="A9392" s="7"/>
      <c r="B9392" s="8"/>
    </row>
    <row r="9393" spans="1:2">
      <c r="A9393" s="7"/>
      <c r="B9393" s="8"/>
    </row>
    <row r="9394" spans="1:2">
      <c r="A9394" s="7"/>
      <c r="B9394" s="8"/>
    </row>
    <row r="9395" spans="1:2">
      <c r="A9395" s="7"/>
      <c r="B9395" s="8"/>
    </row>
    <row r="9396" spans="1:2">
      <c r="A9396" s="7"/>
      <c r="B9396" s="8"/>
    </row>
    <row r="9397" spans="1:2">
      <c r="A9397" s="7"/>
      <c r="B9397" s="8"/>
    </row>
    <row r="9398" spans="1:2">
      <c r="A9398" s="7"/>
      <c r="B9398" s="8"/>
    </row>
    <row r="9399" spans="1:2">
      <c r="A9399" s="7"/>
      <c r="B9399" s="8"/>
    </row>
    <row r="9400" spans="1:2">
      <c r="A9400" s="7"/>
      <c r="B9400" s="8"/>
    </row>
    <row r="9401" spans="1:2">
      <c r="A9401" s="7"/>
      <c r="B9401" s="8"/>
    </row>
    <row r="9402" spans="1:2">
      <c r="A9402" s="7"/>
      <c r="B9402" s="8"/>
    </row>
    <row r="9403" spans="1:2">
      <c r="A9403" s="7"/>
      <c r="B9403" s="8"/>
    </row>
    <row r="9404" spans="1:2">
      <c r="A9404" s="7"/>
      <c r="B9404" s="8"/>
    </row>
    <row r="9405" spans="1:2">
      <c r="A9405" s="7"/>
      <c r="B9405" s="8"/>
    </row>
    <row r="9406" spans="1:2">
      <c r="A9406" s="7"/>
      <c r="B9406" s="8"/>
    </row>
    <row r="9407" spans="1:2">
      <c r="A9407" s="7"/>
      <c r="B9407" s="8"/>
    </row>
    <row r="9408" spans="1:2">
      <c r="A9408" s="7"/>
      <c r="B9408" s="8"/>
    </row>
    <row r="9409" spans="1:2">
      <c r="A9409" s="7"/>
      <c r="B9409" s="8"/>
    </row>
    <row r="9410" spans="1:2">
      <c r="A9410" s="7"/>
      <c r="B9410" s="8"/>
    </row>
    <row r="9411" spans="1:2">
      <c r="A9411" s="7"/>
      <c r="B9411" s="8"/>
    </row>
    <row r="9412" spans="1:2">
      <c r="A9412" s="7"/>
      <c r="B9412" s="8"/>
    </row>
    <row r="9413" spans="1:2">
      <c r="A9413" s="7"/>
      <c r="B9413" s="8"/>
    </row>
    <row r="9414" spans="1:2">
      <c r="A9414" s="7"/>
      <c r="B9414" s="8"/>
    </row>
    <row r="9415" spans="1:2">
      <c r="A9415" s="7"/>
      <c r="B9415" s="8"/>
    </row>
    <row r="9416" spans="1:2">
      <c r="A9416" s="7"/>
      <c r="B9416" s="8"/>
    </row>
    <row r="9417" spans="1:2">
      <c r="A9417" s="7"/>
      <c r="B9417" s="8"/>
    </row>
    <row r="9418" spans="1:2">
      <c r="A9418" s="7"/>
      <c r="B9418" s="8"/>
    </row>
    <row r="9419" spans="1:2">
      <c r="A9419" s="7"/>
      <c r="B9419" s="8"/>
    </row>
    <row r="9420" spans="1:2">
      <c r="A9420" s="7"/>
      <c r="B9420" s="8"/>
    </row>
    <row r="9421" spans="1:2">
      <c r="A9421" s="7"/>
      <c r="B9421" s="8"/>
    </row>
    <row r="9422" spans="1:2">
      <c r="A9422" s="7"/>
      <c r="B9422" s="8"/>
    </row>
    <row r="9423" spans="1:2">
      <c r="A9423" s="7"/>
      <c r="B9423" s="8"/>
    </row>
    <row r="9424" spans="1:2">
      <c r="A9424" s="7"/>
      <c r="B9424" s="8"/>
    </row>
    <row r="9425" spans="1:2">
      <c r="A9425" s="7"/>
      <c r="B9425" s="8"/>
    </row>
    <row r="9426" spans="1:2">
      <c r="A9426" s="7"/>
      <c r="B9426" s="8"/>
    </row>
    <row r="9427" spans="1:2">
      <c r="A9427" s="7"/>
      <c r="B9427" s="8"/>
    </row>
    <row r="9428" spans="1:2">
      <c r="A9428" s="7"/>
      <c r="B9428" s="8"/>
    </row>
    <row r="9429" spans="1:2">
      <c r="A9429" s="7"/>
      <c r="B9429" s="8"/>
    </row>
    <row r="9430" spans="1:2">
      <c r="A9430" s="7"/>
      <c r="B9430" s="8"/>
    </row>
    <row r="9431" spans="1:2">
      <c r="A9431" s="7"/>
      <c r="B9431" s="8"/>
    </row>
    <row r="9432" spans="1:2">
      <c r="A9432" s="7"/>
      <c r="B9432" s="8"/>
    </row>
    <row r="9433" spans="1:2">
      <c r="A9433" s="7"/>
      <c r="B9433" s="8"/>
    </row>
    <row r="9434" spans="1:2">
      <c r="A9434" s="7"/>
      <c r="B9434" s="8"/>
    </row>
    <row r="9435" spans="1:2">
      <c r="A9435" s="7"/>
      <c r="B9435" s="8"/>
    </row>
    <row r="9436" spans="1:2">
      <c r="A9436" s="7"/>
      <c r="B9436" s="8"/>
    </row>
    <row r="9437" spans="1:2">
      <c r="A9437" s="7"/>
      <c r="B9437" s="8"/>
    </row>
    <row r="9438" spans="1:2">
      <c r="A9438" s="7"/>
      <c r="B9438" s="8"/>
    </row>
    <row r="9439" spans="1:2">
      <c r="A9439" s="7"/>
      <c r="B9439" s="8"/>
    </row>
    <row r="9440" spans="1:2">
      <c r="A9440" s="7"/>
      <c r="B9440" s="8"/>
    </row>
    <row r="9441" spans="1:2">
      <c r="A9441" s="7"/>
      <c r="B9441" s="8"/>
    </row>
    <row r="9442" spans="1:2">
      <c r="A9442" s="7"/>
      <c r="B9442" s="8"/>
    </row>
    <row r="9443" spans="1:2">
      <c r="A9443" s="7"/>
      <c r="B9443" s="8"/>
    </row>
    <row r="9444" spans="1:2">
      <c r="A9444" s="7"/>
      <c r="B9444" s="8"/>
    </row>
    <row r="9445" spans="1:2">
      <c r="A9445" s="7"/>
      <c r="B9445" s="8"/>
    </row>
    <row r="9446" spans="1:2">
      <c r="A9446" s="7"/>
      <c r="B9446" s="8"/>
    </row>
    <row r="9447" spans="1:2">
      <c r="A9447" s="7"/>
      <c r="B9447" s="8"/>
    </row>
    <row r="9448" spans="1:2">
      <c r="A9448" s="7"/>
      <c r="B9448" s="8"/>
    </row>
    <row r="9449" spans="1:2">
      <c r="A9449" s="7"/>
      <c r="B9449" s="8"/>
    </row>
    <row r="9450" spans="1:2">
      <c r="A9450" s="7"/>
      <c r="B9450" s="8"/>
    </row>
    <row r="9451" spans="1:2">
      <c r="A9451" s="7"/>
      <c r="B9451" s="8"/>
    </row>
    <row r="9452" spans="1:2">
      <c r="A9452" s="7"/>
      <c r="B9452" s="8"/>
    </row>
    <row r="9453" spans="1:2">
      <c r="A9453" s="7"/>
      <c r="B9453" s="8"/>
    </row>
    <row r="9454" spans="1:2">
      <c r="A9454" s="7"/>
      <c r="B9454" s="8"/>
    </row>
    <row r="9455" spans="1:2">
      <c r="A9455" s="7"/>
      <c r="B9455" s="8"/>
    </row>
    <row r="9456" spans="1:2">
      <c r="A9456" s="7"/>
      <c r="B9456" s="8"/>
    </row>
    <row r="9457" spans="1:2">
      <c r="A9457" s="7"/>
      <c r="B9457" s="8"/>
    </row>
    <row r="9458" spans="1:2">
      <c r="A9458" s="7"/>
      <c r="B9458" s="8"/>
    </row>
    <row r="9459" spans="1:2">
      <c r="A9459" s="7"/>
      <c r="B9459" s="8"/>
    </row>
    <row r="9460" spans="1:2">
      <c r="A9460" s="7"/>
      <c r="B9460" s="8"/>
    </row>
    <row r="9461" spans="1:2">
      <c r="A9461" s="7"/>
      <c r="B9461" s="8"/>
    </row>
    <row r="9462" spans="1:2">
      <c r="A9462" s="7"/>
      <c r="B9462" s="8"/>
    </row>
    <row r="9463" spans="1:2">
      <c r="A9463" s="7"/>
      <c r="B9463" s="8"/>
    </row>
    <row r="9464" spans="1:2">
      <c r="A9464" s="7"/>
      <c r="B9464" s="8"/>
    </row>
    <row r="9465" spans="1:2">
      <c r="A9465" s="7"/>
      <c r="B9465" s="8"/>
    </row>
    <row r="9466" spans="1:2">
      <c r="A9466" s="7"/>
      <c r="B9466" s="8"/>
    </row>
    <row r="9467" spans="1:2">
      <c r="A9467" s="7"/>
      <c r="B9467" s="8"/>
    </row>
    <row r="9468" spans="1:2">
      <c r="A9468" s="7"/>
      <c r="B9468" s="8"/>
    </row>
    <row r="9469" spans="1:2">
      <c r="A9469" s="7"/>
      <c r="B9469" s="8"/>
    </row>
    <row r="9470" spans="1:2">
      <c r="A9470" s="7"/>
      <c r="B9470" s="8"/>
    </row>
    <row r="9471" spans="1:2">
      <c r="A9471" s="7"/>
      <c r="B9471" s="8"/>
    </row>
    <row r="9472" spans="1:2">
      <c r="A9472" s="7"/>
      <c r="B9472" s="8"/>
    </row>
    <row r="9473" spans="1:2">
      <c r="A9473" s="7"/>
      <c r="B9473" s="8"/>
    </row>
    <row r="9474" spans="1:2">
      <c r="A9474" s="7"/>
      <c r="B9474" s="8"/>
    </row>
    <row r="9475" spans="1:2">
      <c r="A9475" s="7"/>
      <c r="B9475" s="8"/>
    </row>
    <row r="9476" spans="1:2">
      <c r="A9476" s="7"/>
      <c r="B9476" s="8"/>
    </row>
    <row r="9477" spans="1:2">
      <c r="A9477" s="7"/>
      <c r="B9477" s="8"/>
    </row>
    <row r="9478" spans="1:2">
      <c r="A9478" s="7"/>
      <c r="B9478" s="8"/>
    </row>
    <row r="9479" spans="1:2">
      <c r="A9479" s="7"/>
      <c r="B9479" s="8"/>
    </row>
    <row r="9480" spans="1:2">
      <c r="A9480" s="7"/>
      <c r="B9480" s="8"/>
    </row>
    <row r="9481" spans="1:2">
      <c r="A9481" s="7"/>
      <c r="B9481" s="8"/>
    </row>
    <row r="9482" spans="1:2">
      <c r="A9482" s="7"/>
      <c r="B9482" s="8"/>
    </row>
    <row r="9483" spans="1:2">
      <c r="A9483" s="7"/>
      <c r="B9483" s="8"/>
    </row>
    <row r="9484" spans="1:2">
      <c r="A9484" s="7"/>
      <c r="B9484" s="8"/>
    </row>
    <row r="9485" spans="1:2">
      <c r="A9485" s="7"/>
      <c r="B9485" s="8"/>
    </row>
    <row r="9486" spans="1:2">
      <c r="A9486" s="7"/>
      <c r="B9486" s="8"/>
    </row>
    <row r="9487" spans="1:2">
      <c r="A9487" s="7"/>
      <c r="B9487" s="8"/>
    </row>
    <row r="9488" spans="1:2">
      <c r="A9488" s="7"/>
      <c r="B9488" s="8"/>
    </row>
    <row r="9489" spans="1:2">
      <c r="A9489" s="7"/>
      <c r="B9489" s="8"/>
    </row>
    <row r="9490" spans="1:2">
      <c r="A9490" s="7"/>
      <c r="B9490" s="8"/>
    </row>
    <row r="9491" spans="1:2">
      <c r="A9491" s="7"/>
      <c r="B9491" s="8"/>
    </row>
    <row r="9492" spans="1:2">
      <c r="A9492" s="7"/>
      <c r="B9492" s="8"/>
    </row>
    <row r="9493" spans="1:2">
      <c r="A9493" s="7"/>
      <c r="B9493" s="8"/>
    </row>
    <row r="9494" spans="1:2">
      <c r="A9494" s="7"/>
      <c r="B9494" s="8"/>
    </row>
    <row r="9495" spans="1:2">
      <c r="A9495" s="7"/>
      <c r="B9495" s="8"/>
    </row>
    <row r="9496" spans="1:2">
      <c r="A9496" s="7"/>
      <c r="B9496" s="8"/>
    </row>
    <row r="9497" spans="1:2">
      <c r="A9497" s="7"/>
      <c r="B9497" s="8"/>
    </row>
    <row r="9498" spans="1:2">
      <c r="A9498" s="7"/>
      <c r="B9498" s="8"/>
    </row>
    <row r="9499" spans="1:2">
      <c r="A9499" s="7"/>
      <c r="B9499" s="8"/>
    </row>
    <row r="9500" spans="1:2">
      <c r="A9500" s="7"/>
      <c r="B9500" s="8"/>
    </row>
    <row r="9501" spans="1:2">
      <c r="A9501" s="7"/>
      <c r="B9501" s="8"/>
    </row>
    <row r="9502" spans="1:2">
      <c r="A9502" s="7"/>
      <c r="B9502" s="8"/>
    </row>
    <row r="9503" spans="1:2">
      <c r="A9503" s="7"/>
      <c r="B9503" s="8"/>
    </row>
    <row r="9504" spans="1:2">
      <c r="A9504" s="7"/>
      <c r="B9504" s="8"/>
    </row>
    <row r="9505" spans="1:2">
      <c r="A9505" s="7"/>
      <c r="B9505" s="8"/>
    </row>
    <row r="9506" spans="1:2">
      <c r="A9506" s="7"/>
      <c r="B9506" s="8"/>
    </row>
    <row r="9507" spans="1:2">
      <c r="A9507" s="7"/>
      <c r="B9507" s="8"/>
    </row>
    <row r="9508" spans="1:2">
      <c r="A9508" s="7"/>
      <c r="B9508" s="8"/>
    </row>
    <row r="9509" spans="1:2">
      <c r="A9509" s="7"/>
      <c r="B9509" s="8"/>
    </row>
    <row r="9510" spans="1:2">
      <c r="A9510" s="7"/>
      <c r="B9510" s="8"/>
    </row>
    <row r="9511" spans="1:2">
      <c r="A9511" s="7"/>
      <c r="B9511" s="8"/>
    </row>
    <row r="9512" spans="1:2">
      <c r="A9512" s="7"/>
      <c r="B9512" s="8"/>
    </row>
    <row r="9513" spans="1:2">
      <c r="A9513" s="7"/>
      <c r="B9513" s="8"/>
    </row>
    <row r="9514" spans="1:2">
      <c r="A9514" s="7"/>
      <c r="B9514" s="8"/>
    </row>
    <row r="9515" spans="1:2">
      <c r="A9515" s="7"/>
      <c r="B9515" s="8"/>
    </row>
    <row r="9516" spans="1:2">
      <c r="A9516" s="7"/>
      <c r="B9516" s="8"/>
    </row>
    <row r="9517" spans="1:2">
      <c r="A9517" s="7"/>
      <c r="B9517" s="8"/>
    </row>
    <row r="9518" spans="1:2">
      <c r="A9518" s="7"/>
      <c r="B9518" s="8"/>
    </row>
    <row r="9519" spans="1:2">
      <c r="A9519" s="7"/>
      <c r="B9519" s="8"/>
    </row>
    <row r="9520" spans="1:2">
      <c r="A9520" s="7"/>
      <c r="B9520" s="8"/>
    </row>
    <row r="9521" spans="1:2">
      <c r="A9521" s="7"/>
      <c r="B9521" s="8"/>
    </row>
    <row r="9522" spans="1:2">
      <c r="A9522" s="7"/>
      <c r="B9522" s="8"/>
    </row>
    <row r="9523" spans="1:2">
      <c r="A9523" s="7"/>
      <c r="B9523" s="8"/>
    </row>
    <row r="9524" spans="1:2">
      <c r="A9524" s="7"/>
      <c r="B9524" s="8"/>
    </row>
    <row r="9525" spans="1:2">
      <c r="A9525" s="7"/>
      <c r="B9525" s="8"/>
    </row>
    <row r="9526" spans="1:2">
      <c r="A9526" s="7"/>
      <c r="B9526" s="8"/>
    </row>
    <row r="9527" spans="1:2">
      <c r="A9527" s="7"/>
      <c r="B9527" s="8"/>
    </row>
    <row r="9528" spans="1:2">
      <c r="A9528" s="7"/>
      <c r="B9528" s="8"/>
    </row>
    <row r="9529" spans="1:2">
      <c r="A9529" s="7"/>
      <c r="B9529" s="8"/>
    </row>
    <row r="9530" spans="1:2">
      <c r="A9530" s="7"/>
      <c r="B9530" s="8"/>
    </row>
    <row r="9531" spans="1:2">
      <c r="A9531" s="7"/>
      <c r="B9531" s="8"/>
    </row>
    <row r="9532" spans="1:2">
      <c r="A9532" s="7"/>
      <c r="B9532" s="8"/>
    </row>
    <row r="9533" spans="1:2">
      <c r="A9533" s="7"/>
      <c r="B9533" s="8"/>
    </row>
    <row r="9534" spans="1:2">
      <c r="A9534" s="7"/>
      <c r="B9534" s="8"/>
    </row>
    <row r="9535" spans="1:2">
      <c r="A9535" s="7"/>
      <c r="B9535" s="8"/>
    </row>
    <row r="9536" spans="1:2">
      <c r="A9536" s="7"/>
      <c r="B9536" s="8"/>
    </row>
    <row r="9537" spans="1:2">
      <c r="A9537" s="7"/>
      <c r="B9537" s="8"/>
    </row>
    <row r="9538" spans="1:2">
      <c r="A9538" s="7"/>
      <c r="B9538" s="8"/>
    </row>
    <row r="9539" spans="1:2">
      <c r="A9539" s="7"/>
      <c r="B9539" s="8"/>
    </row>
    <row r="9540" spans="1:2">
      <c r="A9540" s="7"/>
      <c r="B9540" s="8"/>
    </row>
    <row r="9541" spans="1:2">
      <c r="A9541" s="7"/>
      <c r="B9541" s="8"/>
    </row>
    <row r="9542" spans="1:2">
      <c r="A9542" s="7"/>
      <c r="B9542" s="8"/>
    </row>
    <row r="9543" spans="1:2">
      <c r="A9543" s="7"/>
      <c r="B9543" s="8"/>
    </row>
    <row r="9544" spans="1:2">
      <c r="A9544" s="7"/>
      <c r="B9544" s="8"/>
    </row>
    <row r="9545" spans="1:2">
      <c r="A9545" s="7"/>
      <c r="B9545" s="8"/>
    </row>
    <row r="9546" spans="1:2">
      <c r="A9546" s="7"/>
      <c r="B9546" s="8"/>
    </row>
    <row r="9547" spans="1:2">
      <c r="A9547" s="7"/>
      <c r="B9547" s="8"/>
    </row>
    <row r="9548" spans="1:2">
      <c r="A9548" s="7"/>
      <c r="B9548" s="8"/>
    </row>
    <row r="9549" spans="1:2">
      <c r="A9549" s="7"/>
      <c r="B9549" s="8"/>
    </row>
    <row r="9550" spans="1:2">
      <c r="A9550" s="7"/>
      <c r="B9550" s="8"/>
    </row>
    <row r="9551" spans="1:2">
      <c r="A9551" s="7"/>
      <c r="B9551" s="8"/>
    </row>
    <row r="9552" spans="1:2">
      <c r="A9552" s="7"/>
      <c r="B9552" s="8"/>
    </row>
    <row r="9553" spans="1:2">
      <c r="A9553" s="7"/>
      <c r="B9553" s="8"/>
    </row>
    <row r="9554" spans="1:2">
      <c r="A9554" s="7"/>
      <c r="B9554" s="8"/>
    </row>
    <row r="9555" spans="1:2">
      <c r="A9555" s="7"/>
      <c r="B9555" s="8"/>
    </row>
    <row r="9556" spans="1:2">
      <c r="A9556" s="7"/>
      <c r="B9556" s="8"/>
    </row>
    <row r="9557" spans="1:2">
      <c r="A9557" s="7"/>
      <c r="B9557" s="8"/>
    </row>
    <row r="9558" spans="1:2">
      <c r="A9558" s="7"/>
      <c r="B9558" s="8"/>
    </row>
    <row r="9559" spans="1:2">
      <c r="A9559" s="7"/>
      <c r="B9559" s="8"/>
    </row>
    <row r="9560" spans="1:2">
      <c r="A9560" s="7"/>
      <c r="B9560" s="8"/>
    </row>
    <row r="9561" spans="1:2">
      <c r="A9561" s="7"/>
      <c r="B9561" s="8"/>
    </row>
    <row r="9562" spans="1:2">
      <c r="A9562" s="7"/>
      <c r="B9562" s="8"/>
    </row>
    <row r="9563" spans="1:2">
      <c r="A9563" s="7"/>
      <c r="B9563" s="8"/>
    </row>
    <row r="9564" spans="1:2">
      <c r="A9564" s="7"/>
      <c r="B9564" s="8"/>
    </row>
    <row r="9565" spans="1:2">
      <c r="A9565" s="7"/>
      <c r="B9565" s="8"/>
    </row>
    <row r="9566" spans="1:2">
      <c r="A9566" s="7"/>
      <c r="B9566" s="8"/>
    </row>
    <row r="9567" spans="1:2">
      <c r="A9567" s="7"/>
      <c r="B9567" s="8"/>
    </row>
    <row r="9568" spans="1:2">
      <c r="A9568" s="7"/>
      <c r="B9568" s="8"/>
    </row>
    <row r="9569" spans="1:2">
      <c r="A9569" s="7"/>
      <c r="B9569" s="8"/>
    </row>
    <row r="9570" spans="1:2">
      <c r="A9570" s="7"/>
      <c r="B9570" s="8"/>
    </row>
    <row r="9571" spans="1:2">
      <c r="A9571" s="7"/>
      <c r="B9571" s="8"/>
    </row>
    <row r="9572" spans="1:2">
      <c r="A9572" s="7"/>
      <c r="B9572" s="8"/>
    </row>
    <row r="9573" spans="1:2">
      <c r="A9573" s="7"/>
      <c r="B9573" s="8"/>
    </row>
    <row r="9574" spans="1:2">
      <c r="A9574" s="7"/>
      <c r="B9574" s="8"/>
    </row>
    <row r="9575" spans="1:2">
      <c r="A9575" s="7"/>
      <c r="B9575" s="8"/>
    </row>
    <row r="9576" spans="1:2">
      <c r="A9576" s="7"/>
      <c r="B9576" s="8"/>
    </row>
    <row r="9577" spans="1:2">
      <c r="A9577" s="7"/>
      <c r="B9577" s="8"/>
    </row>
    <row r="9578" spans="1:2">
      <c r="A9578" s="7"/>
      <c r="B9578" s="8"/>
    </row>
    <row r="9579" spans="1:2">
      <c r="A9579" s="7"/>
      <c r="B9579" s="8"/>
    </row>
    <row r="9580" spans="1:2">
      <c r="A9580" s="7"/>
      <c r="B9580" s="8"/>
    </row>
    <row r="9581" spans="1:2">
      <c r="A9581" s="7"/>
      <c r="B9581" s="8"/>
    </row>
    <row r="9582" spans="1:2">
      <c r="A9582" s="7"/>
      <c r="B9582" s="8"/>
    </row>
    <row r="9583" spans="1:2">
      <c r="A9583" s="7"/>
      <c r="B9583" s="8"/>
    </row>
    <row r="9584" spans="1:2">
      <c r="A9584" s="7"/>
      <c r="B9584" s="8"/>
    </row>
    <row r="9585" spans="1:2">
      <c r="A9585" s="7"/>
      <c r="B9585" s="8"/>
    </row>
    <row r="9586" spans="1:2">
      <c r="A9586" s="7"/>
      <c r="B9586" s="8"/>
    </row>
    <row r="9587" spans="1:2">
      <c r="A9587" s="7"/>
      <c r="B9587" s="8"/>
    </row>
    <row r="9588" spans="1:2">
      <c r="A9588" s="7"/>
      <c r="B9588" s="8"/>
    </row>
    <row r="9589" spans="1:2">
      <c r="A9589" s="7"/>
      <c r="B9589" s="8"/>
    </row>
    <row r="9590" spans="1:2">
      <c r="A9590" s="7"/>
      <c r="B9590" s="8"/>
    </row>
    <row r="9591" spans="1:2">
      <c r="A9591" s="7"/>
      <c r="B9591" s="8"/>
    </row>
    <row r="9592" spans="1:2">
      <c r="A9592" s="7"/>
      <c r="B9592" s="8"/>
    </row>
    <row r="9593" spans="1:2">
      <c r="A9593" s="7"/>
      <c r="B9593" s="8"/>
    </row>
    <row r="9594" spans="1:2">
      <c r="A9594" s="7"/>
      <c r="B9594" s="8"/>
    </row>
    <row r="9595" spans="1:2">
      <c r="A9595" s="7"/>
      <c r="B9595" s="8"/>
    </row>
    <row r="9596" spans="1:2">
      <c r="A9596" s="7"/>
      <c r="B9596" s="8"/>
    </row>
    <row r="9597" spans="1:2">
      <c r="A9597" s="7"/>
      <c r="B9597" s="8"/>
    </row>
    <row r="9598" spans="1:2">
      <c r="A9598" s="7"/>
      <c r="B9598" s="8"/>
    </row>
    <row r="9599" spans="1:2">
      <c r="A9599" s="7"/>
      <c r="B9599" s="8"/>
    </row>
    <row r="9600" spans="1:2">
      <c r="A9600" s="7"/>
      <c r="B9600" s="8"/>
    </row>
    <row r="9601" spans="1:2">
      <c r="A9601" s="7"/>
      <c r="B9601" s="8"/>
    </row>
    <row r="9602" spans="1:2">
      <c r="A9602" s="7"/>
      <c r="B9602" s="8"/>
    </row>
    <row r="9603" spans="1:2">
      <c r="A9603" s="7"/>
      <c r="B9603" s="8"/>
    </row>
    <row r="9604" spans="1:2">
      <c r="A9604" s="7"/>
      <c r="B9604" s="8"/>
    </row>
    <row r="9605" spans="1:2">
      <c r="A9605" s="7"/>
      <c r="B9605" s="8"/>
    </row>
    <row r="9606" spans="1:2">
      <c r="A9606" s="7"/>
      <c r="B9606" s="8"/>
    </row>
    <row r="9607" spans="1:2">
      <c r="A9607" s="7"/>
      <c r="B9607" s="8"/>
    </row>
    <row r="9608" spans="1:2">
      <c r="A9608" s="7"/>
      <c r="B9608" s="8"/>
    </row>
    <row r="9609" spans="1:2">
      <c r="A9609" s="7"/>
      <c r="B9609" s="8"/>
    </row>
    <row r="9610" spans="1:2">
      <c r="A9610" s="7"/>
      <c r="B9610" s="8"/>
    </row>
    <row r="9611" spans="1:2">
      <c r="A9611" s="7"/>
      <c r="B9611" s="8"/>
    </row>
    <row r="9612" spans="1:2">
      <c r="A9612" s="7"/>
      <c r="B9612" s="8"/>
    </row>
    <row r="9613" spans="1:2">
      <c r="A9613" s="7"/>
      <c r="B9613" s="8"/>
    </row>
    <row r="9614" spans="1:2">
      <c r="A9614" s="7"/>
      <c r="B9614" s="8"/>
    </row>
    <row r="9615" spans="1:2">
      <c r="A9615" s="7"/>
      <c r="B9615" s="8"/>
    </row>
    <row r="9616" spans="1:2">
      <c r="A9616" s="7"/>
      <c r="B9616" s="8"/>
    </row>
    <row r="9617" spans="1:2">
      <c r="A9617" s="7"/>
      <c r="B9617" s="8"/>
    </row>
    <row r="9618" spans="1:2">
      <c r="A9618" s="7"/>
      <c r="B9618" s="8"/>
    </row>
    <row r="9619" spans="1:2">
      <c r="A9619" s="7"/>
      <c r="B9619" s="8"/>
    </row>
    <row r="9620" spans="1:2">
      <c r="A9620" s="7"/>
      <c r="B9620" s="8"/>
    </row>
    <row r="9621" spans="1:2">
      <c r="A9621" s="7"/>
      <c r="B9621" s="8"/>
    </row>
    <row r="9622" spans="1:2">
      <c r="A9622" s="7"/>
      <c r="B9622" s="8"/>
    </row>
    <row r="9623" spans="1:2">
      <c r="A9623" s="7"/>
      <c r="B9623" s="8"/>
    </row>
    <row r="9624" spans="1:2">
      <c r="A9624" s="7"/>
      <c r="B9624" s="8"/>
    </row>
    <row r="9625" spans="1:2">
      <c r="A9625" s="7"/>
      <c r="B9625" s="8"/>
    </row>
    <row r="9626" spans="1:2">
      <c r="A9626" s="7"/>
      <c r="B9626" s="8"/>
    </row>
    <row r="9627" spans="1:2">
      <c r="A9627" s="7"/>
      <c r="B9627" s="8"/>
    </row>
    <row r="9628" spans="1:2">
      <c r="A9628" s="7"/>
      <c r="B9628" s="8"/>
    </row>
    <row r="9629" spans="1:2">
      <c r="A9629" s="7"/>
      <c r="B9629" s="8"/>
    </row>
    <row r="9630" spans="1:2">
      <c r="A9630" s="7"/>
      <c r="B9630" s="8"/>
    </row>
    <row r="9631" spans="1:2">
      <c r="A9631" s="7"/>
      <c r="B9631" s="8"/>
    </row>
    <row r="9632" spans="1:2">
      <c r="A9632" s="7"/>
      <c r="B9632" s="8"/>
    </row>
    <row r="9633" spans="1:2">
      <c r="A9633" s="7"/>
      <c r="B9633" s="8"/>
    </row>
    <row r="9634" spans="1:2">
      <c r="A9634" s="7"/>
      <c r="B9634" s="8"/>
    </row>
    <row r="9635" spans="1:2">
      <c r="A9635" s="7"/>
      <c r="B9635" s="8"/>
    </row>
    <row r="9636" spans="1:2">
      <c r="A9636" s="7"/>
      <c r="B9636" s="8"/>
    </row>
    <row r="9637" spans="1:2">
      <c r="A9637" s="7"/>
      <c r="B9637" s="8"/>
    </row>
    <row r="9638" spans="1:2">
      <c r="A9638" s="7"/>
      <c r="B9638" s="8"/>
    </row>
    <row r="9639" spans="1:2">
      <c r="A9639" s="7"/>
      <c r="B9639" s="8"/>
    </row>
    <row r="9640" spans="1:2">
      <c r="A9640" s="7"/>
      <c r="B9640" s="8"/>
    </row>
    <row r="9641" spans="1:2">
      <c r="A9641" s="7"/>
      <c r="B9641" s="8"/>
    </row>
    <row r="9642" spans="1:2">
      <c r="A9642" s="7"/>
      <c r="B9642" s="8"/>
    </row>
    <row r="9643" spans="1:2">
      <c r="A9643" s="7"/>
      <c r="B9643" s="8"/>
    </row>
    <row r="9644" spans="1:2">
      <c r="A9644" s="7"/>
      <c r="B9644" s="8"/>
    </row>
    <row r="9645" spans="1:2">
      <c r="A9645" s="7"/>
      <c r="B9645" s="8"/>
    </row>
    <row r="9646" spans="1:2">
      <c r="A9646" s="7"/>
      <c r="B9646" s="8"/>
    </row>
    <row r="9647" spans="1:2">
      <c r="A9647" s="7"/>
      <c r="B9647" s="8"/>
    </row>
    <row r="9648" spans="1:2">
      <c r="A9648" s="7"/>
      <c r="B9648" s="8"/>
    </row>
    <row r="9649" spans="1:2">
      <c r="A9649" s="7"/>
      <c r="B9649" s="8"/>
    </row>
    <row r="9650" spans="1:2">
      <c r="A9650" s="7"/>
      <c r="B9650" s="8"/>
    </row>
    <row r="9651" spans="1:2">
      <c r="A9651" s="7"/>
      <c r="B9651" s="8"/>
    </row>
    <row r="9652" spans="1:2">
      <c r="A9652" s="7"/>
      <c r="B9652" s="8"/>
    </row>
    <row r="9653" spans="1:2">
      <c r="A9653" s="7"/>
      <c r="B9653" s="8"/>
    </row>
    <row r="9654" spans="1:2">
      <c r="A9654" s="7"/>
      <c r="B9654" s="8"/>
    </row>
    <row r="9655" spans="1:2">
      <c r="A9655" s="7"/>
      <c r="B9655" s="8"/>
    </row>
    <row r="9656" spans="1:2">
      <c r="A9656" s="7"/>
      <c r="B9656" s="8"/>
    </row>
    <row r="9657" spans="1:2">
      <c r="A9657" s="7"/>
      <c r="B9657" s="8"/>
    </row>
    <row r="9658" spans="1:2">
      <c r="A9658" s="7"/>
      <c r="B9658" s="8"/>
    </row>
    <row r="9659" spans="1:2">
      <c r="A9659" s="7"/>
      <c r="B9659" s="8"/>
    </row>
    <row r="9660" spans="1:2">
      <c r="A9660" s="7"/>
      <c r="B9660" s="8"/>
    </row>
    <row r="9661" spans="1:2">
      <c r="A9661" s="7"/>
      <c r="B9661" s="8"/>
    </row>
    <row r="9662" spans="1:2">
      <c r="A9662" s="7"/>
      <c r="B9662" s="8"/>
    </row>
    <row r="9663" spans="1:2">
      <c r="A9663" s="7"/>
      <c r="B9663" s="8"/>
    </row>
    <row r="9664" spans="1:2">
      <c r="A9664" s="7"/>
      <c r="B9664" s="8"/>
    </row>
    <row r="9665" spans="1:2">
      <c r="A9665" s="7"/>
      <c r="B9665" s="8"/>
    </row>
    <row r="9666" spans="1:2">
      <c r="A9666" s="7"/>
      <c r="B9666" s="8"/>
    </row>
    <row r="9667" spans="1:2">
      <c r="A9667" s="7"/>
      <c r="B9667" s="8"/>
    </row>
    <row r="9668" spans="1:2">
      <c r="A9668" s="7"/>
      <c r="B9668" s="8"/>
    </row>
    <row r="9669" spans="1:2">
      <c r="A9669" s="7"/>
      <c r="B9669" s="8"/>
    </row>
    <row r="9670" spans="1:2">
      <c r="A9670" s="7"/>
      <c r="B9670" s="8"/>
    </row>
    <row r="9671" spans="1:2">
      <c r="A9671" s="7"/>
      <c r="B9671" s="8"/>
    </row>
    <row r="9672" spans="1:2">
      <c r="A9672" s="7"/>
      <c r="B9672" s="8"/>
    </row>
    <row r="9673" spans="1:2">
      <c r="A9673" s="7"/>
      <c r="B9673" s="8"/>
    </row>
    <row r="9674" spans="1:2">
      <c r="A9674" s="7"/>
      <c r="B9674" s="8"/>
    </row>
    <row r="9675" spans="1:2">
      <c r="A9675" s="7"/>
      <c r="B9675" s="8"/>
    </row>
    <row r="9676" spans="1:2">
      <c r="A9676" s="7"/>
      <c r="B9676" s="8"/>
    </row>
    <row r="9677" spans="1:2">
      <c r="A9677" s="7"/>
      <c r="B9677" s="8"/>
    </row>
    <row r="9678" spans="1:2">
      <c r="A9678" s="7"/>
      <c r="B9678" s="8"/>
    </row>
    <row r="9679" spans="1:2">
      <c r="A9679" s="7"/>
      <c r="B9679" s="8"/>
    </row>
    <row r="9680" spans="1:2">
      <c r="A9680" s="7"/>
      <c r="B9680" s="8"/>
    </row>
    <row r="9681" spans="1:2">
      <c r="A9681" s="7"/>
      <c r="B9681" s="8"/>
    </row>
    <row r="9682" spans="1:2">
      <c r="A9682" s="7"/>
      <c r="B9682" s="8"/>
    </row>
    <row r="9683" spans="1:2">
      <c r="A9683" s="7"/>
      <c r="B9683" s="8"/>
    </row>
    <row r="9684" spans="1:2">
      <c r="A9684" s="7"/>
      <c r="B9684" s="8"/>
    </row>
    <row r="9685" spans="1:2">
      <c r="A9685" s="7"/>
      <c r="B9685" s="8"/>
    </row>
    <row r="9686" spans="1:2">
      <c r="A9686" s="7"/>
      <c r="B9686" s="8"/>
    </row>
    <row r="9687" spans="1:2">
      <c r="A9687" s="7"/>
      <c r="B9687" s="8"/>
    </row>
    <row r="9688" spans="1:2">
      <c r="A9688" s="7"/>
      <c r="B9688" s="8"/>
    </row>
    <row r="9689" spans="1:2">
      <c r="A9689" s="7"/>
      <c r="B9689" s="8"/>
    </row>
    <row r="9690" spans="1:2">
      <c r="A9690" s="7"/>
      <c r="B9690" s="8"/>
    </row>
    <row r="9691" spans="1:2">
      <c r="A9691" s="7"/>
      <c r="B9691" s="8"/>
    </row>
    <row r="9692" spans="1:2">
      <c r="A9692" s="7"/>
      <c r="B9692" s="8"/>
    </row>
    <row r="9693" spans="1:2">
      <c r="A9693" s="7"/>
      <c r="B9693" s="8"/>
    </row>
    <row r="9694" spans="1:2">
      <c r="A9694" s="7"/>
      <c r="B9694" s="8"/>
    </row>
    <row r="9695" spans="1:2">
      <c r="A9695" s="7"/>
      <c r="B9695" s="8"/>
    </row>
    <row r="9696" spans="1:2">
      <c r="A9696" s="7"/>
      <c r="B9696" s="8"/>
    </row>
    <row r="9697" spans="1:2">
      <c r="A9697" s="7"/>
      <c r="B9697" s="8"/>
    </row>
    <row r="9698" spans="1:2">
      <c r="A9698" s="7"/>
      <c r="B9698" s="8"/>
    </row>
    <row r="9699" spans="1:2">
      <c r="A9699" s="7"/>
      <c r="B9699" s="8"/>
    </row>
    <row r="9700" spans="1:2">
      <c r="A9700" s="7"/>
      <c r="B9700" s="8"/>
    </row>
    <row r="9701" spans="1:2">
      <c r="A9701" s="7"/>
      <c r="B9701" s="8"/>
    </row>
    <row r="9702" spans="1:2">
      <c r="A9702" s="7"/>
      <c r="B9702" s="8"/>
    </row>
    <row r="9703" spans="1:2">
      <c r="A9703" s="7"/>
      <c r="B9703" s="8"/>
    </row>
    <row r="9704" spans="1:2">
      <c r="A9704" s="7"/>
      <c r="B9704" s="8"/>
    </row>
    <row r="9705" spans="1:2">
      <c r="A9705" s="7"/>
      <c r="B9705" s="8"/>
    </row>
    <row r="9706" spans="1:2">
      <c r="A9706" s="7"/>
      <c r="B9706" s="8"/>
    </row>
    <row r="9707" spans="1:2">
      <c r="A9707" s="7"/>
      <c r="B9707" s="8"/>
    </row>
    <row r="9708" spans="1:2">
      <c r="A9708" s="7"/>
      <c r="B9708" s="8"/>
    </row>
    <row r="9709" spans="1:2">
      <c r="A9709" s="7"/>
      <c r="B9709" s="8"/>
    </row>
    <row r="9710" spans="1:2">
      <c r="A9710" s="7"/>
      <c r="B9710" s="8"/>
    </row>
    <row r="9711" spans="1:2">
      <c r="A9711" s="7"/>
      <c r="B9711" s="8"/>
    </row>
    <row r="9712" spans="1:2">
      <c r="A9712" s="7"/>
      <c r="B9712" s="8"/>
    </row>
    <row r="9713" spans="1:2">
      <c r="A9713" s="7"/>
      <c r="B9713" s="8"/>
    </row>
    <row r="9714" spans="1:2">
      <c r="A9714" s="7"/>
      <c r="B9714" s="8"/>
    </row>
    <row r="9715" spans="1:2">
      <c r="A9715" s="7"/>
      <c r="B9715" s="8"/>
    </row>
    <row r="9716" spans="1:2">
      <c r="A9716" s="7"/>
      <c r="B9716" s="8"/>
    </row>
    <row r="9717" spans="1:2">
      <c r="A9717" s="7"/>
      <c r="B9717" s="8"/>
    </row>
    <row r="9718" spans="1:2">
      <c r="A9718" s="7"/>
      <c r="B9718" s="8"/>
    </row>
    <row r="9719" spans="1:2">
      <c r="A9719" s="7"/>
      <c r="B9719" s="8"/>
    </row>
    <row r="9720" spans="1:2">
      <c r="A9720" s="7"/>
      <c r="B9720" s="8"/>
    </row>
    <row r="9721" spans="1:2">
      <c r="A9721" s="7"/>
      <c r="B9721" s="8"/>
    </row>
    <row r="9722" spans="1:2">
      <c r="A9722" s="7"/>
      <c r="B9722" s="8"/>
    </row>
    <row r="9723" spans="1:2">
      <c r="A9723" s="7"/>
      <c r="B9723" s="8"/>
    </row>
    <row r="9724" spans="1:2">
      <c r="A9724" s="7"/>
      <c r="B9724" s="8"/>
    </row>
    <row r="9725" spans="1:2">
      <c r="A9725" s="7"/>
      <c r="B9725" s="8"/>
    </row>
    <row r="9726" spans="1:2">
      <c r="A9726" s="7"/>
      <c r="B9726" s="8"/>
    </row>
    <row r="9727" spans="1:2">
      <c r="A9727" s="7"/>
      <c r="B9727" s="8"/>
    </row>
    <row r="9728" spans="1:2">
      <c r="A9728" s="7"/>
      <c r="B9728" s="8"/>
    </row>
    <row r="9729" spans="1:2">
      <c r="A9729" s="7"/>
      <c r="B9729" s="8"/>
    </row>
    <row r="9730" spans="1:2">
      <c r="A9730" s="7"/>
      <c r="B9730" s="8"/>
    </row>
    <row r="9731" spans="1:2">
      <c r="A9731" s="7"/>
      <c r="B9731" s="8"/>
    </row>
    <row r="9732" spans="1:2">
      <c r="A9732" s="7"/>
      <c r="B9732" s="8"/>
    </row>
    <row r="9733" spans="1:2">
      <c r="A9733" s="7"/>
      <c r="B9733" s="8"/>
    </row>
    <row r="9734" spans="1:2">
      <c r="A9734" s="7"/>
      <c r="B9734" s="8"/>
    </row>
    <row r="9735" spans="1:2">
      <c r="A9735" s="7"/>
      <c r="B9735" s="8"/>
    </row>
    <row r="9736" spans="1:2">
      <c r="A9736" s="7"/>
      <c r="B9736" s="8"/>
    </row>
    <row r="9737" spans="1:2">
      <c r="A9737" s="7"/>
      <c r="B9737" s="8"/>
    </row>
    <row r="9738" spans="1:2">
      <c r="A9738" s="7"/>
      <c r="B9738" s="8"/>
    </row>
    <row r="9739" spans="1:2">
      <c r="A9739" s="7"/>
      <c r="B9739" s="8"/>
    </row>
    <row r="9740" spans="1:2">
      <c r="A9740" s="7"/>
      <c r="B9740" s="8"/>
    </row>
    <row r="9741" spans="1:2">
      <c r="A9741" s="7"/>
      <c r="B9741" s="8"/>
    </row>
    <row r="9742" spans="1:2">
      <c r="A9742" s="7"/>
      <c r="B9742" s="8"/>
    </row>
    <row r="9743" spans="1:2">
      <c r="A9743" s="7"/>
      <c r="B9743" s="8"/>
    </row>
    <row r="9744" spans="1:2">
      <c r="A9744" s="7"/>
      <c r="B9744" s="8"/>
    </row>
    <row r="9745" spans="1:2">
      <c r="A9745" s="7"/>
      <c r="B9745" s="8"/>
    </row>
    <row r="9746" spans="1:2">
      <c r="A9746" s="7"/>
      <c r="B9746" s="8"/>
    </row>
    <row r="9747" spans="1:2">
      <c r="A9747" s="7"/>
      <c r="B9747" s="8"/>
    </row>
    <row r="9748" spans="1:2">
      <c r="A9748" s="7"/>
      <c r="B9748" s="8"/>
    </row>
    <row r="9749" spans="1:2">
      <c r="A9749" s="7"/>
      <c r="B9749" s="8"/>
    </row>
    <row r="9750" spans="1:2">
      <c r="A9750" s="7"/>
      <c r="B9750" s="8"/>
    </row>
    <row r="9751" spans="1:2">
      <c r="A9751" s="7"/>
      <c r="B9751" s="8"/>
    </row>
    <row r="9752" spans="1:2">
      <c r="A9752" s="7"/>
      <c r="B9752" s="8"/>
    </row>
    <row r="9753" spans="1:2">
      <c r="A9753" s="7"/>
      <c r="B9753" s="8"/>
    </row>
    <row r="9754" spans="1:2">
      <c r="A9754" s="7"/>
      <c r="B9754" s="8"/>
    </row>
    <row r="9755" spans="1:2">
      <c r="A9755" s="7"/>
      <c r="B9755" s="8"/>
    </row>
    <row r="9756" spans="1:2">
      <c r="A9756" s="7"/>
      <c r="B9756" s="8"/>
    </row>
    <row r="9757" spans="1:2">
      <c r="A9757" s="7"/>
      <c r="B9757" s="8"/>
    </row>
    <row r="9758" spans="1:2">
      <c r="A9758" s="7"/>
      <c r="B9758" s="8"/>
    </row>
    <row r="9759" spans="1:2">
      <c r="A9759" s="7"/>
      <c r="B9759" s="8"/>
    </row>
    <row r="9760" spans="1:2">
      <c r="A9760" s="7"/>
      <c r="B9760" s="8"/>
    </row>
    <row r="9761" spans="1:2">
      <c r="A9761" s="7"/>
      <c r="B9761" s="8"/>
    </row>
    <row r="9762" spans="1:2">
      <c r="A9762" s="7"/>
      <c r="B9762" s="8"/>
    </row>
    <row r="9763" spans="1:2">
      <c r="A9763" s="7"/>
      <c r="B9763" s="8"/>
    </row>
    <row r="9764" spans="1:2">
      <c r="A9764" s="7"/>
      <c r="B9764" s="8"/>
    </row>
    <row r="9765" spans="1:2">
      <c r="A9765" s="7"/>
      <c r="B9765" s="8"/>
    </row>
    <row r="9766" spans="1:2">
      <c r="A9766" s="7"/>
      <c r="B9766" s="8"/>
    </row>
    <row r="9767" spans="1:2">
      <c r="A9767" s="7"/>
      <c r="B9767" s="8"/>
    </row>
    <row r="9768" spans="1:2">
      <c r="A9768" s="7"/>
      <c r="B9768" s="8"/>
    </row>
    <row r="9769" spans="1:2">
      <c r="A9769" s="7"/>
      <c r="B9769" s="8"/>
    </row>
    <row r="9770" spans="1:2">
      <c r="A9770" s="7"/>
      <c r="B9770" s="8"/>
    </row>
    <row r="9771" spans="1:2">
      <c r="A9771" s="7"/>
      <c r="B9771" s="8"/>
    </row>
    <row r="9772" spans="1:2">
      <c r="A9772" s="7"/>
      <c r="B9772" s="8"/>
    </row>
    <row r="9773" spans="1:2">
      <c r="A9773" s="7"/>
      <c r="B9773" s="8"/>
    </row>
    <row r="9774" spans="1:2">
      <c r="A9774" s="7"/>
      <c r="B9774" s="8"/>
    </row>
    <row r="9775" spans="1:2">
      <c r="A9775" s="7"/>
      <c r="B9775" s="8"/>
    </row>
    <row r="9776" spans="1:2">
      <c r="A9776" s="7"/>
      <c r="B9776" s="8"/>
    </row>
    <row r="9777" spans="1:2">
      <c r="A9777" s="7"/>
      <c r="B9777" s="8"/>
    </row>
    <row r="9778" spans="1:2">
      <c r="A9778" s="7"/>
      <c r="B9778" s="8"/>
    </row>
    <row r="9779" spans="1:2">
      <c r="A9779" s="7"/>
      <c r="B9779" s="8"/>
    </row>
    <row r="9780" spans="1:2">
      <c r="A9780" s="7"/>
      <c r="B9780" s="8"/>
    </row>
    <row r="9781" spans="1:2">
      <c r="A9781" s="7"/>
      <c r="B9781" s="8"/>
    </row>
    <row r="9782" spans="1:2">
      <c r="A9782" s="7"/>
      <c r="B9782" s="8"/>
    </row>
    <row r="9783" spans="1:2">
      <c r="A9783" s="7"/>
      <c r="B9783" s="8"/>
    </row>
    <row r="9784" spans="1:2">
      <c r="A9784" s="7"/>
      <c r="B9784" s="8"/>
    </row>
    <row r="9785" spans="1:2">
      <c r="A9785" s="7"/>
      <c r="B9785" s="8"/>
    </row>
    <row r="9786" spans="1:2">
      <c r="A9786" s="7"/>
      <c r="B9786" s="8"/>
    </row>
    <row r="9787" spans="1:2">
      <c r="A9787" s="7"/>
      <c r="B9787" s="8"/>
    </row>
    <row r="9788" spans="1:2">
      <c r="A9788" s="7"/>
      <c r="B9788" s="8"/>
    </row>
    <row r="9789" spans="1:2">
      <c r="A9789" s="7"/>
      <c r="B9789" s="8"/>
    </row>
    <row r="9790" spans="1:2">
      <c r="A9790" s="7"/>
      <c r="B9790" s="8"/>
    </row>
    <row r="9791" spans="1:2">
      <c r="A9791" s="7"/>
      <c r="B9791" s="8"/>
    </row>
    <row r="9792" spans="1:2">
      <c r="A9792" s="7"/>
      <c r="B9792" s="8"/>
    </row>
    <row r="9793" spans="1:2">
      <c r="A9793" s="7"/>
      <c r="B9793" s="8"/>
    </row>
    <row r="9794" spans="1:2">
      <c r="A9794" s="7"/>
      <c r="B9794" s="8"/>
    </row>
    <row r="9795" spans="1:2">
      <c r="A9795" s="7"/>
      <c r="B9795" s="8"/>
    </row>
    <row r="9796" spans="1:2">
      <c r="A9796" s="7"/>
      <c r="B9796" s="8"/>
    </row>
    <row r="9797" spans="1:2">
      <c r="A9797" s="7"/>
      <c r="B9797" s="8"/>
    </row>
    <row r="9798" spans="1:2">
      <c r="A9798" s="7"/>
      <c r="B9798" s="8"/>
    </row>
    <row r="9799" spans="1:2">
      <c r="A9799" s="7"/>
      <c r="B9799" s="8"/>
    </row>
    <row r="9800" spans="1:2">
      <c r="A9800" s="7"/>
      <c r="B9800" s="8"/>
    </row>
    <row r="9801" spans="1:2">
      <c r="A9801" s="7"/>
      <c r="B9801" s="8"/>
    </row>
    <row r="9802" spans="1:2">
      <c r="A9802" s="7"/>
      <c r="B9802" s="8"/>
    </row>
    <row r="9803" spans="1:2">
      <c r="A9803" s="7"/>
      <c r="B9803" s="8"/>
    </row>
    <row r="9804" spans="1:2">
      <c r="A9804" s="7"/>
      <c r="B9804" s="8"/>
    </row>
    <row r="9805" spans="1:2">
      <c r="A9805" s="7"/>
      <c r="B9805" s="8"/>
    </row>
    <row r="9806" spans="1:2">
      <c r="A9806" s="7"/>
      <c r="B9806" s="8"/>
    </row>
    <row r="9807" spans="1:2">
      <c r="A9807" s="7"/>
      <c r="B9807" s="8"/>
    </row>
    <row r="9808" spans="1:2">
      <c r="A9808" s="7"/>
      <c r="B9808" s="8"/>
    </row>
    <row r="9809" spans="1:2">
      <c r="A9809" s="7"/>
      <c r="B9809" s="8"/>
    </row>
    <row r="9810" spans="1:2">
      <c r="A9810" s="7"/>
      <c r="B9810" s="8"/>
    </row>
    <row r="9811" spans="1:2">
      <c r="A9811" s="7"/>
      <c r="B9811" s="8"/>
    </row>
    <row r="9812" spans="1:2">
      <c r="A9812" s="7"/>
      <c r="B9812" s="8"/>
    </row>
    <row r="9813" spans="1:2">
      <c r="A9813" s="7"/>
      <c r="B9813" s="8"/>
    </row>
    <row r="9814" spans="1:2">
      <c r="A9814" s="7"/>
      <c r="B9814" s="8"/>
    </row>
    <row r="9815" spans="1:2">
      <c r="A9815" s="7"/>
      <c r="B9815" s="8"/>
    </row>
    <row r="9816" spans="1:2">
      <c r="A9816" s="7"/>
      <c r="B9816" s="8"/>
    </row>
    <row r="9817" spans="1:2">
      <c r="A9817" s="7"/>
      <c r="B9817" s="8"/>
    </row>
    <row r="9818" spans="1:2">
      <c r="A9818" s="7"/>
      <c r="B9818" s="8"/>
    </row>
    <row r="9819" spans="1:2">
      <c r="A9819" s="7"/>
      <c r="B9819" s="8"/>
    </row>
    <row r="9820" spans="1:2">
      <c r="A9820" s="7"/>
      <c r="B9820" s="8"/>
    </row>
    <row r="9821" spans="1:2">
      <c r="A9821" s="7"/>
      <c r="B9821" s="8"/>
    </row>
    <row r="9822" spans="1:2">
      <c r="A9822" s="7"/>
      <c r="B9822" s="8"/>
    </row>
    <row r="9823" spans="1:2">
      <c r="A9823" s="7"/>
      <c r="B9823" s="8"/>
    </row>
    <row r="9824" spans="1:2">
      <c r="A9824" s="7"/>
      <c r="B9824" s="8"/>
    </row>
    <row r="9825" spans="1:2">
      <c r="A9825" s="7"/>
      <c r="B9825" s="8"/>
    </row>
    <row r="9826" spans="1:2">
      <c r="A9826" s="7"/>
      <c r="B9826" s="8"/>
    </row>
    <row r="9827" spans="1:2">
      <c r="A9827" s="7"/>
      <c r="B9827" s="8"/>
    </row>
    <row r="9828" spans="1:2">
      <c r="A9828" s="7"/>
      <c r="B9828" s="8"/>
    </row>
    <row r="9829" spans="1:2">
      <c r="A9829" s="7"/>
      <c r="B9829" s="8"/>
    </row>
    <row r="9830" spans="1:2">
      <c r="A9830" s="7"/>
      <c r="B9830" s="8"/>
    </row>
    <row r="9831" spans="1:2">
      <c r="A9831" s="7"/>
      <c r="B9831" s="8"/>
    </row>
    <row r="9832" spans="1:2">
      <c r="A9832" s="7"/>
      <c r="B9832" s="8"/>
    </row>
    <row r="9833" spans="1:2">
      <c r="A9833" s="7"/>
      <c r="B9833" s="8"/>
    </row>
    <row r="9834" spans="1:2">
      <c r="A9834" s="7"/>
      <c r="B9834" s="8"/>
    </row>
    <row r="9835" spans="1:2">
      <c r="A9835" s="7"/>
      <c r="B9835" s="8"/>
    </row>
    <row r="9836" spans="1:2">
      <c r="A9836" s="7"/>
      <c r="B9836" s="8"/>
    </row>
    <row r="9837" spans="1:2">
      <c r="A9837" s="7"/>
      <c r="B9837" s="8"/>
    </row>
    <row r="9838" spans="1:2">
      <c r="A9838" s="7"/>
      <c r="B9838" s="8"/>
    </row>
    <row r="9839" spans="1:2">
      <c r="A9839" s="7"/>
      <c r="B9839" s="8"/>
    </row>
    <row r="9840" spans="1:2">
      <c r="A9840" s="7"/>
      <c r="B9840" s="8"/>
    </row>
    <row r="9841" spans="1:2">
      <c r="A9841" s="7"/>
      <c r="B9841" s="8"/>
    </row>
    <row r="9842" spans="1:2">
      <c r="A9842" s="7"/>
      <c r="B9842" s="8"/>
    </row>
    <row r="9843" spans="1:2">
      <c r="A9843" s="7"/>
      <c r="B9843" s="8"/>
    </row>
    <row r="9844" spans="1:2">
      <c r="A9844" s="7"/>
      <c r="B9844" s="8"/>
    </row>
    <row r="9845" spans="1:2">
      <c r="A9845" s="7"/>
      <c r="B9845" s="8"/>
    </row>
    <row r="9846" spans="1:2">
      <c r="A9846" s="7"/>
      <c r="B9846" s="8"/>
    </row>
    <row r="9847" spans="1:2">
      <c r="A9847" s="7"/>
      <c r="B9847" s="8"/>
    </row>
    <row r="9848" spans="1:2">
      <c r="A9848" s="7"/>
      <c r="B9848" s="8"/>
    </row>
    <row r="9849" spans="1:2">
      <c r="A9849" s="7"/>
      <c r="B9849" s="8"/>
    </row>
    <row r="9850" spans="1:2">
      <c r="A9850" s="7"/>
      <c r="B9850" s="8"/>
    </row>
    <row r="9851" spans="1:2">
      <c r="A9851" s="7"/>
      <c r="B9851" s="8"/>
    </row>
    <row r="9852" spans="1:2">
      <c r="A9852" s="7"/>
      <c r="B9852" s="8"/>
    </row>
    <row r="9853" spans="1:2">
      <c r="A9853" s="7"/>
      <c r="B9853" s="8"/>
    </row>
    <row r="9854" spans="1:2">
      <c r="A9854" s="7"/>
      <c r="B9854" s="8"/>
    </row>
    <row r="9855" spans="1:2">
      <c r="A9855" s="7"/>
      <c r="B9855" s="8"/>
    </row>
    <row r="9856" spans="1:2">
      <c r="A9856" s="7"/>
      <c r="B9856" s="8"/>
    </row>
    <row r="9857" spans="1:2">
      <c r="A9857" s="7"/>
      <c r="B9857" s="8"/>
    </row>
    <row r="9858" spans="1:2">
      <c r="A9858" s="7"/>
      <c r="B9858" s="8"/>
    </row>
    <row r="9859" spans="1:2">
      <c r="A9859" s="7"/>
      <c r="B9859" s="8"/>
    </row>
    <row r="9860" spans="1:2">
      <c r="A9860" s="7"/>
      <c r="B9860" s="8"/>
    </row>
    <row r="9861" spans="1:2">
      <c r="A9861" s="7"/>
      <c r="B9861" s="8"/>
    </row>
    <row r="9862" spans="1:2">
      <c r="A9862" s="7"/>
      <c r="B9862" s="8"/>
    </row>
    <row r="9863" spans="1:2">
      <c r="A9863" s="7"/>
      <c r="B9863" s="8"/>
    </row>
    <row r="9864" spans="1:2">
      <c r="A9864" s="7"/>
      <c r="B9864" s="8"/>
    </row>
    <row r="9865" spans="1:2">
      <c r="A9865" s="7"/>
      <c r="B9865" s="8"/>
    </row>
    <row r="9866" spans="1:2">
      <c r="A9866" s="7"/>
      <c r="B9866" s="8"/>
    </row>
    <row r="9867" spans="1:2">
      <c r="A9867" s="7"/>
      <c r="B9867" s="8"/>
    </row>
    <row r="9868" spans="1:2">
      <c r="A9868" s="7"/>
      <c r="B9868" s="8"/>
    </row>
    <row r="9869" spans="1:2">
      <c r="A9869" s="7"/>
      <c r="B9869" s="8"/>
    </row>
    <row r="9870" spans="1:2">
      <c r="A9870" s="7"/>
      <c r="B9870" s="8"/>
    </row>
    <row r="9871" spans="1:2">
      <c r="A9871" s="7"/>
      <c r="B9871" s="8"/>
    </row>
    <row r="9872" spans="1:2">
      <c r="A9872" s="7"/>
      <c r="B9872" s="8"/>
    </row>
    <row r="9873" spans="1:2">
      <c r="A9873" s="7"/>
      <c r="B9873" s="8"/>
    </row>
    <row r="9874" spans="1:2">
      <c r="A9874" s="7"/>
      <c r="B9874" s="8"/>
    </row>
    <row r="9875" spans="1:2">
      <c r="A9875" s="7"/>
      <c r="B9875" s="8"/>
    </row>
    <row r="9876" spans="1:2">
      <c r="A9876" s="7"/>
      <c r="B9876" s="8"/>
    </row>
    <row r="9877" spans="1:2">
      <c r="A9877" s="7"/>
      <c r="B9877" s="8"/>
    </row>
    <row r="9878" spans="1:2">
      <c r="A9878" s="7"/>
      <c r="B9878" s="8"/>
    </row>
    <row r="9879" spans="1:2">
      <c r="A9879" s="7"/>
      <c r="B9879" s="8"/>
    </row>
    <row r="9880" spans="1:2">
      <c r="A9880" s="7"/>
      <c r="B9880" s="8"/>
    </row>
    <row r="9881" spans="1:2">
      <c r="A9881" s="7"/>
      <c r="B9881" s="8"/>
    </row>
    <row r="9882" spans="1:2">
      <c r="A9882" s="7"/>
      <c r="B9882" s="8"/>
    </row>
    <row r="9883" spans="1:2">
      <c r="A9883" s="7"/>
      <c r="B9883" s="8"/>
    </row>
    <row r="9884" spans="1:2">
      <c r="A9884" s="7"/>
      <c r="B9884" s="8"/>
    </row>
    <row r="9885" spans="1:2">
      <c r="A9885" s="7"/>
      <c r="B9885" s="8"/>
    </row>
    <row r="9886" spans="1:2">
      <c r="A9886" s="7"/>
      <c r="B9886" s="8"/>
    </row>
    <row r="9887" spans="1:2">
      <c r="A9887" s="7"/>
      <c r="B9887" s="8"/>
    </row>
    <row r="9888" spans="1:2">
      <c r="A9888" s="7"/>
      <c r="B9888" s="8"/>
    </row>
    <row r="9889" spans="1:2">
      <c r="A9889" s="7"/>
      <c r="B9889" s="8"/>
    </row>
    <row r="9890" spans="1:2">
      <c r="A9890" s="7"/>
      <c r="B9890" s="8"/>
    </row>
    <row r="9891" spans="1:2">
      <c r="A9891" s="7"/>
      <c r="B9891" s="8"/>
    </row>
    <row r="9892" spans="1:2">
      <c r="A9892" s="7"/>
      <c r="B9892" s="8"/>
    </row>
    <row r="9893" spans="1:2">
      <c r="A9893" s="7"/>
      <c r="B9893" s="8"/>
    </row>
    <row r="9894" spans="1:2">
      <c r="A9894" s="7"/>
      <c r="B9894" s="8"/>
    </row>
    <row r="9895" spans="1:2">
      <c r="A9895" s="7"/>
      <c r="B9895" s="8"/>
    </row>
    <row r="9896" spans="1:2">
      <c r="A9896" s="7"/>
      <c r="B9896" s="8"/>
    </row>
    <row r="9897" spans="1:2">
      <c r="A9897" s="7"/>
      <c r="B9897" s="8"/>
    </row>
    <row r="9898" spans="1:2">
      <c r="A9898" s="7"/>
      <c r="B9898" s="8"/>
    </row>
    <row r="9899" spans="1:2">
      <c r="A9899" s="7"/>
      <c r="B9899" s="8"/>
    </row>
    <row r="9900" spans="1:2">
      <c r="A9900" s="7"/>
      <c r="B9900" s="8"/>
    </row>
    <row r="9901" spans="1:2">
      <c r="A9901" s="7"/>
      <c r="B9901" s="8"/>
    </row>
    <row r="9902" spans="1:2">
      <c r="A9902" s="7"/>
      <c r="B9902" s="8"/>
    </row>
    <row r="9903" spans="1:2">
      <c r="A9903" s="7"/>
      <c r="B9903" s="8"/>
    </row>
    <row r="9904" spans="1:2">
      <c r="A9904" s="7"/>
      <c r="B9904" s="8"/>
    </row>
    <row r="9905" spans="1:2">
      <c r="A9905" s="7"/>
      <c r="B9905" s="8"/>
    </row>
    <row r="9906" spans="1:2">
      <c r="A9906" s="7"/>
      <c r="B9906" s="8"/>
    </row>
    <row r="9907" spans="1:2">
      <c r="A9907" s="7"/>
      <c r="B9907" s="8"/>
    </row>
    <row r="9908" spans="1:2">
      <c r="A9908" s="7"/>
      <c r="B9908" s="8"/>
    </row>
    <row r="9909" spans="1:2">
      <c r="A9909" s="7"/>
      <c r="B9909" s="8"/>
    </row>
    <row r="9910" spans="1:2">
      <c r="A9910" s="7"/>
      <c r="B9910" s="8"/>
    </row>
    <row r="9911" spans="1:2">
      <c r="A9911" s="7"/>
      <c r="B9911" s="8"/>
    </row>
    <row r="9912" spans="1:2">
      <c r="A9912" s="7"/>
      <c r="B9912" s="8"/>
    </row>
    <row r="9913" spans="1:2">
      <c r="A9913" s="7"/>
      <c r="B9913" s="8"/>
    </row>
    <row r="9914" spans="1:2">
      <c r="A9914" s="7"/>
      <c r="B9914" s="8"/>
    </row>
    <row r="9915" spans="1:2">
      <c r="A9915" s="7"/>
      <c r="B9915" s="8"/>
    </row>
    <row r="9916" spans="1:2">
      <c r="A9916" s="7"/>
      <c r="B9916" s="8"/>
    </row>
    <row r="9917" spans="1:2">
      <c r="A9917" s="7"/>
      <c r="B9917" s="8"/>
    </row>
    <row r="9918" spans="1:2">
      <c r="A9918" s="7"/>
      <c r="B9918" s="8"/>
    </row>
    <row r="9919" spans="1:2">
      <c r="A9919" s="7"/>
      <c r="B9919" s="8"/>
    </row>
    <row r="9920" spans="1:2">
      <c r="A9920" s="7"/>
      <c r="B9920" s="8"/>
    </row>
    <row r="9921" spans="1:2">
      <c r="A9921" s="7"/>
      <c r="B9921" s="8"/>
    </row>
    <row r="9922" spans="1:2">
      <c r="A9922" s="7"/>
      <c r="B9922" s="8"/>
    </row>
    <row r="9923" spans="1:2">
      <c r="A9923" s="7"/>
      <c r="B9923" s="8"/>
    </row>
    <row r="9924" spans="1:2">
      <c r="A9924" s="7"/>
      <c r="B9924" s="8"/>
    </row>
    <row r="9925" spans="1:2">
      <c r="A9925" s="7"/>
      <c r="B9925" s="8"/>
    </row>
    <row r="9926" spans="1:2">
      <c r="A9926" s="7"/>
      <c r="B9926" s="8"/>
    </row>
    <row r="9927" spans="1:2">
      <c r="A9927" s="7"/>
      <c r="B9927" s="8"/>
    </row>
    <row r="9928" spans="1:2">
      <c r="A9928" s="7"/>
      <c r="B9928" s="8"/>
    </row>
    <row r="9929" spans="1:2">
      <c r="A9929" s="7"/>
      <c r="B9929" s="8"/>
    </row>
    <row r="9930" spans="1:2">
      <c r="A9930" s="7"/>
      <c r="B9930" s="8"/>
    </row>
    <row r="9931" spans="1:2">
      <c r="A9931" s="7"/>
      <c r="B9931" s="8"/>
    </row>
    <row r="9932" spans="1:2">
      <c r="A9932" s="7"/>
      <c r="B9932" s="8"/>
    </row>
    <row r="9933" spans="1:2">
      <c r="A9933" s="7"/>
      <c r="B9933" s="8"/>
    </row>
    <row r="9934" spans="1:2">
      <c r="A9934" s="7"/>
      <c r="B9934" s="8"/>
    </row>
    <row r="9935" spans="1:2">
      <c r="A9935" s="7"/>
      <c r="B9935" s="8"/>
    </row>
    <row r="9936" spans="1:2">
      <c r="A9936" s="7"/>
      <c r="B9936" s="8"/>
    </row>
    <row r="9937" spans="1:2">
      <c r="A9937" s="7"/>
      <c r="B9937" s="8"/>
    </row>
    <row r="9938" spans="1:2">
      <c r="A9938" s="7"/>
      <c r="B9938" s="8"/>
    </row>
    <row r="9939" spans="1:2">
      <c r="A9939" s="7"/>
      <c r="B9939" s="8"/>
    </row>
    <row r="9940" spans="1:2">
      <c r="A9940" s="7"/>
      <c r="B9940" s="8"/>
    </row>
    <row r="9941" spans="1:2">
      <c r="A9941" s="7"/>
      <c r="B9941" s="8"/>
    </row>
    <row r="9942" spans="1:2">
      <c r="A9942" s="7"/>
      <c r="B9942" s="8"/>
    </row>
    <row r="9943" spans="1:2">
      <c r="A9943" s="7"/>
      <c r="B9943" s="8"/>
    </row>
    <row r="9944" spans="1:2">
      <c r="A9944" s="7"/>
      <c r="B9944" s="8"/>
    </row>
    <row r="9945" spans="1:2">
      <c r="A9945" s="7"/>
      <c r="B9945" s="8"/>
    </row>
    <row r="9946" spans="1:2">
      <c r="A9946" s="7"/>
      <c r="B9946" s="8"/>
    </row>
    <row r="9947" spans="1:2">
      <c r="A9947" s="7"/>
      <c r="B9947" s="8"/>
    </row>
    <row r="9948" spans="1:2">
      <c r="A9948" s="7"/>
      <c r="B9948" s="8"/>
    </row>
    <row r="9949" spans="1:2">
      <c r="A9949" s="7"/>
      <c r="B9949" s="8"/>
    </row>
    <row r="9950" spans="1:2">
      <c r="A9950" s="7"/>
      <c r="B9950" s="8"/>
    </row>
    <row r="9951" spans="1:2">
      <c r="A9951" s="7"/>
      <c r="B9951" s="8"/>
    </row>
    <row r="9952" spans="1:2">
      <c r="A9952" s="7"/>
      <c r="B9952" s="8"/>
    </row>
    <row r="9953" spans="1:2">
      <c r="A9953" s="7"/>
      <c r="B9953" s="8"/>
    </row>
    <row r="9954" spans="1:2">
      <c r="A9954" s="7"/>
      <c r="B9954" s="8"/>
    </row>
    <row r="9955" spans="1:2">
      <c r="A9955" s="7"/>
      <c r="B9955" s="8"/>
    </row>
    <row r="9956" spans="1:2">
      <c r="A9956" s="7"/>
      <c r="B9956" s="8"/>
    </row>
    <row r="9957" spans="1:2">
      <c r="A9957" s="7"/>
      <c r="B9957" s="8"/>
    </row>
    <row r="9958" spans="1:2">
      <c r="A9958" s="7"/>
      <c r="B9958" s="8"/>
    </row>
    <row r="9959" spans="1:2">
      <c r="A9959" s="7"/>
      <c r="B9959" s="8"/>
    </row>
    <row r="9960" spans="1:2">
      <c r="A9960" s="7"/>
      <c r="B9960" s="8"/>
    </row>
    <row r="9961" spans="1:2">
      <c r="A9961" s="7"/>
      <c r="B9961" s="8"/>
    </row>
    <row r="9962" spans="1:2">
      <c r="A9962" s="7"/>
      <c r="B9962" s="8"/>
    </row>
    <row r="9963" spans="1:2">
      <c r="A9963" s="7"/>
      <c r="B9963" s="8"/>
    </row>
    <row r="9964" spans="1:2">
      <c r="A9964" s="7"/>
      <c r="B9964" s="8"/>
    </row>
    <row r="9965" spans="1:2">
      <c r="A9965" s="7"/>
      <c r="B9965" s="8"/>
    </row>
    <row r="9966" spans="1:2">
      <c r="A9966" s="7"/>
      <c r="B9966" s="8"/>
    </row>
    <row r="9967" spans="1:2">
      <c r="A9967" s="7"/>
      <c r="B9967" s="8"/>
    </row>
    <row r="9968" spans="1:2">
      <c r="A9968" s="7"/>
      <c r="B9968" s="8"/>
    </row>
    <row r="9969" spans="1:2">
      <c r="A9969" s="7"/>
      <c r="B9969" s="8"/>
    </row>
    <row r="9970" spans="1:2">
      <c r="A9970" s="7"/>
      <c r="B9970" s="8"/>
    </row>
    <row r="9971" spans="1:2">
      <c r="A9971" s="7"/>
      <c r="B9971" s="8"/>
    </row>
    <row r="9972" spans="1:2">
      <c r="A9972" s="7"/>
      <c r="B9972" s="8"/>
    </row>
    <row r="9973" spans="1:2">
      <c r="A9973" s="7"/>
      <c r="B9973" s="8"/>
    </row>
    <row r="9974" spans="1:2">
      <c r="A9974" s="7"/>
      <c r="B9974" s="8"/>
    </row>
    <row r="9975" spans="1:2">
      <c r="A9975" s="7"/>
      <c r="B9975" s="8"/>
    </row>
    <row r="9976" spans="1:2">
      <c r="A9976" s="7"/>
      <c r="B9976" s="8"/>
    </row>
    <row r="9977" spans="1:2">
      <c r="A9977" s="7"/>
      <c r="B9977" s="8"/>
    </row>
    <row r="9978" spans="1:2">
      <c r="A9978" s="7"/>
      <c r="B9978" s="8"/>
    </row>
    <row r="9979" spans="1:2">
      <c r="A9979" s="7"/>
      <c r="B9979" s="8"/>
    </row>
    <row r="9980" spans="1:2">
      <c r="A9980" s="7"/>
      <c r="B9980" s="8"/>
    </row>
    <row r="9981" spans="1:2">
      <c r="A9981" s="7"/>
      <c r="B9981" s="8"/>
    </row>
    <row r="9982" spans="1:2">
      <c r="A9982" s="7"/>
      <c r="B9982" s="8"/>
    </row>
    <row r="9983" spans="1:2">
      <c r="A9983" s="7"/>
      <c r="B9983" s="8"/>
    </row>
    <row r="9984" spans="1:2">
      <c r="A9984" s="7"/>
      <c r="B9984" s="8"/>
    </row>
    <row r="9985" spans="1:2">
      <c r="A9985" s="7"/>
      <c r="B9985" s="8"/>
    </row>
    <row r="9986" spans="1:2">
      <c r="A9986" s="7"/>
      <c r="B9986" s="8"/>
    </row>
    <row r="9987" spans="1:2">
      <c r="A9987" s="7"/>
      <c r="B9987" s="8"/>
    </row>
    <row r="9988" spans="1:2">
      <c r="A9988" s="7"/>
      <c r="B9988" s="8"/>
    </row>
    <row r="9989" spans="1:2">
      <c r="A9989" s="7"/>
      <c r="B9989" s="8"/>
    </row>
    <row r="9990" spans="1:2">
      <c r="A9990" s="7"/>
      <c r="B9990" s="8"/>
    </row>
    <row r="9991" spans="1:2">
      <c r="A9991" s="7"/>
      <c r="B9991" s="8"/>
    </row>
    <row r="9992" spans="1:2">
      <c r="A9992" s="7"/>
      <c r="B9992" s="8"/>
    </row>
    <row r="9993" spans="1:2">
      <c r="A9993" s="7"/>
      <c r="B9993" s="8"/>
    </row>
    <row r="9994" spans="1:2">
      <c r="A9994" s="7"/>
      <c r="B9994" s="8"/>
    </row>
    <row r="9995" spans="1:2">
      <c r="A9995" s="7"/>
      <c r="B9995" s="8"/>
    </row>
    <row r="9996" spans="1:2">
      <c r="A9996" s="7"/>
      <c r="B9996" s="8"/>
    </row>
    <row r="9997" spans="1:2">
      <c r="A9997" s="7"/>
      <c r="B9997" s="8"/>
    </row>
    <row r="9998" spans="1:2">
      <c r="A9998" s="7"/>
      <c r="B9998" s="8"/>
    </row>
    <row r="9999" spans="1:2">
      <c r="A9999" s="7"/>
      <c r="B9999" s="8"/>
    </row>
    <row r="10000" spans="1:2">
      <c r="A10000" s="10"/>
      <c r="B10000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4"/>
  <sheetViews>
    <sheetView tabSelected="1" zoomScale="90" zoomScaleNormal="90" workbookViewId="0">
      <pane ySplit="2" topLeftCell="A224" activePane="bottomLeft" state="frozen"/>
      <selection pane="bottomLeft" activeCell="E2342" sqref="E2342"/>
      <selection activeCell="L350" sqref="L350"/>
    </sheetView>
  </sheetViews>
  <sheetFormatPr defaultRowHeight="15"/>
  <cols>
    <col min="1" max="1" width="30.85546875" style="15" customWidth="1"/>
    <col min="2" max="2" width="21.140625" style="15" bestFit="1" customWidth="1"/>
    <col min="3" max="3" width="21.28515625" style="15" customWidth="1"/>
    <col min="4" max="4" width="44" style="15" bestFit="1" customWidth="1"/>
    <col min="5" max="5" width="47.28515625" style="17" customWidth="1"/>
    <col min="6" max="6" width="20" style="15" bestFit="1" customWidth="1"/>
    <col min="7" max="7" width="20" style="19" customWidth="1"/>
    <col min="8" max="9" width="18.5703125" style="19" customWidth="1"/>
    <col min="10" max="10" width="24.140625" style="17" customWidth="1"/>
    <col min="11" max="11" width="26.7109375" style="17" customWidth="1"/>
    <col min="12" max="12" width="22.140625" style="17" bestFit="1" customWidth="1"/>
    <col min="13" max="13" width="29.42578125" style="17" bestFit="1" customWidth="1"/>
    <col min="14" max="14" width="19.28515625" style="20" bestFit="1" customWidth="1"/>
    <col min="15" max="15" width="16.7109375" style="17" customWidth="1"/>
    <col min="16" max="16" width="26.140625" style="17" bestFit="1" customWidth="1"/>
    <col min="17" max="17" width="29.28515625" style="15" bestFit="1" customWidth="1"/>
    <col min="18" max="18" width="33" style="17" bestFit="1" customWidth="1"/>
    <col min="19" max="16384" width="9.140625" style="15"/>
  </cols>
  <sheetData>
    <row r="1" spans="1:18" s="38" customFormat="1" ht="59.25" customHeight="1">
      <c r="A1" s="23"/>
      <c r="B1" s="23"/>
      <c r="C1" s="23"/>
      <c r="D1" s="23"/>
      <c r="E1" s="34"/>
      <c r="F1" s="23"/>
      <c r="G1" s="26"/>
      <c r="H1" s="26"/>
      <c r="I1" s="23"/>
      <c r="J1" s="23"/>
      <c r="K1" s="34"/>
      <c r="L1" s="34"/>
      <c r="M1" s="34"/>
      <c r="N1" s="40"/>
      <c r="O1" s="34"/>
      <c r="P1" s="34"/>
      <c r="Q1" s="23"/>
      <c r="R1" s="23"/>
    </row>
    <row r="2" spans="1:18" s="17" customFormat="1" ht="31.5" customHeight="1">
      <c r="A2" s="24" t="s">
        <v>1063</v>
      </c>
      <c r="B2" s="24" t="s">
        <v>1064</v>
      </c>
      <c r="C2" s="24" t="s">
        <v>1065</v>
      </c>
      <c r="D2" s="24" t="s">
        <v>378</v>
      </c>
      <c r="E2" s="24" t="s">
        <v>1066</v>
      </c>
      <c r="F2" s="28" t="s">
        <v>1067</v>
      </c>
      <c r="G2" s="27" t="s">
        <v>1068</v>
      </c>
      <c r="H2" s="27" t="s">
        <v>1069</v>
      </c>
      <c r="I2" s="24" t="s">
        <v>1070</v>
      </c>
      <c r="J2" s="24" t="s">
        <v>1071</v>
      </c>
      <c r="K2" s="24" t="s">
        <v>1072</v>
      </c>
      <c r="L2" s="24" t="s">
        <v>1073</v>
      </c>
      <c r="M2" s="24" t="s">
        <v>1074</v>
      </c>
      <c r="N2" s="25" t="s">
        <v>1075</v>
      </c>
      <c r="O2" s="24" t="s">
        <v>1076</v>
      </c>
      <c r="P2" s="24" t="s">
        <v>1077</v>
      </c>
      <c r="Q2" s="28" t="s">
        <v>1078</v>
      </c>
      <c r="R2" s="35" t="s">
        <v>1079</v>
      </c>
    </row>
    <row r="3" spans="1:18" ht="18" hidden="1" customHeight="1">
      <c r="A3" s="16">
        <v>46027</v>
      </c>
      <c r="B3" s="16">
        <v>46031</v>
      </c>
      <c r="C3" s="21">
        <v>13130037</v>
      </c>
      <c r="D3" s="16" t="str">
        <f>IFERROR(VLOOKUP(Tabela5[[#This Row],[PREFIXO ]],Tabela4[#All],2,0),"CENTRO DE CUSTO")</f>
        <v>PULV AUTOPROP JOHN DEERE M4030</v>
      </c>
      <c r="E3" s="18" t="s">
        <v>17</v>
      </c>
      <c r="F3" s="21">
        <v>40839</v>
      </c>
      <c r="G3" s="22"/>
      <c r="H3" s="22">
        <v>5225</v>
      </c>
      <c r="I3" s="22">
        <f t="shared" ref="I3:I34" si="0">G3+H3</f>
        <v>5225</v>
      </c>
      <c r="J3" s="18" t="s">
        <v>1080</v>
      </c>
      <c r="K3" s="18">
        <v>9728651</v>
      </c>
      <c r="L3" s="18">
        <v>834744</v>
      </c>
      <c r="M3" s="18" t="s">
        <v>1081</v>
      </c>
      <c r="N3" s="16" t="s">
        <v>1082</v>
      </c>
      <c r="O3" s="18" t="s">
        <v>1083</v>
      </c>
      <c r="P3" s="18" t="s">
        <v>1084</v>
      </c>
      <c r="Q3" s="29" t="str" cm="1">
        <f t="array" ref="Q3">_xlfn.IFS(
A3="","",
AND(A3&lt;&gt;"",B3=""),"FALTA LANÇAMENTO",
AND(B3&lt;&gt;"",M3=""),"FALTA O PEDIDO",
AND(M3&lt;&gt;"",O3=""),"FALTA NF",
O3&lt;&gt;"","CONCLUÍDO")</f>
        <v>CONCLUÍDO</v>
      </c>
      <c r="R3" s="36"/>
    </row>
    <row r="4" spans="1:18" ht="18" hidden="1" customHeight="1">
      <c r="A4" s="16">
        <v>46027</v>
      </c>
      <c r="B4" s="16">
        <v>46031</v>
      </c>
      <c r="C4" s="21">
        <v>13130037</v>
      </c>
      <c r="D4" s="16" t="str">
        <f>IFERROR(VLOOKUP(Tabela5[[#This Row],[PREFIXO ]],Tabela4[#All],2,0),"CENTRO DE CUSTO")</f>
        <v>PULV AUTOPROP JOHN DEERE M4030</v>
      </c>
      <c r="E4" s="18" t="s">
        <v>17</v>
      </c>
      <c r="F4" s="21">
        <v>42107</v>
      </c>
      <c r="G4" s="22">
        <v>2443.59</v>
      </c>
      <c r="H4" s="22"/>
      <c r="I4" s="22">
        <f t="shared" si="0"/>
        <v>2443.59</v>
      </c>
      <c r="J4" s="18" t="s">
        <v>1080</v>
      </c>
      <c r="K4" s="18">
        <v>9728651</v>
      </c>
      <c r="L4" s="18">
        <v>834744</v>
      </c>
      <c r="M4" s="18" t="s">
        <v>1081</v>
      </c>
      <c r="N4" s="16" t="s">
        <v>1082</v>
      </c>
      <c r="O4" s="18" t="s">
        <v>1083</v>
      </c>
      <c r="P4" s="18" t="s">
        <v>1084</v>
      </c>
      <c r="Q4" s="29" t="str" cm="1">
        <f t="array" ref="Q4">_xlfn.IFS(
A4="","",
AND(A4&lt;&gt;"",B4=""),"FALTA LANÇAMENTO",
AND(B4&lt;&gt;"",M4=""),"FALTA O PEDIDO",
AND(M4&lt;&gt;"",O4=""),"FALTA NF",
O4&lt;&gt;"","CONCLUÍDO")</f>
        <v>CONCLUÍDO</v>
      </c>
      <c r="R4" s="36"/>
    </row>
    <row r="5" spans="1:18" ht="18" hidden="1" customHeight="1">
      <c r="A5" s="16">
        <v>46027</v>
      </c>
      <c r="B5" s="16">
        <v>46031</v>
      </c>
      <c r="C5" s="21">
        <v>61521083</v>
      </c>
      <c r="D5" s="16" t="str">
        <f>IFERROR(VLOOKUP(Tabela5[[#This Row],[PREFIXO ]],Tabela4[#All],2,0),"CENTRO DE CUSTO")</f>
        <v>CAM COMBOIO VOLVO VM 330</v>
      </c>
      <c r="E5" s="18" t="s">
        <v>29</v>
      </c>
      <c r="F5" s="21">
        <v>54531</v>
      </c>
      <c r="G5" s="22">
        <v>2754</v>
      </c>
      <c r="H5" s="22">
        <v>4057.13</v>
      </c>
      <c r="I5" s="22">
        <f t="shared" si="0"/>
        <v>6811.13</v>
      </c>
      <c r="J5" s="18" t="s">
        <v>1085</v>
      </c>
      <c r="K5" s="18">
        <v>9717127</v>
      </c>
      <c r="L5" s="18">
        <v>834504</v>
      </c>
      <c r="M5" s="18" t="s">
        <v>1086</v>
      </c>
      <c r="N5" s="16" t="s">
        <v>1082</v>
      </c>
      <c r="O5" s="18" t="s">
        <v>1087</v>
      </c>
      <c r="P5" s="18" t="s">
        <v>1088</v>
      </c>
      <c r="Q5" s="29" t="str" cm="1">
        <f t="array" ref="Q5">_xlfn.IFS(
A5="","",
AND(A5&lt;&gt;"",B5=""),"FALTA LANÇAMENTO",
AND(B5&lt;&gt;"",M5=""),"FALTA O PEDIDO",
AND(M5&lt;&gt;"",O5=""),"FALTA NF",
O5&lt;&gt;"","CONCLUÍDO")</f>
        <v>CONCLUÍDO</v>
      </c>
      <c r="R5" s="36"/>
    </row>
    <row r="6" spans="1:18" ht="18" hidden="1" customHeight="1">
      <c r="A6" s="16">
        <v>46027</v>
      </c>
      <c r="B6" s="16">
        <v>46031</v>
      </c>
      <c r="C6" s="21">
        <v>61521061</v>
      </c>
      <c r="D6" s="16" t="str">
        <f>IFERROR(VLOOKUP(Tabela5[[#This Row],[PREFIXO ]],Tabela4[#All],2,0),"CENTRO DE CUSTO")</f>
        <v>ONIB RODOVIÁRIO MERC BENZ MARCOPOLO TORI</v>
      </c>
      <c r="E6" s="18" t="s">
        <v>29</v>
      </c>
      <c r="F6" s="21">
        <v>54525</v>
      </c>
      <c r="G6" s="22">
        <v>2230</v>
      </c>
      <c r="H6" s="22">
        <v>2668.34</v>
      </c>
      <c r="I6" s="22">
        <f t="shared" si="0"/>
        <v>4898.34</v>
      </c>
      <c r="J6" s="18" t="s">
        <v>1085</v>
      </c>
      <c r="K6" s="18">
        <v>9717126</v>
      </c>
      <c r="L6" s="18">
        <v>835075</v>
      </c>
      <c r="M6" s="18" t="s">
        <v>1089</v>
      </c>
      <c r="N6" s="16" t="s">
        <v>1082</v>
      </c>
      <c r="O6" s="18" t="s">
        <v>1090</v>
      </c>
      <c r="P6" s="18" t="s">
        <v>1088</v>
      </c>
      <c r="Q6" s="29" t="str" cm="1">
        <f t="array" ref="Q6">_xlfn.IFS(
A6="","",
AND(A6&lt;&gt;"",B6=""),"FALTA LANÇAMENTO",
AND(B6&lt;&gt;"",M6=""),"FALTA O PEDIDO",
AND(M6&lt;&gt;"",O6=""),"FALTA NF",
O6&lt;&gt;"","CONCLUÍDO")</f>
        <v>CONCLUÍDO</v>
      </c>
      <c r="R6" s="36"/>
    </row>
    <row r="7" spans="1:18" ht="18" hidden="1" customHeight="1">
      <c r="A7" s="16">
        <v>46027</v>
      </c>
      <c r="B7" s="16">
        <v>46031</v>
      </c>
      <c r="C7" s="21">
        <v>12060003</v>
      </c>
      <c r="D7" s="16" t="str">
        <f>IFERROR(VLOOKUP(Tabela5[[#This Row],[PREFIXO ]],Tabela4[#All],2,0),"CENTRO DE CUSTO")</f>
        <v>ONIB RODOVIÁRIO MARCOPOLO NEOBUS MEGA</v>
      </c>
      <c r="E7" s="18" t="s">
        <v>29</v>
      </c>
      <c r="F7" s="21">
        <v>54507</v>
      </c>
      <c r="G7" s="22">
        <v>1680</v>
      </c>
      <c r="H7" s="22">
        <v>1562.28</v>
      </c>
      <c r="I7" s="22">
        <f t="shared" si="0"/>
        <v>3242.2799999999997</v>
      </c>
      <c r="J7" s="18" t="s">
        <v>1085</v>
      </c>
      <c r="K7" s="18">
        <v>9716393</v>
      </c>
      <c r="L7" s="18">
        <v>834539</v>
      </c>
      <c r="M7" s="18" t="s">
        <v>1091</v>
      </c>
      <c r="N7" s="16" t="s">
        <v>1092</v>
      </c>
      <c r="O7" s="18" t="s">
        <v>1093</v>
      </c>
      <c r="P7" s="18" t="s">
        <v>1094</v>
      </c>
      <c r="Q7" s="29" t="str" cm="1">
        <f t="array" ref="Q7">_xlfn.IFS(
A7="","",
AND(A7&lt;&gt;"",B7=""),"FALTA LANÇAMENTO",
AND(B7&lt;&gt;"",M7=""),"FALTA O PEDIDO",
AND(M7&lt;&gt;"",O7=""),"FALTA NF",
O7&lt;&gt;"","CONCLUÍDO")</f>
        <v>CONCLUÍDO</v>
      </c>
      <c r="R7" s="36"/>
    </row>
    <row r="8" spans="1:18" ht="18" hidden="1" customHeight="1">
      <c r="A8" s="16">
        <v>46027</v>
      </c>
      <c r="B8" s="16">
        <v>46031</v>
      </c>
      <c r="C8" s="21">
        <v>61521074</v>
      </c>
      <c r="D8" s="16" t="str">
        <f>IFERROR(VLOOKUP(Tabela5[[#This Row],[PREFIXO ]],Tabela4[#All],2,0),"CENTRO DE CUSTO")</f>
        <v>CAV MEC PES VOLVO VM 220</v>
      </c>
      <c r="E8" s="18" t="s">
        <v>29</v>
      </c>
      <c r="F8" s="21">
        <v>54538</v>
      </c>
      <c r="G8" s="22">
        <v>305</v>
      </c>
      <c r="H8" s="22">
        <v>14</v>
      </c>
      <c r="I8" s="22">
        <f t="shared" si="0"/>
        <v>319</v>
      </c>
      <c r="J8" s="18" t="s">
        <v>1085</v>
      </c>
      <c r="K8" s="18"/>
      <c r="L8" s="18" t="s">
        <v>1095</v>
      </c>
      <c r="M8" s="18" t="s">
        <v>1095</v>
      </c>
      <c r="N8" s="16" t="s">
        <v>1095</v>
      </c>
      <c r="O8" s="18" t="s">
        <v>1095</v>
      </c>
      <c r="P8" s="18" t="s">
        <v>1095</v>
      </c>
      <c r="Q8" s="29" t="str" cm="1">
        <f t="array" ref="Q8">_xlfn.IFS(
A8="","",
AND(A8&lt;&gt;"",B8=""),"FALTA LANÇAMENTO",
AND(B8&lt;&gt;"",M8=""),"FALTA O PEDIDO",
AND(M8&lt;&gt;"",O8=""),"FALTA NF",
O8&lt;&gt;"","CONCLUÍDO")</f>
        <v>CONCLUÍDO</v>
      </c>
      <c r="R8" s="36"/>
    </row>
    <row r="9" spans="1:18" ht="18" hidden="1" customHeight="1">
      <c r="A9" s="16">
        <v>46027</v>
      </c>
      <c r="B9" s="16">
        <v>46031</v>
      </c>
      <c r="C9" s="21" t="s">
        <v>1096</v>
      </c>
      <c r="D9" s="16" t="str">
        <f>IFERROR(VLOOKUP(Tabela5[[#This Row],[PREFIXO ]],Tabela4[#All],2,0),"CENTRO DE CUSTO")</f>
        <v>CENTRO DE CUSTO</v>
      </c>
      <c r="E9" s="18" t="s">
        <v>311</v>
      </c>
      <c r="F9" s="21">
        <v>651</v>
      </c>
      <c r="G9" s="22">
        <v>7250</v>
      </c>
      <c r="H9" s="22"/>
      <c r="I9" s="22">
        <f t="shared" si="0"/>
        <v>7250</v>
      </c>
      <c r="J9" s="18" t="s">
        <v>1097</v>
      </c>
      <c r="K9" s="18" t="s">
        <v>1098</v>
      </c>
      <c r="L9" s="18">
        <v>833348</v>
      </c>
      <c r="M9" s="18" t="s">
        <v>1099</v>
      </c>
      <c r="N9" s="16" t="s">
        <v>1082</v>
      </c>
      <c r="O9" s="18" t="s">
        <v>1100</v>
      </c>
      <c r="P9" s="18" t="s">
        <v>1101</v>
      </c>
      <c r="Q9" s="29" t="str" cm="1">
        <f t="array" ref="Q9">_xlfn.IFS(
A9="","",
AND(A9&lt;&gt;"",B9=""),"FALTA LANÇAMENTO",
AND(B9&lt;&gt;"",M9=""),"FALTA O PEDIDO",
AND(M9&lt;&gt;"",O9=""),"FALTA NF",
O9&lt;&gt;"","CONCLUÍDO")</f>
        <v>CONCLUÍDO</v>
      </c>
      <c r="R9" s="36"/>
    </row>
    <row r="10" spans="1:18" ht="18" hidden="1" customHeight="1">
      <c r="A10" s="16">
        <v>46027</v>
      </c>
      <c r="B10" s="16">
        <v>46031</v>
      </c>
      <c r="C10" s="21" t="s">
        <v>1102</v>
      </c>
      <c r="D10" s="16" t="str">
        <f>IFERROR(VLOOKUP(Tabela5[[#This Row],[PREFIXO ]],Tabela4[#All],2,0),"CENTRO DE CUSTO")</f>
        <v>CENTRO DE CUSTO</v>
      </c>
      <c r="E10" s="18" t="s">
        <v>311</v>
      </c>
      <c r="F10" s="21">
        <v>660</v>
      </c>
      <c r="G10" s="22">
        <v>5800</v>
      </c>
      <c r="H10" s="22"/>
      <c r="I10" s="22">
        <f t="shared" si="0"/>
        <v>5800</v>
      </c>
      <c r="J10" s="18" t="s">
        <v>1097</v>
      </c>
      <c r="K10" s="18" t="s">
        <v>1103</v>
      </c>
      <c r="L10" s="18">
        <v>833725</v>
      </c>
      <c r="M10" s="18" t="s">
        <v>1104</v>
      </c>
      <c r="N10" s="16" t="s">
        <v>1082</v>
      </c>
      <c r="O10" s="18" t="s">
        <v>1105</v>
      </c>
      <c r="P10" s="18" t="s">
        <v>1101</v>
      </c>
      <c r="Q10" s="29" t="str" cm="1">
        <f t="array" ref="Q10">_xlfn.IFS(
A10="","",
AND(A10&lt;&gt;"",B10=""),"FALTA LANÇAMENTO",
AND(B10&lt;&gt;"",M10=""),"FALTA O PEDIDO",
AND(M10&lt;&gt;"",O10=""),"FALTA NF",
O10&lt;&gt;"","CONCLUÍDO")</f>
        <v>CONCLUÍDO</v>
      </c>
      <c r="R10" s="36"/>
    </row>
    <row r="11" spans="1:18" ht="18" hidden="1" customHeight="1">
      <c r="A11" s="16">
        <v>46027</v>
      </c>
      <c r="B11" s="16">
        <v>46031</v>
      </c>
      <c r="C11" s="21">
        <v>81519219</v>
      </c>
      <c r="D11" s="16" t="str">
        <f>IFERROR(VLOOKUP(Tabela5[[#This Row],[PREFIXO ]],Tabela4[#All],2,0),"CENTRO DE CUSTO")</f>
        <v>PLANT GRÃOS JOHN DEERE DB90 ME 60 LINHAS</v>
      </c>
      <c r="E11" s="18" t="s">
        <v>311</v>
      </c>
      <c r="F11" s="21">
        <v>653</v>
      </c>
      <c r="G11" s="22">
        <v>4900</v>
      </c>
      <c r="H11" s="22"/>
      <c r="I11" s="22">
        <f t="shared" si="0"/>
        <v>4900</v>
      </c>
      <c r="J11" s="18" t="s">
        <v>1097</v>
      </c>
      <c r="K11" s="18">
        <v>9727708</v>
      </c>
      <c r="L11" s="18">
        <v>833348</v>
      </c>
      <c r="M11" s="18" t="s">
        <v>1099</v>
      </c>
      <c r="N11" s="16" t="s">
        <v>1082</v>
      </c>
      <c r="O11" s="18" t="s">
        <v>1100</v>
      </c>
      <c r="P11" s="18" t="s">
        <v>1101</v>
      </c>
      <c r="Q11" s="29" t="str" cm="1">
        <f t="array" ref="Q11">_xlfn.IFS(
A11="","",
AND(A11&lt;&gt;"",B11=""),"FALTA LANÇAMENTO",
AND(B11&lt;&gt;"",M11=""),"FALTA O PEDIDO",
AND(M11&lt;&gt;"",O11=""),"FALTA NF",
O11&lt;&gt;"","CONCLUÍDO")</f>
        <v>CONCLUÍDO</v>
      </c>
      <c r="R11" s="36"/>
    </row>
    <row r="12" spans="1:18" ht="18" hidden="1" customHeight="1">
      <c r="A12" s="16">
        <v>46027</v>
      </c>
      <c r="B12" s="16">
        <v>46031</v>
      </c>
      <c r="C12" s="21">
        <v>81521316</v>
      </c>
      <c r="D12" s="16" t="str">
        <f>IFERROR(VLOOKUP(Tabela5[[#This Row],[PREFIXO ]],Tabela4[#All],2,0),"CENTRO DE CUSTO")</f>
        <v>PLANT GRÃOS JOHN DEERE DB90 ME 60 LINHAS</v>
      </c>
      <c r="E12" s="18" t="s">
        <v>311</v>
      </c>
      <c r="F12" s="21">
        <v>654</v>
      </c>
      <c r="G12" s="22">
        <v>4900</v>
      </c>
      <c r="H12" s="22"/>
      <c r="I12" s="22">
        <f t="shared" si="0"/>
        <v>4900</v>
      </c>
      <c r="J12" s="18" t="s">
        <v>1097</v>
      </c>
      <c r="K12" s="18">
        <v>9727709</v>
      </c>
      <c r="L12" s="18">
        <v>833348</v>
      </c>
      <c r="M12" s="18" t="s">
        <v>1099</v>
      </c>
      <c r="N12" s="16" t="s">
        <v>1082</v>
      </c>
      <c r="O12" s="18" t="s">
        <v>1100</v>
      </c>
      <c r="P12" s="18" t="s">
        <v>1101</v>
      </c>
      <c r="Q12" s="29" t="str" cm="1">
        <f t="array" ref="Q12">_xlfn.IFS(
A12="","",
AND(A12&lt;&gt;"",B12=""),"FALTA LANÇAMENTO",
AND(B12&lt;&gt;"",M12=""),"FALTA O PEDIDO",
AND(M12&lt;&gt;"",O12=""),"FALTA NF",
O12&lt;&gt;"","CONCLUÍDO")</f>
        <v>CONCLUÍDO</v>
      </c>
      <c r="R12" s="36"/>
    </row>
    <row r="13" spans="1:18" ht="18" hidden="1" customHeight="1">
      <c r="A13" s="16">
        <v>46027</v>
      </c>
      <c r="B13" s="16">
        <v>46031</v>
      </c>
      <c r="C13" s="21" t="s">
        <v>1106</v>
      </c>
      <c r="D13" s="16" t="str">
        <f>IFERROR(VLOOKUP(Tabela5[[#This Row],[PREFIXO ]],Tabela4[#All],2,0),"CENTRO DE CUSTO")</f>
        <v>CENTRO DE CUSTO</v>
      </c>
      <c r="E13" s="18" t="s">
        <v>311</v>
      </c>
      <c r="F13" s="21">
        <v>658</v>
      </c>
      <c r="G13" s="22">
        <v>4350</v>
      </c>
      <c r="H13" s="22"/>
      <c r="I13" s="22">
        <f t="shared" si="0"/>
        <v>4350</v>
      </c>
      <c r="J13" s="18" t="s">
        <v>1097</v>
      </c>
      <c r="K13" s="18" t="s">
        <v>1107</v>
      </c>
      <c r="L13" s="18">
        <v>833725</v>
      </c>
      <c r="M13" s="18" t="s">
        <v>1104</v>
      </c>
      <c r="N13" s="16" t="s">
        <v>1082</v>
      </c>
      <c r="O13" s="18" t="s">
        <v>1105</v>
      </c>
      <c r="P13" s="18" t="s">
        <v>1101</v>
      </c>
      <c r="Q13" s="29" t="str" cm="1">
        <f t="array" ref="Q13">_xlfn.IFS(
A13="","",
AND(A13&lt;&gt;"",B13=""),"FALTA LANÇAMENTO",
AND(B13&lt;&gt;"",M13=""),"FALTA O PEDIDO",
AND(M13&lt;&gt;"",O13=""),"FALTA NF",
O13&lt;&gt;"","CONCLUÍDO")</f>
        <v>CONCLUÍDO</v>
      </c>
      <c r="R13" s="36"/>
    </row>
    <row r="14" spans="1:18" ht="18" hidden="1" customHeight="1">
      <c r="A14" s="16">
        <v>46027</v>
      </c>
      <c r="B14" s="16">
        <v>46031</v>
      </c>
      <c r="C14" s="21">
        <v>81521332</v>
      </c>
      <c r="D14" s="16" t="str">
        <f>IFERROR(VLOOKUP(Tabela5[[#This Row],[PREFIXO ]],Tabela4[#All],2,0),"CENTRO DE CUSTO")</f>
        <v>PLANT GRÃOS N.HOLLAND PL7000 60 LINHAS</v>
      </c>
      <c r="E14" s="18" t="s">
        <v>311</v>
      </c>
      <c r="F14" s="21">
        <v>647</v>
      </c>
      <c r="G14" s="22">
        <v>4350</v>
      </c>
      <c r="H14" s="22"/>
      <c r="I14" s="22">
        <f t="shared" si="0"/>
        <v>4350</v>
      </c>
      <c r="J14" s="18" t="s">
        <v>1097</v>
      </c>
      <c r="K14" s="18">
        <v>9727769</v>
      </c>
      <c r="L14" s="18">
        <v>833725</v>
      </c>
      <c r="M14" s="18" t="s">
        <v>1104</v>
      </c>
      <c r="N14" s="16" t="s">
        <v>1082</v>
      </c>
      <c r="O14" s="18" t="s">
        <v>1105</v>
      </c>
      <c r="P14" s="18" t="s">
        <v>1101</v>
      </c>
      <c r="Q14" s="29" t="str" cm="1">
        <f t="array" ref="Q14">_xlfn.IFS(
A14="","",
AND(A14&lt;&gt;"",B14=""),"FALTA LANÇAMENTO",
AND(B14&lt;&gt;"",M14=""),"FALTA O PEDIDO",
AND(M14&lt;&gt;"",O14=""),"FALTA NF",
O14&lt;&gt;"","CONCLUÍDO")</f>
        <v>CONCLUÍDO</v>
      </c>
      <c r="R14" s="36"/>
    </row>
    <row r="15" spans="1:18" ht="18" hidden="1" customHeight="1">
      <c r="A15" s="16">
        <v>46027</v>
      </c>
      <c r="B15" s="16">
        <v>46031</v>
      </c>
      <c r="C15" s="21">
        <v>17320833</v>
      </c>
      <c r="D15" s="16" t="str">
        <f>IFERROR(VLOOKUP(Tabela5[[#This Row],[PREFIXO ]],Tabela4[#All],2,0),"CENTRO DE CUSTO")</f>
        <v>PLANTADEIRA CASE IH FAST RISER 6100</v>
      </c>
      <c r="E15" s="18" t="s">
        <v>311</v>
      </c>
      <c r="F15" s="21">
        <v>652</v>
      </c>
      <c r="G15" s="22">
        <v>3650</v>
      </c>
      <c r="H15" s="22"/>
      <c r="I15" s="22">
        <f t="shared" si="0"/>
        <v>3650</v>
      </c>
      <c r="J15" s="18" t="s">
        <v>1097</v>
      </c>
      <c r="K15" s="18">
        <v>9727707</v>
      </c>
      <c r="L15" s="18">
        <v>833348</v>
      </c>
      <c r="M15" s="18" t="s">
        <v>1099</v>
      </c>
      <c r="N15" s="16" t="s">
        <v>1082</v>
      </c>
      <c r="O15" s="18" t="s">
        <v>1100</v>
      </c>
      <c r="P15" s="18" t="s">
        <v>1101</v>
      </c>
      <c r="Q15" s="29" t="str" cm="1">
        <f t="array" ref="Q15">_xlfn.IFS(
A15="","",
AND(A15&lt;&gt;"",B15=""),"FALTA LANÇAMENTO",
AND(B15&lt;&gt;"",M15=""),"FALTA O PEDIDO",
AND(M15&lt;&gt;"",O15=""),"FALTA NF",
O15&lt;&gt;"","CONCLUÍDO")</f>
        <v>CONCLUÍDO</v>
      </c>
      <c r="R15" s="36"/>
    </row>
    <row r="16" spans="1:18" ht="18" hidden="1" customHeight="1">
      <c r="A16" s="16">
        <v>46027</v>
      </c>
      <c r="B16" s="16">
        <v>46031</v>
      </c>
      <c r="C16" s="21" t="s">
        <v>1108</v>
      </c>
      <c r="D16" s="16" t="str">
        <f>IFERROR(VLOOKUP(Tabela5[[#This Row],[PREFIXO ]],Tabela4[#All],2,0),"CENTRO DE CUSTO")</f>
        <v>CENTRO DE CUSTO</v>
      </c>
      <c r="E16" s="18" t="s">
        <v>311</v>
      </c>
      <c r="F16" s="21">
        <v>655</v>
      </c>
      <c r="G16" s="22">
        <v>2900</v>
      </c>
      <c r="H16" s="22"/>
      <c r="I16" s="22">
        <f t="shared" si="0"/>
        <v>2900</v>
      </c>
      <c r="J16" s="18" t="s">
        <v>1097</v>
      </c>
      <c r="K16" s="18" t="s">
        <v>1109</v>
      </c>
      <c r="L16" s="18">
        <v>833348</v>
      </c>
      <c r="M16" s="18" t="s">
        <v>1099</v>
      </c>
      <c r="N16" s="16" t="s">
        <v>1082</v>
      </c>
      <c r="O16" s="18" t="s">
        <v>1100</v>
      </c>
      <c r="P16" s="18" t="s">
        <v>1101</v>
      </c>
      <c r="Q16" s="29" t="str" cm="1">
        <f t="array" ref="Q16">_xlfn.IFS(
A16="","",
AND(A16&lt;&gt;"",B16=""),"FALTA LANÇAMENTO",
AND(B16&lt;&gt;"",M16=""),"FALTA O PEDIDO",
AND(M16&lt;&gt;"",O16=""),"FALTA NF",
O16&lt;&gt;"","CONCLUÍDO")</f>
        <v>CONCLUÍDO</v>
      </c>
      <c r="R16" s="36"/>
    </row>
    <row r="17" spans="1:18" ht="18" hidden="1" customHeight="1">
      <c r="A17" s="16">
        <v>46027</v>
      </c>
      <c r="B17" s="16">
        <v>46031</v>
      </c>
      <c r="C17" s="21" t="s">
        <v>1110</v>
      </c>
      <c r="D17" s="16" t="str">
        <f>IFERROR(VLOOKUP(Tabela5[[#This Row],[PREFIXO ]],Tabela4[#All],2,0),"CENTRO DE CUSTO")</f>
        <v>CENTRO DE CUSTO</v>
      </c>
      <c r="E17" s="18" t="s">
        <v>311</v>
      </c>
      <c r="F17" s="21">
        <v>659</v>
      </c>
      <c r="G17" s="22">
        <v>2900</v>
      </c>
      <c r="H17" s="22"/>
      <c r="I17" s="22">
        <f t="shared" si="0"/>
        <v>2900</v>
      </c>
      <c r="J17" s="18" t="s">
        <v>1097</v>
      </c>
      <c r="K17" s="18" t="s">
        <v>1111</v>
      </c>
      <c r="L17" s="18">
        <v>833725</v>
      </c>
      <c r="M17" s="18" t="s">
        <v>1104</v>
      </c>
      <c r="N17" s="16" t="s">
        <v>1082</v>
      </c>
      <c r="O17" s="18" t="s">
        <v>1105</v>
      </c>
      <c r="P17" s="18" t="s">
        <v>1101</v>
      </c>
      <c r="Q17" s="29" t="str" cm="1">
        <f t="array" ref="Q17">_xlfn.IFS(
A17="","",
AND(A17&lt;&gt;"",B17=""),"FALTA LANÇAMENTO",
AND(B17&lt;&gt;"",M17=""),"FALTA O PEDIDO",
AND(M17&lt;&gt;"",O17=""),"FALTA NF",
O17&lt;&gt;"","CONCLUÍDO")</f>
        <v>CONCLUÍDO</v>
      </c>
      <c r="R17" s="36"/>
    </row>
    <row r="18" spans="1:18" ht="18" hidden="1" customHeight="1">
      <c r="A18" s="16">
        <v>46027</v>
      </c>
      <c r="B18" s="16">
        <v>46031</v>
      </c>
      <c r="C18" s="21">
        <v>81521296</v>
      </c>
      <c r="D18" s="16" t="str">
        <f>IFERROR(VLOOKUP(Tabela5[[#This Row],[PREFIXO ]],Tabela4[#All],2,0),"CENTRO DE CUSTO")</f>
        <v>PLANT GRÃOS CASE FAST RISER 60 LINHAS</v>
      </c>
      <c r="E18" s="18" t="s">
        <v>311</v>
      </c>
      <c r="F18" s="21">
        <v>657</v>
      </c>
      <c r="G18" s="22">
        <v>2400</v>
      </c>
      <c r="H18" s="22"/>
      <c r="I18" s="22">
        <f t="shared" si="0"/>
        <v>2400</v>
      </c>
      <c r="J18" s="18" t="s">
        <v>1097</v>
      </c>
      <c r="K18" s="18">
        <v>9727713</v>
      </c>
      <c r="L18" s="18">
        <v>833725</v>
      </c>
      <c r="M18" s="18" t="s">
        <v>1104</v>
      </c>
      <c r="N18" s="16" t="s">
        <v>1082</v>
      </c>
      <c r="O18" s="18" t="s">
        <v>1105</v>
      </c>
      <c r="P18" s="18" t="s">
        <v>1101</v>
      </c>
      <c r="Q18" s="29" t="str" cm="1">
        <f t="array" ref="Q18">_xlfn.IFS(
A18="","",
AND(A18&lt;&gt;"",B18=""),"FALTA LANÇAMENTO",
AND(B18&lt;&gt;"",M18=""),"FALTA O PEDIDO",
AND(M18&lt;&gt;"",O18=""),"FALTA NF",
O18&lt;&gt;"","CONCLUÍDO")</f>
        <v>CONCLUÍDO</v>
      </c>
      <c r="R18" s="36"/>
    </row>
    <row r="19" spans="1:18" ht="18" hidden="1" customHeight="1">
      <c r="A19" s="16">
        <v>46027</v>
      </c>
      <c r="B19" s="16">
        <v>46031</v>
      </c>
      <c r="C19" s="21">
        <v>51521019</v>
      </c>
      <c r="D19" s="16" t="str">
        <f>IFERROR(VLOOKUP(Tabela5[[#This Row],[PREFIXO ]],Tabela4[#All],2,0),"CENTRO DE CUSTO")</f>
        <v>COLHEIT DE GRÃOS JOHN DEERE S 680</v>
      </c>
      <c r="E19" s="18" t="s">
        <v>49</v>
      </c>
      <c r="F19" s="21" t="s">
        <v>1112</v>
      </c>
      <c r="G19" s="22">
        <v>6800</v>
      </c>
      <c r="H19" s="22"/>
      <c r="I19" s="22">
        <f t="shared" si="0"/>
        <v>6800</v>
      </c>
      <c r="J19" s="18" t="s">
        <v>1113</v>
      </c>
      <c r="K19" s="18">
        <v>9727778</v>
      </c>
      <c r="L19" s="18">
        <v>834406</v>
      </c>
      <c r="M19" s="18" t="s">
        <v>1114</v>
      </c>
      <c r="N19" s="16" t="s">
        <v>1082</v>
      </c>
      <c r="O19" s="18" t="s">
        <v>1115</v>
      </c>
      <c r="P19" s="18" t="s">
        <v>1082</v>
      </c>
      <c r="Q19" s="29" t="str" cm="1">
        <f t="array" ref="Q19">_xlfn.IFS(
A19="","",
AND(A19&lt;&gt;"",B19=""),"FALTA LANÇAMENTO",
AND(B19&lt;&gt;"",M19=""),"FALTA O PEDIDO",
AND(M19&lt;&gt;"",O19=""),"FALTA NF",
O19&lt;&gt;"","CONCLUÍDO")</f>
        <v>CONCLUÍDO</v>
      </c>
      <c r="R19" s="36"/>
    </row>
    <row r="20" spans="1:18" ht="18" hidden="1" customHeight="1">
      <c r="A20" s="16">
        <v>46027</v>
      </c>
      <c r="B20" s="16">
        <v>46031</v>
      </c>
      <c r="C20" s="21">
        <v>81521491</v>
      </c>
      <c r="D20" s="16" t="str">
        <f>IFERROR(VLOOKUP(Tabela5[[#This Row],[PREFIXO ]],Tabela4[#All],2,0),"CENTRO DE CUSTO")</f>
        <v>SEMI REBOQUE RANDON TANQUE</v>
      </c>
      <c r="E20" s="18" t="s">
        <v>49</v>
      </c>
      <c r="F20" s="21" t="s">
        <v>1116</v>
      </c>
      <c r="G20" s="22">
        <v>1255</v>
      </c>
      <c r="H20" s="22"/>
      <c r="I20" s="22">
        <f t="shared" si="0"/>
        <v>1255</v>
      </c>
      <c r="J20" s="18" t="s">
        <v>1085</v>
      </c>
      <c r="K20" s="18">
        <v>9727777</v>
      </c>
      <c r="L20" s="18">
        <v>834406</v>
      </c>
      <c r="M20" s="18" t="s">
        <v>1114</v>
      </c>
      <c r="N20" s="16" t="s">
        <v>1082</v>
      </c>
      <c r="O20" s="18" t="s">
        <v>1115</v>
      </c>
      <c r="P20" s="18" t="s">
        <v>1082</v>
      </c>
      <c r="Q20" s="29" t="str" cm="1">
        <f t="array" ref="Q20">_xlfn.IFS(
A20="","",
AND(A20&lt;&gt;"",B20=""),"FALTA LANÇAMENTO",
AND(B20&lt;&gt;"",M20=""),"FALTA O PEDIDO",
AND(M20&lt;&gt;"",O20=""),"FALTA NF",
O20&lt;&gt;"","CONCLUÍDO")</f>
        <v>CONCLUÍDO</v>
      </c>
      <c r="R20" s="36"/>
    </row>
    <row r="21" spans="1:18" ht="18" hidden="1" customHeight="1">
      <c r="A21" s="16">
        <v>46027</v>
      </c>
      <c r="B21" s="16">
        <v>46036</v>
      </c>
      <c r="C21" s="21">
        <v>41521071</v>
      </c>
      <c r="D21" s="16" t="str">
        <f>IFERROR(VLOOKUP(Tabela5[[#This Row],[PREFIXO ]],Tabela4[#All],2,0),"CENTRO DE CUSTO")</f>
        <v>MICROONIBUS SPRINTER 417 CDI K42B</v>
      </c>
      <c r="E21" s="18" t="s">
        <v>324</v>
      </c>
      <c r="F21" s="21">
        <v>230</v>
      </c>
      <c r="G21" s="22">
        <v>1200</v>
      </c>
      <c r="H21" s="22"/>
      <c r="I21" s="22">
        <f t="shared" si="0"/>
        <v>1200</v>
      </c>
      <c r="J21" s="18" t="s">
        <v>1085</v>
      </c>
      <c r="K21" s="18">
        <v>972775</v>
      </c>
      <c r="L21" s="18">
        <v>833046</v>
      </c>
      <c r="M21" s="18" t="s">
        <v>1117</v>
      </c>
      <c r="N21" s="16" t="s">
        <v>1118</v>
      </c>
      <c r="O21" s="18" t="s">
        <v>1119</v>
      </c>
      <c r="P21" s="18" t="s">
        <v>1120</v>
      </c>
      <c r="Q21" s="29" t="str" cm="1">
        <f t="array" ref="Q21">_xlfn.IFS(
A21="","",
AND(A21&lt;&gt;"",B21=""),"FALTA LANÇAMENTO",
AND(B21&lt;&gt;"",M21=""),"FALTA O PEDIDO",
AND(M21&lt;&gt;"",O21=""),"FALTA NF",
O21&lt;&gt;"","CONCLUÍDO")</f>
        <v>CONCLUÍDO</v>
      </c>
      <c r="R21" s="36"/>
    </row>
    <row r="22" spans="1:18" ht="18" hidden="1" customHeight="1">
      <c r="A22" s="16">
        <v>46027</v>
      </c>
      <c r="B22" s="16">
        <v>46036</v>
      </c>
      <c r="C22" s="21">
        <v>22030259</v>
      </c>
      <c r="D22" s="16" t="str">
        <f>IFERROR(VLOOKUP(Tabela5[[#This Row],[PREFIXO ]],Tabela4[#All],2,0),"CENTRO DE CUSTO")</f>
        <v>CENTRO DE CUSTO</v>
      </c>
      <c r="E22" s="18" t="s">
        <v>324</v>
      </c>
      <c r="F22" s="21">
        <v>229</v>
      </c>
      <c r="G22" s="22">
        <v>830</v>
      </c>
      <c r="H22" s="22"/>
      <c r="I22" s="22">
        <f t="shared" si="0"/>
        <v>830</v>
      </c>
      <c r="J22" s="18" t="s">
        <v>1085</v>
      </c>
      <c r="K22" s="18">
        <v>972774</v>
      </c>
      <c r="L22" s="18">
        <v>833046</v>
      </c>
      <c r="M22" s="18" t="s">
        <v>1117</v>
      </c>
      <c r="N22" s="16" t="s">
        <v>1118</v>
      </c>
      <c r="O22" s="18" t="s">
        <v>1119</v>
      </c>
      <c r="P22" s="18" t="s">
        <v>1120</v>
      </c>
      <c r="Q22" s="29" t="str" cm="1">
        <f t="array" ref="Q22">_xlfn.IFS(
A22="","",
AND(A22&lt;&gt;"",B22=""),"FALTA LANÇAMENTO",
AND(B22&lt;&gt;"",M22=""),"FALTA O PEDIDO",
AND(M22&lt;&gt;"",O22=""),"FALTA NF",
O22&lt;&gt;"","CONCLUÍDO")</f>
        <v>CONCLUÍDO</v>
      </c>
      <c r="R22" s="36"/>
    </row>
    <row r="23" spans="1:18" hidden="1">
      <c r="A23" s="16">
        <v>46027</v>
      </c>
      <c r="B23" s="16">
        <v>46031</v>
      </c>
      <c r="C23" s="21">
        <v>23120017</v>
      </c>
      <c r="D23" s="16" t="str">
        <f>IFERROR(VLOOKUP(Tabela5[[#This Row],[PREFIXO ]],Tabela4[#All],2,0),"CENTRO DE CUSTO")</f>
        <v>EMPILHA COMBUST TOYOTA 8FGU30</v>
      </c>
      <c r="E23" s="18" t="s">
        <v>96</v>
      </c>
      <c r="F23" s="21">
        <v>14945</v>
      </c>
      <c r="G23" s="22"/>
      <c r="H23" s="22">
        <v>1225.8800000000001</v>
      </c>
      <c r="I23" s="22">
        <f t="shared" si="0"/>
        <v>1225.8800000000001</v>
      </c>
      <c r="J23" s="18" t="s">
        <v>1085</v>
      </c>
      <c r="K23" s="18">
        <v>9728566</v>
      </c>
      <c r="L23" s="18">
        <v>834674</v>
      </c>
      <c r="M23" s="18" t="s">
        <v>1121</v>
      </c>
      <c r="N23" s="16" t="s">
        <v>1082</v>
      </c>
      <c r="O23" s="18" t="s">
        <v>1122</v>
      </c>
      <c r="P23" s="18" t="s">
        <v>1088</v>
      </c>
      <c r="Q23" s="29" t="str" cm="1">
        <f t="array" ref="Q23">_xlfn.IFS(
A23="","",
AND(A23&lt;&gt;"",B23=""),"FALTA LANÇAMENTO",
AND(B23&lt;&gt;"",M23=""),"FALTA O PEDIDO",
AND(M23&lt;&gt;"",O23=""),"FALTA NF",
O23&lt;&gt;"","CONCLUÍDO")</f>
        <v>CONCLUÍDO</v>
      </c>
      <c r="R23" s="36"/>
    </row>
    <row r="24" spans="1:18" hidden="1">
      <c r="A24" s="16">
        <v>46027</v>
      </c>
      <c r="B24" s="16">
        <v>46058</v>
      </c>
      <c r="C24" s="21">
        <v>81521367</v>
      </c>
      <c r="D24" s="16" t="str">
        <f>IFERROR(VLOOKUP(Tabela5[[#This Row],[PREFIXO ]],Tabela4[#All],2,0),"CENTRO DE CUSTO")</f>
        <v>PLATAF COLHEITA N.HOLLAND DRAPER 8645P</v>
      </c>
      <c r="E24" s="18" t="s">
        <v>96</v>
      </c>
      <c r="F24" s="21">
        <v>14915</v>
      </c>
      <c r="G24" s="22"/>
      <c r="H24" s="22">
        <v>919.54</v>
      </c>
      <c r="I24" s="22">
        <f t="shared" si="0"/>
        <v>919.54</v>
      </c>
      <c r="J24" s="18" t="s">
        <v>1123</v>
      </c>
      <c r="K24" s="18">
        <v>9728535</v>
      </c>
      <c r="L24" s="18">
        <v>856261</v>
      </c>
      <c r="M24" s="18" t="s">
        <v>1124</v>
      </c>
      <c r="N24" s="16" t="s">
        <v>1125</v>
      </c>
      <c r="O24" s="18" t="s">
        <v>1126</v>
      </c>
      <c r="P24" s="18" t="s">
        <v>1127</v>
      </c>
      <c r="Q24" s="29" t="str" cm="1">
        <f t="array" ref="Q24">_xlfn.IFS(
A24="","",
AND(A24&lt;&gt;"",B24=""),"FALTA LANÇAMENTO",
AND(B24&lt;&gt;"",M24=""),"FALTA O PEDIDO",
AND(M24&lt;&gt;"",O24=""),"FALTA NF",
O24&lt;&gt;"","CONCLUÍDO")</f>
        <v>CONCLUÍDO</v>
      </c>
      <c r="R24" s="36"/>
    </row>
    <row r="25" spans="1:18" hidden="1">
      <c r="A25" s="16">
        <v>46027</v>
      </c>
      <c r="B25" s="16">
        <v>46031</v>
      </c>
      <c r="C25" s="21">
        <v>23120017</v>
      </c>
      <c r="D25" s="16" t="str">
        <f>IFERROR(VLOOKUP(Tabela5[[#This Row],[PREFIXO ]],Tabela4[#All],2,0),"CENTRO DE CUSTO")</f>
        <v>EMPILHA COMBUST TOYOTA 8FGU30</v>
      </c>
      <c r="E25" s="18" t="s">
        <v>96</v>
      </c>
      <c r="F25" s="21">
        <v>3961</v>
      </c>
      <c r="G25" s="22">
        <v>630</v>
      </c>
      <c r="H25" s="22"/>
      <c r="I25" s="22">
        <f t="shared" si="0"/>
        <v>630</v>
      </c>
      <c r="J25" s="18" t="s">
        <v>1085</v>
      </c>
      <c r="K25" s="18">
        <v>9728566</v>
      </c>
      <c r="L25" s="18">
        <v>834674</v>
      </c>
      <c r="M25" s="18" t="s">
        <v>1121</v>
      </c>
      <c r="N25" s="16" t="s">
        <v>1082</v>
      </c>
      <c r="O25" s="18" t="s">
        <v>1122</v>
      </c>
      <c r="P25" s="18" t="s">
        <v>1088</v>
      </c>
      <c r="Q25" s="29" t="str" cm="1">
        <f t="array" ref="Q25">_xlfn.IFS(
A25="","",
AND(A25&lt;&gt;"",B25=""),"FALTA LANÇAMENTO",
AND(B25&lt;&gt;"",M25=""),"FALTA O PEDIDO",
AND(M25&lt;&gt;"",O25=""),"FALTA NF",
O25&lt;&gt;"","CONCLUÍDO")</f>
        <v>CONCLUÍDO</v>
      </c>
      <c r="R25" s="36"/>
    </row>
    <row r="26" spans="1:18" hidden="1">
      <c r="A26" s="16">
        <v>46027</v>
      </c>
      <c r="B26" s="16">
        <v>46031</v>
      </c>
      <c r="C26" s="21">
        <v>23120016</v>
      </c>
      <c r="D26" s="16" t="str">
        <f>IFERROR(VLOOKUP(Tabela5[[#This Row],[PREFIXO ]],Tabela4[#All],2,0),"CENTRO DE CUSTO")</f>
        <v>EMPILHA COMBUST TOYOTA 8FGU30</v>
      </c>
      <c r="E26" s="18" t="s">
        <v>96</v>
      </c>
      <c r="F26" s="21">
        <v>3962</v>
      </c>
      <c r="G26" s="22">
        <v>421.42</v>
      </c>
      <c r="H26" s="22"/>
      <c r="I26" s="22">
        <f t="shared" si="0"/>
        <v>421.42</v>
      </c>
      <c r="J26" s="18" t="s">
        <v>1085</v>
      </c>
      <c r="K26" s="18">
        <v>9728563</v>
      </c>
      <c r="L26" s="18">
        <v>834708</v>
      </c>
      <c r="M26" s="18" t="s">
        <v>1095</v>
      </c>
      <c r="N26" s="16" t="s">
        <v>1095</v>
      </c>
      <c r="O26" s="18" t="s">
        <v>1095</v>
      </c>
      <c r="P26" s="18" t="s">
        <v>1095</v>
      </c>
      <c r="Q26" s="29" t="str" cm="1">
        <f t="array" ref="Q26">_xlfn.IFS(
A26="","",
AND(A26&lt;&gt;"",B26=""),"FALTA LANÇAMENTO",
AND(B26&lt;&gt;"",M26=""),"FALTA O PEDIDO",
AND(M26&lt;&gt;"",O26=""),"FALTA NF",
O26&lt;&gt;"","CONCLUÍDO")</f>
        <v>CONCLUÍDO</v>
      </c>
      <c r="R26" s="36"/>
    </row>
    <row r="27" spans="1:18" hidden="1">
      <c r="A27" s="16">
        <v>46027</v>
      </c>
      <c r="B27" s="16">
        <v>46031</v>
      </c>
      <c r="C27" s="21">
        <v>23120016</v>
      </c>
      <c r="D27" s="16" t="str">
        <f>IFERROR(VLOOKUP(Tabela5[[#This Row],[PREFIXO ]],Tabela4[#All],2,0),"CENTRO DE CUSTO")</f>
        <v>EMPILHA COMBUST TOYOTA 8FGU30</v>
      </c>
      <c r="E27" s="18" t="s">
        <v>96</v>
      </c>
      <c r="F27" s="21">
        <v>14946</v>
      </c>
      <c r="G27" s="22"/>
      <c r="H27" s="22">
        <v>219.2</v>
      </c>
      <c r="I27" s="22">
        <f t="shared" si="0"/>
        <v>219.2</v>
      </c>
      <c r="J27" s="18" t="s">
        <v>1085</v>
      </c>
      <c r="K27" s="18">
        <v>9728563</v>
      </c>
      <c r="L27" s="18">
        <v>834708</v>
      </c>
      <c r="M27" s="18" t="s">
        <v>1095</v>
      </c>
      <c r="N27" s="16" t="s">
        <v>1095</v>
      </c>
      <c r="O27" s="18" t="s">
        <v>1095</v>
      </c>
      <c r="P27" s="18" t="s">
        <v>1095</v>
      </c>
      <c r="Q27" s="29" t="str" cm="1">
        <f t="array" ref="Q27">_xlfn.IFS(
A27="","",
AND(A27&lt;&gt;"",B27=""),"FALTA LANÇAMENTO",
AND(B27&lt;&gt;"",M27=""),"FALTA O PEDIDO",
AND(M27&lt;&gt;"",O27=""),"FALTA NF",
O27&lt;&gt;"","CONCLUÍDO")</f>
        <v>CONCLUÍDO</v>
      </c>
      <c r="R27" s="36"/>
    </row>
    <row r="28" spans="1:18" hidden="1">
      <c r="A28" s="16">
        <v>46027</v>
      </c>
      <c r="B28" s="16">
        <v>46058</v>
      </c>
      <c r="C28" s="21">
        <v>81521367</v>
      </c>
      <c r="D28" s="16" t="str">
        <f>IFERROR(VLOOKUP(Tabela5[[#This Row],[PREFIXO ]],Tabela4[#All],2,0),"CENTRO DE CUSTO")</f>
        <v>PLATAF COLHEITA N.HOLLAND DRAPER 8645P</v>
      </c>
      <c r="E28" s="18" t="s">
        <v>96</v>
      </c>
      <c r="F28" s="21">
        <v>3964</v>
      </c>
      <c r="G28" s="22">
        <v>100</v>
      </c>
      <c r="H28" s="22"/>
      <c r="I28" s="22">
        <f t="shared" si="0"/>
        <v>100</v>
      </c>
      <c r="J28" s="18" t="s">
        <v>1123</v>
      </c>
      <c r="K28" s="18">
        <v>9728535</v>
      </c>
      <c r="L28" s="18">
        <v>856261</v>
      </c>
      <c r="M28" s="18" t="s">
        <v>1128</v>
      </c>
      <c r="N28" s="16" t="s">
        <v>1125</v>
      </c>
      <c r="O28" s="18" t="s">
        <v>1095</v>
      </c>
      <c r="P28" s="18"/>
      <c r="Q28" s="29" t="str" cm="1">
        <f t="array" ref="Q28">_xlfn.IFS(
A28="","",
AND(A28&lt;&gt;"",B28=""),"FALTA LANÇAMENTO",
AND(B28&lt;&gt;"",M28=""),"FALTA O PEDIDO",
AND(M28&lt;&gt;"",O28=""),"FALTA NF",
O28&lt;&gt;"","CONCLUÍDO")</f>
        <v>CONCLUÍDO</v>
      </c>
      <c r="R28" s="36"/>
    </row>
    <row r="29" spans="1:18" hidden="1">
      <c r="A29" s="16">
        <v>46027</v>
      </c>
      <c r="B29" s="16">
        <v>46031</v>
      </c>
      <c r="C29" s="21">
        <v>11040014</v>
      </c>
      <c r="D29" s="16" t="str">
        <f>IFERROR(VLOOKUP(Tabela5[[#This Row],[PREFIXO ]],Tabela4[#All],2,0),"CENTRO DE CUSTO")</f>
        <v>CAV MEC EXT PES SCANIA R500</v>
      </c>
      <c r="E29" s="18" t="s">
        <v>121</v>
      </c>
      <c r="F29" s="21">
        <v>57</v>
      </c>
      <c r="G29" s="22">
        <v>1800</v>
      </c>
      <c r="H29" s="22">
        <v>288.67</v>
      </c>
      <c r="I29" s="22">
        <f t="shared" si="0"/>
        <v>2088.67</v>
      </c>
      <c r="J29" s="18" t="s">
        <v>1085</v>
      </c>
      <c r="K29" s="18">
        <v>9727770</v>
      </c>
      <c r="L29" s="18">
        <v>834823</v>
      </c>
      <c r="M29" s="18" t="s">
        <v>1129</v>
      </c>
      <c r="N29" s="16" t="s">
        <v>1082</v>
      </c>
      <c r="O29" s="18" t="s">
        <v>1095</v>
      </c>
      <c r="P29" s="18" t="s">
        <v>1130</v>
      </c>
      <c r="Q29" s="29" t="str" cm="1">
        <f t="array" ref="Q29">_xlfn.IFS(
A29="","",
AND(A29&lt;&gt;"",B29=""),"FALTA LANÇAMENTO",
AND(B29&lt;&gt;"",M29=""),"FALTA O PEDIDO",
AND(M29&lt;&gt;"",O29=""),"FALTA NF",
O29&lt;&gt;"","CONCLUÍDO")</f>
        <v>CONCLUÍDO</v>
      </c>
      <c r="R29" s="36"/>
    </row>
    <row r="30" spans="1:18" hidden="1">
      <c r="A30" s="16">
        <v>46027</v>
      </c>
      <c r="B30" s="16">
        <v>46031</v>
      </c>
      <c r="C30" s="21">
        <v>11040016</v>
      </c>
      <c r="D30" s="16" t="str">
        <f>IFERROR(VLOOKUP(Tabela5[[#This Row],[PREFIXO ]],Tabela4[#All],2,0),"CENTRO DE CUSTO")</f>
        <v>CAV MEC EXT PES SCANIA R500</v>
      </c>
      <c r="E30" s="18" t="s">
        <v>121</v>
      </c>
      <c r="F30" s="21">
        <v>58</v>
      </c>
      <c r="G30" s="22">
        <v>1240</v>
      </c>
      <c r="H30" s="22"/>
      <c r="I30" s="22">
        <f t="shared" si="0"/>
        <v>1240</v>
      </c>
      <c r="J30" s="18" t="s">
        <v>1085</v>
      </c>
      <c r="K30" s="18">
        <v>9727773</v>
      </c>
      <c r="L30" s="18">
        <v>834968</v>
      </c>
      <c r="M30" s="18" t="s">
        <v>1131</v>
      </c>
      <c r="N30" s="16" t="s">
        <v>1082</v>
      </c>
      <c r="O30" s="18" t="s">
        <v>1095</v>
      </c>
      <c r="P30" s="18" t="s">
        <v>1132</v>
      </c>
      <c r="Q30" s="29" t="str" cm="1">
        <f t="array" ref="Q30">_xlfn.IFS(
A30="","",
AND(A30&lt;&gt;"",B30=""),"FALTA LANÇAMENTO",
AND(B30&lt;&gt;"",M30=""),"FALTA O PEDIDO",
AND(M30&lt;&gt;"",O30=""),"FALTA NF",
O30&lt;&gt;"","CONCLUÍDO")</f>
        <v>CONCLUÍDO</v>
      </c>
      <c r="R30" s="36"/>
    </row>
    <row r="31" spans="1:18" hidden="1">
      <c r="A31" s="16">
        <v>46027</v>
      </c>
      <c r="B31" s="16">
        <v>46031</v>
      </c>
      <c r="C31" s="21">
        <v>11040051</v>
      </c>
      <c r="D31" s="16" t="str">
        <f>IFERROR(VLOOKUP(Tabela5[[#This Row],[PREFIXO ]],Tabela4[#All],2,0),"CENTRO DE CUSTO")</f>
        <v>CENTRO DE CUSTO</v>
      </c>
      <c r="E31" s="18" t="s">
        <v>121</v>
      </c>
      <c r="F31" s="21">
        <v>59</v>
      </c>
      <c r="G31" s="22">
        <v>120</v>
      </c>
      <c r="H31" s="22">
        <v>1120</v>
      </c>
      <c r="I31" s="22">
        <f t="shared" si="0"/>
        <v>1240</v>
      </c>
      <c r="J31" s="18" t="s">
        <v>1085</v>
      </c>
      <c r="K31" s="18">
        <v>9731110</v>
      </c>
      <c r="L31" s="18">
        <v>835000</v>
      </c>
      <c r="M31" s="18" t="s">
        <v>1133</v>
      </c>
      <c r="N31" s="16" t="s">
        <v>1082</v>
      </c>
      <c r="O31" s="18" t="s">
        <v>1095</v>
      </c>
      <c r="P31" s="18" t="s">
        <v>1130</v>
      </c>
      <c r="Q31" s="29" t="str" cm="1">
        <f t="array" ref="Q31">_xlfn.IFS(
A31="","",
AND(A31&lt;&gt;"",B31=""),"FALTA LANÇAMENTO",
AND(B31&lt;&gt;"",M31=""),"FALTA O PEDIDO",
AND(M31&lt;&gt;"",O31=""),"FALTA NF",
O31&lt;&gt;"","CONCLUÍDO")</f>
        <v>CONCLUÍDO</v>
      </c>
      <c r="R31" s="36"/>
    </row>
    <row r="32" spans="1:18" hidden="1">
      <c r="A32" s="16">
        <v>46027</v>
      </c>
      <c r="B32" s="16">
        <v>46031</v>
      </c>
      <c r="C32" s="21">
        <v>11040020</v>
      </c>
      <c r="D32" s="16" t="str">
        <f>IFERROR(VLOOKUP(Tabela5[[#This Row],[PREFIXO ]],Tabela4[#All],2,0),"CENTRO DE CUSTO")</f>
        <v>CAV MEC EXT PES SCANIA R500</v>
      </c>
      <c r="E32" s="18" t="s">
        <v>121</v>
      </c>
      <c r="F32" s="21">
        <v>56</v>
      </c>
      <c r="G32" s="22"/>
      <c r="H32" s="22">
        <v>536.51</v>
      </c>
      <c r="I32" s="22">
        <f t="shared" si="0"/>
        <v>536.51</v>
      </c>
      <c r="J32" s="18" t="s">
        <v>1085</v>
      </c>
      <c r="K32" s="18">
        <v>9727771</v>
      </c>
      <c r="L32" s="18" t="s">
        <v>1095</v>
      </c>
      <c r="M32" s="18" t="s">
        <v>1095</v>
      </c>
      <c r="N32" s="16" t="s">
        <v>1095</v>
      </c>
      <c r="O32" s="18" t="s">
        <v>1095</v>
      </c>
      <c r="P32" s="18" t="s">
        <v>1095</v>
      </c>
      <c r="Q32" s="29" t="str" cm="1">
        <f t="array" ref="Q32">_xlfn.IFS(
A32="","",
AND(A32&lt;&gt;"",B32=""),"FALTA LANÇAMENTO",
AND(B32&lt;&gt;"",M32=""),"FALTA O PEDIDO",
AND(M32&lt;&gt;"",O32=""),"FALTA NF",
O32&lt;&gt;"","CONCLUÍDO")</f>
        <v>CONCLUÍDO</v>
      </c>
      <c r="R32" s="36"/>
    </row>
    <row r="33" spans="1:18" hidden="1">
      <c r="A33" s="16">
        <v>46027</v>
      </c>
      <c r="B33" s="16">
        <v>46031</v>
      </c>
      <c r="C33" s="21" t="s">
        <v>1134</v>
      </c>
      <c r="D33" s="16" t="str">
        <f>IFERROR(VLOOKUP(Tabela5[[#This Row],[PREFIXO ]],Tabela4[#All],2,0),"CENTRO DE CUSTO")</f>
        <v>CENTRO DE CUSTO</v>
      </c>
      <c r="E33" s="18" t="s">
        <v>308</v>
      </c>
      <c r="F33" s="21" t="s">
        <v>1135</v>
      </c>
      <c r="G33" s="22">
        <v>26528.400000000001</v>
      </c>
      <c r="H33" s="22"/>
      <c r="I33" s="22">
        <f t="shared" si="0"/>
        <v>26528.400000000001</v>
      </c>
      <c r="J33" s="18" t="s">
        <v>1123</v>
      </c>
      <c r="K33" s="18">
        <v>5018703</v>
      </c>
      <c r="L33" s="18">
        <v>834467</v>
      </c>
      <c r="M33" s="18" t="s">
        <v>1136</v>
      </c>
      <c r="N33" s="16" t="s">
        <v>1082</v>
      </c>
      <c r="O33" s="18" t="s">
        <v>1095</v>
      </c>
      <c r="P33" s="18" t="s">
        <v>1082</v>
      </c>
      <c r="Q33" s="29" t="str" cm="1">
        <f t="array" ref="Q33">_xlfn.IFS(
A33="","",
AND(A33&lt;&gt;"",B33=""),"FALTA LANÇAMENTO",
AND(B33&lt;&gt;"",M33=""),"FALTA O PEDIDO",
AND(M33&lt;&gt;"",O33=""),"FALTA NF",
O33&lt;&gt;"","CONCLUÍDO")</f>
        <v>CONCLUÍDO</v>
      </c>
      <c r="R33" s="36"/>
    </row>
    <row r="34" spans="1:18" hidden="1">
      <c r="A34" s="16">
        <v>46027</v>
      </c>
      <c r="B34" s="16">
        <v>46031</v>
      </c>
      <c r="C34" s="21" t="s">
        <v>1137</v>
      </c>
      <c r="D34" s="16" t="str">
        <f>IFERROR(VLOOKUP(Tabela5[[#This Row],[PREFIXO ]],Tabela4[#All],2,0),"CENTRO DE CUSTO")</f>
        <v>CENTRO DE CUSTO</v>
      </c>
      <c r="E34" s="18" t="s">
        <v>308</v>
      </c>
      <c r="F34" s="21" t="s">
        <v>1138</v>
      </c>
      <c r="G34" s="22">
        <v>2000.01</v>
      </c>
      <c r="H34" s="22"/>
      <c r="I34" s="22">
        <f t="shared" si="0"/>
        <v>2000.01</v>
      </c>
      <c r="J34" s="18" t="s">
        <v>1123</v>
      </c>
      <c r="K34" s="18" t="s">
        <v>1139</v>
      </c>
      <c r="L34" s="18">
        <v>834467</v>
      </c>
      <c r="M34" s="18" t="s">
        <v>1136</v>
      </c>
      <c r="N34" s="16" t="s">
        <v>1082</v>
      </c>
      <c r="O34" s="18" t="s">
        <v>1095</v>
      </c>
      <c r="P34" s="18" t="s">
        <v>1082</v>
      </c>
      <c r="Q34" s="29" t="str" cm="1">
        <f t="array" ref="Q34">_xlfn.IFS(
A34="","",
AND(A34&lt;&gt;"",B34=""),"FALTA LANÇAMENTO",
AND(B34&lt;&gt;"",M34=""),"FALTA O PEDIDO",
AND(M34&lt;&gt;"",O34=""),"FALTA NF",
O34&lt;&gt;"","CONCLUÍDO")</f>
        <v>CONCLUÍDO</v>
      </c>
      <c r="R34" s="36"/>
    </row>
    <row r="35" spans="1:18" hidden="1">
      <c r="A35" s="16">
        <v>46027</v>
      </c>
      <c r="B35" s="16">
        <v>46031</v>
      </c>
      <c r="C35" s="21" t="s">
        <v>1134</v>
      </c>
      <c r="D35" s="16" t="str">
        <f>IFERROR(VLOOKUP(Tabela5[[#This Row],[PREFIXO ]],Tabela4[#All],2,0),"CENTRO DE CUSTO")</f>
        <v>CENTRO DE CUSTO</v>
      </c>
      <c r="E35" s="18" t="s">
        <v>308</v>
      </c>
      <c r="F35" s="21" t="s">
        <v>1140</v>
      </c>
      <c r="G35" s="22">
        <v>1909</v>
      </c>
      <c r="H35" s="22"/>
      <c r="I35" s="22">
        <f t="shared" ref="I35:I62" si="1">G35+H35</f>
        <v>1909</v>
      </c>
      <c r="J35" s="18" t="s">
        <v>1123</v>
      </c>
      <c r="K35" s="18">
        <v>5018702</v>
      </c>
      <c r="L35" s="18">
        <v>834467</v>
      </c>
      <c r="M35" s="18" t="s">
        <v>1136</v>
      </c>
      <c r="N35" s="16" t="s">
        <v>1082</v>
      </c>
      <c r="O35" s="18" t="s">
        <v>1095</v>
      </c>
      <c r="P35" s="18" t="s">
        <v>1082</v>
      </c>
      <c r="Q35" s="29" t="str" cm="1">
        <f t="array" ref="Q35">_xlfn.IFS(
A35="","",
AND(A35&lt;&gt;"",B35=""),"FALTA LANÇAMENTO",
AND(B35&lt;&gt;"",M35=""),"FALTA O PEDIDO",
AND(M35&lt;&gt;"",O35=""),"FALTA NF",
O35&lt;&gt;"","CONCLUÍDO")</f>
        <v>CONCLUÍDO</v>
      </c>
      <c r="R35" s="36"/>
    </row>
    <row r="36" spans="1:18" hidden="1">
      <c r="A36" s="16">
        <v>46027</v>
      </c>
      <c r="B36" s="16">
        <v>46031</v>
      </c>
      <c r="C36" s="21">
        <v>51519030</v>
      </c>
      <c r="D36" s="16" t="str">
        <f>IFERROR(VLOOKUP(Tabela5[[#This Row],[PREFIXO ]],Tabela4[#All],2,0),"CENTRO DE CUSTO")</f>
        <v>COLHEIT DE GRÃOS N.HOLLAND CR 8.90</v>
      </c>
      <c r="E36" s="18" t="s">
        <v>71</v>
      </c>
      <c r="F36" s="21">
        <v>1051</v>
      </c>
      <c r="G36" s="22">
        <v>9691.32</v>
      </c>
      <c r="H36" s="22"/>
      <c r="I36" s="22">
        <f t="shared" si="1"/>
        <v>9691.32</v>
      </c>
      <c r="J36" s="18" t="s">
        <v>1123</v>
      </c>
      <c r="K36" s="18">
        <v>9728500</v>
      </c>
      <c r="L36" s="18">
        <v>834055</v>
      </c>
      <c r="M36" s="18" t="s">
        <v>1141</v>
      </c>
      <c r="N36" s="16" t="s">
        <v>1082</v>
      </c>
      <c r="O36" s="18" t="s">
        <v>1095</v>
      </c>
      <c r="P36" s="18" t="s">
        <v>1101</v>
      </c>
      <c r="Q36" s="29" t="str" cm="1">
        <f t="array" ref="Q36">_xlfn.IFS(
A36="","",
AND(A36&lt;&gt;"",B36=""),"FALTA LANÇAMENTO",
AND(B36&lt;&gt;"",M36=""),"FALTA O PEDIDO",
AND(M36&lt;&gt;"",O36=""),"FALTA NF",
O36&lt;&gt;"","CONCLUÍDO")</f>
        <v>CONCLUÍDO</v>
      </c>
      <c r="R36" s="36"/>
    </row>
    <row r="37" spans="1:18" hidden="1">
      <c r="A37" s="16">
        <v>46027</v>
      </c>
      <c r="B37" s="16">
        <v>46031</v>
      </c>
      <c r="C37" s="21">
        <v>51521082</v>
      </c>
      <c r="D37" s="16" t="str">
        <f>IFERROR(VLOOKUP(Tabela5[[#This Row],[PREFIXO ]],Tabela4[#All],2,0),"CENTRO DE CUSTO")</f>
        <v>COLHEIT DE GRÃOS N.HOLLAND CR 8.90</v>
      </c>
      <c r="E37" s="18" t="s">
        <v>71</v>
      </c>
      <c r="F37" s="21">
        <v>1055</v>
      </c>
      <c r="G37" s="22">
        <v>9429.18</v>
      </c>
      <c r="H37" s="22"/>
      <c r="I37" s="22">
        <f t="shared" si="1"/>
        <v>9429.18</v>
      </c>
      <c r="J37" s="18" t="s">
        <v>1123</v>
      </c>
      <c r="K37" s="18">
        <v>9728483</v>
      </c>
      <c r="L37" s="18">
        <v>834267</v>
      </c>
      <c r="M37" s="18" t="s">
        <v>1142</v>
      </c>
      <c r="N37" s="16" t="s">
        <v>1082</v>
      </c>
      <c r="O37" s="18" t="s">
        <v>1095</v>
      </c>
      <c r="P37" s="18" t="s">
        <v>1101</v>
      </c>
      <c r="Q37" s="29" t="str" cm="1">
        <f t="array" ref="Q37">_xlfn.IFS(
A37="","",
AND(A37&lt;&gt;"",B37=""),"FALTA LANÇAMENTO",
AND(B37&lt;&gt;"",M37=""),"FALTA O PEDIDO",
AND(M37&lt;&gt;"",O37=""),"FALTA NF",
O37&lt;&gt;"","CONCLUÍDO")</f>
        <v>CONCLUÍDO</v>
      </c>
      <c r="R37" s="36"/>
    </row>
    <row r="38" spans="1:18" hidden="1">
      <c r="A38" s="16">
        <v>46027</v>
      </c>
      <c r="B38" s="16">
        <v>46031</v>
      </c>
      <c r="C38" s="21">
        <v>51521096</v>
      </c>
      <c r="D38" s="16" t="str">
        <f>IFERROR(VLOOKUP(Tabela5[[#This Row],[PREFIXO ]],Tabela4[#All],2,0),"CENTRO DE CUSTO")</f>
        <v>COLHEIT DE GRÃOS N.HOLLAND CR 8.90</v>
      </c>
      <c r="E38" s="18" t="s">
        <v>71</v>
      </c>
      <c r="F38" s="21">
        <v>1053</v>
      </c>
      <c r="G38" s="22">
        <v>8228.9</v>
      </c>
      <c r="H38" s="22"/>
      <c r="I38" s="22">
        <f t="shared" si="1"/>
        <v>8228.9</v>
      </c>
      <c r="J38" s="18" t="s">
        <v>1123</v>
      </c>
      <c r="K38" s="18">
        <v>9728438</v>
      </c>
      <c r="L38" s="18">
        <v>834321</v>
      </c>
      <c r="M38" s="18" t="s">
        <v>1143</v>
      </c>
      <c r="N38" s="16" t="s">
        <v>1082</v>
      </c>
      <c r="O38" s="18" t="s">
        <v>1095</v>
      </c>
      <c r="P38" s="18" t="s">
        <v>1101</v>
      </c>
      <c r="Q38" s="29" t="str" cm="1">
        <f t="array" ref="Q38">_xlfn.IFS(
A38="","",
AND(A38&lt;&gt;"",B38=""),"FALTA LANÇAMENTO",
AND(B38&lt;&gt;"",M38=""),"FALTA O PEDIDO",
AND(M38&lt;&gt;"",O38=""),"FALTA NF",
O38&lt;&gt;"","CONCLUÍDO")</f>
        <v>CONCLUÍDO</v>
      </c>
      <c r="R38" s="36"/>
    </row>
    <row r="39" spans="1:18" hidden="1">
      <c r="A39" s="16">
        <v>46027</v>
      </c>
      <c r="B39" s="16">
        <v>46031</v>
      </c>
      <c r="C39" s="21">
        <v>51521093</v>
      </c>
      <c r="D39" s="16" t="str">
        <f>IFERROR(VLOOKUP(Tabela5[[#This Row],[PREFIXO ]],Tabela4[#All],2,0),"CENTRO DE CUSTO")</f>
        <v>COLHEIT DE GRÃOS N.HOLLAND CR 8.90</v>
      </c>
      <c r="E39" s="18" t="s">
        <v>71</v>
      </c>
      <c r="F39" s="21">
        <v>1054</v>
      </c>
      <c r="G39" s="22">
        <v>7985.64</v>
      </c>
      <c r="H39" s="22"/>
      <c r="I39" s="22">
        <f t="shared" si="1"/>
        <v>7985.64</v>
      </c>
      <c r="J39" s="18" t="s">
        <v>1123</v>
      </c>
      <c r="K39" s="18">
        <v>9728481</v>
      </c>
      <c r="L39" s="18">
        <v>834297</v>
      </c>
      <c r="M39" s="18" t="s">
        <v>1144</v>
      </c>
      <c r="N39" s="16" t="s">
        <v>1082</v>
      </c>
      <c r="O39" s="18" t="s">
        <v>1095</v>
      </c>
      <c r="P39" s="18" t="s">
        <v>1101</v>
      </c>
      <c r="Q39" s="29" t="str" cm="1">
        <f t="array" ref="Q39">_xlfn.IFS(
A39="","",
AND(A39&lt;&gt;"",B39=""),"FALTA LANÇAMENTO",
AND(B39&lt;&gt;"",M39=""),"FALTA O PEDIDO",
AND(M39&lt;&gt;"",O39=""),"FALTA NF",
O39&lt;&gt;"","CONCLUÍDO")</f>
        <v>CONCLUÍDO</v>
      </c>
      <c r="R39" s="36"/>
    </row>
    <row r="40" spans="1:18" hidden="1">
      <c r="A40" s="16">
        <v>46027</v>
      </c>
      <c r="B40" s="16">
        <v>46031</v>
      </c>
      <c r="C40" s="21">
        <v>51521088</v>
      </c>
      <c r="D40" s="16" t="str">
        <f>IFERROR(VLOOKUP(Tabela5[[#This Row],[PREFIXO ]],Tabela4[#All],2,0),"CENTRO DE CUSTO")</f>
        <v>COLHEIT DE GRÃOS N.HOLLAND CR 8.90</v>
      </c>
      <c r="E40" s="18" t="s">
        <v>71</v>
      </c>
      <c r="F40" s="21">
        <v>1029</v>
      </c>
      <c r="G40" s="22">
        <v>7675.72</v>
      </c>
      <c r="H40" s="22"/>
      <c r="I40" s="22">
        <f t="shared" si="1"/>
        <v>7675.72</v>
      </c>
      <c r="J40" s="18" t="s">
        <v>1123</v>
      </c>
      <c r="K40" s="18">
        <v>9728485</v>
      </c>
      <c r="L40" s="18">
        <v>834246</v>
      </c>
      <c r="M40" s="18" t="s">
        <v>1145</v>
      </c>
      <c r="N40" s="16" t="s">
        <v>1082</v>
      </c>
      <c r="O40" s="18" t="s">
        <v>1095</v>
      </c>
      <c r="P40" s="18" t="s">
        <v>1101</v>
      </c>
      <c r="Q40" s="29" t="str" cm="1">
        <f t="array" ref="Q40">_xlfn.IFS(
A40="","",
AND(A40&lt;&gt;"",B40=""),"FALTA LANÇAMENTO",
AND(B40&lt;&gt;"",M40=""),"FALTA O PEDIDO",
AND(M40&lt;&gt;"",O40=""),"FALTA NF",
O40&lt;&gt;"","CONCLUÍDO")</f>
        <v>CONCLUÍDO</v>
      </c>
      <c r="R40" s="36"/>
    </row>
    <row r="41" spans="1:18" hidden="1">
      <c r="A41" s="16">
        <v>46027</v>
      </c>
      <c r="B41" s="16">
        <v>46031</v>
      </c>
      <c r="C41" s="21">
        <v>51519037</v>
      </c>
      <c r="D41" s="16" t="str">
        <f>IFERROR(VLOOKUP(Tabela5[[#This Row],[PREFIXO ]],Tabela4[#All],2,0),"CENTRO DE CUSTO")</f>
        <v>COLHEIT DE GRÃOS N.HOLLAND CR 8.90</v>
      </c>
      <c r="E41" s="18" t="s">
        <v>71</v>
      </c>
      <c r="F41" s="21">
        <v>1031</v>
      </c>
      <c r="G41" s="22">
        <v>7467.1</v>
      </c>
      <c r="H41" s="22"/>
      <c r="I41" s="22">
        <f t="shared" si="1"/>
        <v>7467.1</v>
      </c>
      <c r="J41" s="18" t="s">
        <v>1123</v>
      </c>
      <c r="K41" s="18">
        <v>9728532</v>
      </c>
      <c r="L41" s="18">
        <v>833934</v>
      </c>
      <c r="M41" s="18" t="s">
        <v>1146</v>
      </c>
      <c r="N41" s="16" t="s">
        <v>1082</v>
      </c>
      <c r="O41" s="18" t="s">
        <v>1095</v>
      </c>
      <c r="P41" s="18" t="s">
        <v>1101</v>
      </c>
      <c r="Q41" s="29" t="str" cm="1">
        <f t="array" ref="Q41">_xlfn.IFS(
A41="","",
AND(A41&lt;&gt;"",B41=""),"FALTA LANÇAMENTO",
AND(B41&lt;&gt;"",M41=""),"FALTA O PEDIDO",
AND(M41&lt;&gt;"",O41=""),"FALTA NF",
O41&lt;&gt;"","CONCLUÍDO")</f>
        <v>CONCLUÍDO</v>
      </c>
      <c r="R41" s="36"/>
    </row>
    <row r="42" spans="1:18" hidden="1">
      <c r="A42" s="16">
        <v>46027</v>
      </c>
      <c r="B42" s="16">
        <v>46031</v>
      </c>
      <c r="C42" s="21" t="s">
        <v>1147</v>
      </c>
      <c r="D42" s="16" t="str">
        <f>IFERROR(VLOOKUP(Tabela5[[#This Row],[PREFIXO ]],Tabela4[#All],2,0),"CENTRO DE CUSTO")</f>
        <v>CENTRO DE CUSTO</v>
      </c>
      <c r="E42" s="18" t="s">
        <v>71</v>
      </c>
      <c r="F42" s="21">
        <v>1036</v>
      </c>
      <c r="G42" s="22">
        <v>6375</v>
      </c>
      <c r="H42" s="22"/>
      <c r="I42" s="22">
        <f t="shared" si="1"/>
        <v>6375</v>
      </c>
      <c r="J42" s="18" t="s">
        <v>1123</v>
      </c>
      <c r="K42" s="18" t="s">
        <v>1148</v>
      </c>
      <c r="L42" s="18">
        <v>833961</v>
      </c>
      <c r="M42" s="18" t="s">
        <v>1149</v>
      </c>
      <c r="N42" s="16" t="s">
        <v>1082</v>
      </c>
      <c r="O42" s="18" t="s">
        <v>1095</v>
      </c>
      <c r="P42" s="18" t="s">
        <v>1101</v>
      </c>
      <c r="Q42" s="29" t="str" cm="1">
        <f t="array" ref="Q42">_xlfn.IFS(
A42="","",
AND(A42&lt;&gt;"",B42=""),"FALTA LANÇAMENTO",
AND(B42&lt;&gt;"",M42=""),"FALTA O PEDIDO",
AND(M42&lt;&gt;"",O42=""),"FALTA NF",
O42&lt;&gt;"","CONCLUÍDO")</f>
        <v>CONCLUÍDO</v>
      </c>
      <c r="R42" s="36"/>
    </row>
    <row r="43" spans="1:18" hidden="1">
      <c r="A43" s="16">
        <v>46027</v>
      </c>
      <c r="B43" s="16">
        <v>46031</v>
      </c>
      <c r="C43" s="21">
        <v>81521291</v>
      </c>
      <c r="D43" s="16" t="str">
        <f>IFERROR(VLOOKUP(Tabela5[[#This Row],[PREFIXO ]],Tabela4[#All],2,0),"CENTRO DE CUSTO")</f>
        <v>SUBSOLADOR GTS TERRUS COTTON 19H</v>
      </c>
      <c r="E43" s="18" t="s">
        <v>71</v>
      </c>
      <c r="F43" s="21">
        <v>1033</v>
      </c>
      <c r="G43" s="22">
        <v>2330</v>
      </c>
      <c r="H43" s="22"/>
      <c r="I43" s="22">
        <f t="shared" si="1"/>
        <v>2330</v>
      </c>
      <c r="J43" s="18" t="s">
        <v>1123</v>
      </c>
      <c r="K43" s="18">
        <v>9728489</v>
      </c>
      <c r="L43" s="18">
        <v>834229</v>
      </c>
      <c r="M43" s="18" t="s">
        <v>1150</v>
      </c>
      <c r="N43" s="16" t="s">
        <v>1082</v>
      </c>
      <c r="O43" s="18" t="s">
        <v>1095</v>
      </c>
      <c r="P43" s="18" t="s">
        <v>1101</v>
      </c>
      <c r="Q43" s="29" t="str" cm="1">
        <f t="array" ref="Q43">_xlfn.IFS(
A43="","",
AND(A43&lt;&gt;"",B43=""),"FALTA LANÇAMENTO",
AND(B43&lt;&gt;"",M43=""),"FALTA O PEDIDO",
AND(M43&lt;&gt;"",O43=""),"FALTA NF",
O43&lt;&gt;"","CONCLUÍDO")</f>
        <v>CONCLUÍDO</v>
      </c>
      <c r="R43" s="36"/>
    </row>
    <row r="44" spans="1:18" hidden="1">
      <c r="A44" s="16">
        <v>46027</v>
      </c>
      <c r="B44" s="16">
        <v>46031</v>
      </c>
      <c r="C44" s="21">
        <v>23180053</v>
      </c>
      <c r="D44" s="16" t="str">
        <f>IFERROR(VLOOKUP(Tabela5[[#This Row],[PREFIXO ]],Tabela4[#All],2,0),"CENTRO DE CUSTO")</f>
        <v>COLHEIT DE GRÃOS JOHN DEERE S 780</v>
      </c>
      <c r="E44" s="18" t="s">
        <v>71</v>
      </c>
      <c r="F44" s="21">
        <v>1025</v>
      </c>
      <c r="G44" s="22">
        <v>560</v>
      </c>
      <c r="H44" s="22"/>
      <c r="I44" s="22">
        <f t="shared" si="1"/>
        <v>560</v>
      </c>
      <c r="J44" s="18" t="s">
        <v>1123</v>
      </c>
      <c r="K44" s="18">
        <v>9728496</v>
      </c>
      <c r="L44" s="18">
        <v>834214</v>
      </c>
      <c r="M44" s="18" t="s">
        <v>1151</v>
      </c>
      <c r="N44" s="16" t="s">
        <v>1082</v>
      </c>
      <c r="O44" s="18" t="s">
        <v>1095</v>
      </c>
      <c r="P44" s="18" t="s">
        <v>1101</v>
      </c>
      <c r="Q44" s="29" t="str" cm="1">
        <f t="array" ref="Q44">_xlfn.IFS(
A44="","",
AND(A44&lt;&gt;"",B44=""),"FALTA LANÇAMENTO",
AND(B44&lt;&gt;"",M44=""),"FALTA O PEDIDO",
AND(M44&lt;&gt;"",O44=""),"FALTA NF",
O44&lt;&gt;"","CONCLUÍDO")</f>
        <v>CONCLUÍDO</v>
      </c>
      <c r="R44" s="36"/>
    </row>
    <row r="45" spans="1:18" hidden="1">
      <c r="A45" s="16">
        <v>46027</v>
      </c>
      <c r="B45" s="16">
        <v>46031</v>
      </c>
      <c r="C45" s="21">
        <v>500580579</v>
      </c>
      <c r="D45" s="16" t="str">
        <f>IFERROR(VLOOKUP(Tabela5[[#This Row],[PREFIXO ]],Tabela4[#All],2,0),"CENTRO DE CUSTO")</f>
        <v>Pátio de Vendas</v>
      </c>
      <c r="E45" s="18" t="s">
        <v>224</v>
      </c>
      <c r="F45" s="21">
        <v>2333</v>
      </c>
      <c r="G45" s="22">
        <v>2775</v>
      </c>
      <c r="H45" s="22"/>
      <c r="I45" s="22">
        <f t="shared" si="1"/>
        <v>2775</v>
      </c>
      <c r="J45" s="18" t="s">
        <v>1152</v>
      </c>
      <c r="K45" s="18">
        <v>5018691</v>
      </c>
      <c r="L45" s="18" t="s">
        <v>1095</v>
      </c>
      <c r="M45" s="18" t="s">
        <v>1095</v>
      </c>
      <c r="N45" s="16" t="s">
        <v>1095</v>
      </c>
      <c r="O45" s="18" t="s">
        <v>1095</v>
      </c>
      <c r="P45" s="18" t="s">
        <v>1095</v>
      </c>
      <c r="Q45" s="29" t="str" cm="1">
        <f t="array" ref="Q45">_xlfn.IFS(
A45="","",
AND(A45&lt;&gt;"",B45=""),"FALTA LANÇAMENTO",
AND(B45&lt;&gt;"",M45=""),"FALTA O PEDIDO",
AND(M45&lt;&gt;"",O45=""),"FALTA NF",
O45&lt;&gt;"","CONCLUÍDO")</f>
        <v>CONCLUÍDO</v>
      </c>
      <c r="R45" s="36"/>
    </row>
    <row r="46" spans="1:18" hidden="1">
      <c r="A46" s="16">
        <v>46027</v>
      </c>
      <c r="B46" s="16">
        <v>46031</v>
      </c>
      <c r="C46" s="21">
        <v>1173013</v>
      </c>
      <c r="D46" s="16" t="str">
        <f>IFERROR(VLOOKUP(Tabela5[[#This Row],[PREFIXO ]],Tabela4[#All],2,0),"CENTRO DE CUSTO")</f>
        <v>TRAT PN MED N.HOLLAND 7630</v>
      </c>
      <c r="E46" s="18" t="s">
        <v>347</v>
      </c>
      <c r="F46" s="21">
        <v>897</v>
      </c>
      <c r="G46" s="22">
        <v>2305</v>
      </c>
      <c r="H46" s="22">
        <v>1817</v>
      </c>
      <c r="I46" s="22">
        <f t="shared" si="1"/>
        <v>4122</v>
      </c>
      <c r="J46" s="18" t="s">
        <v>1097</v>
      </c>
      <c r="K46" s="18">
        <v>9728700</v>
      </c>
      <c r="L46" s="18">
        <v>834870</v>
      </c>
      <c r="M46" s="18" t="s">
        <v>1153</v>
      </c>
      <c r="N46" s="16" t="s">
        <v>1082</v>
      </c>
      <c r="O46" s="18" t="s">
        <v>1095</v>
      </c>
      <c r="P46" s="18" t="s">
        <v>1154</v>
      </c>
      <c r="Q46" s="29" t="str" cm="1">
        <f t="array" ref="Q46">_xlfn.IFS(
A46="","",
AND(A46&lt;&gt;"",B46=""),"FALTA LANÇAMENTO",
AND(B46&lt;&gt;"",M46=""),"FALTA O PEDIDO",
AND(M46&lt;&gt;"",O46=""),"FALTA NF",
O46&lt;&gt;"","CONCLUÍDO")</f>
        <v>CONCLUÍDO</v>
      </c>
      <c r="R46" s="36"/>
    </row>
    <row r="47" spans="1:18" hidden="1">
      <c r="A47" s="16">
        <v>46027</v>
      </c>
      <c r="B47" s="16">
        <v>46029</v>
      </c>
      <c r="C47" s="21" t="s">
        <v>1155</v>
      </c>
      <c r="D47" s="16" t="str">
        <f>IFERROR(VLOOKUP(Tabela5[[#This Row],[PREFIXO ]],Tabela4[#All],2,0),"CENTRO DE CUSTO")</f>
        <v>CENTRO DE CUSTO</v>
      </c>
      <c r="E47" s="18" t="s">
        <v>68</v>
      </c>
      <c r="F47" s="21">
        <v>1707</v>
      </c>
      <c r="G47" s="22">
        <v>1890</v>
      </c>
      <c r="H47" s="22">
        <v>1235.0999999999999</v>
      </c>
      <c r="I47" s="22">
        <f t="shared" si="1"/>
        <v>3125.1</v>
      </c>
      <c r="J47" s="18" t="s">
        <v>1097</v>
      </c>
      <c r="K47" s="18" t="s">
        <v>1156</v>
      </c>
      <c r="L47" s="18">
        <v>833007</v>
      </c>
      <c r="M47" s="18" t="s">
        <v>1157</v>
      </c>
      <c r="N47" s="16" t="s">
        <v>1082</v>
      </c>
      <c r="O47" s="18" t="s">
        <v>1095</v>
      </c>
      <c r="P47" s="18" t="s">
        <v>1158</v>
      </c>
      <c r="Q47" s="29" t="str" cm="1">
        <f t="array" ref="Q47">_xlfn.IFS(
A47="","",
AND(A47&lt;&gt;"",B47=""),"FALTA LANÇAMENTO",
AND(B47&lt;&gt;"",M47=""),"FALTA O PEDIDO",
AND(M47&lt;&gt;"",O47=""),"FALTA NF",
O47&lt;&gt;"","CONCLUÍDO")</f>
        <v>CONCLUÍDO</v>
      </c>
      <c r="R47" s="36"/>
    </row>
    <row r="48" spans="1:18" hidden="1">
      <c r="A48" s="16">
        <v>46027</v>
      </c>
      <c r="B48" s="16">
        <v>46031</v>
      </c>
      <c r="C48" s="21">
        <v>51519046</v>
      </c>
      <c r="D48" s="16" t="str">
        <f>IFERROR(VLOOKUP(Tabela5[[#This Row],[PREFIXO ]],Tabela4[#All],2,0),"CENTRO DE CUSTO")</f>
        <v>COLHEIT DE GRÃOS JOHN DEERE S 550</v>
      </c>
      <c r="E48" s="18" t="s">
        <v>255</v>
      </c>
      <c r="F48" s="21">
        <v>823</v>
      </c>
      <c r="G48" s="22">
        <v>1550</v>
      </c>
      <c r="H48" s="22"/>
      <c r="I48" s="22">
        <f t="shared" si="1"/>
        <v>1550</v>
      </c>
      <c r="J48" s="18" t="s">
        <v>1113</v>
      </c>
      <c r="K48" s="18">
        <v>9728419</v>
      </c>
      <c r="L48" s="18">
        <v>834372</v>
      </c>
      <c r="M48" s="18" t="s">
        <v>1159</v>
      </c>
      <c r="N48" s="16" t="s">
        <v>1082</v>
      </c>
      <c r="O48" s="18" t="s">
        <v>1095</v>
      </c>
      <c r="P48" s="18" t="s">
        <v>1160</v>
      </c>
      <c r="Q48" s="29" t="str" cm="1">
        <f t="array" ref="Q48">_xlfn.IFS(
A48="","",
AND(A48&lt;&gt;"",B48=""),"FALTA LANÇAMENTO",
AND(B48&lt;&gt;"",M48=""),"FALTA O PEDIDO",
AND(M48&lt;&gt;"",O48=""),"FALTA NF",
O48&lt;&gt;"","CONCLUÍDO")</f>
        <v>CONCLUÍDO</v>
      </c>
      <c r="R48" s="36"/>
    </row>
    <row r="49" spans="1:18" hidden="1">
      <c r="A49" s="16">
        <v>46027</v>
      </c>
      <c r="B49" s="16">
        <v>46031</v>
      </c>
      <c r="C49" s="21">
        <v>51519030</v>
      </c>
      <c r="D49" s="16" t="str">
        <f>IFERROR(VLOOKUP(Tabela5[[#This Row],[PREFIXO ]],Tabela4[#All],2,0),"CENTRO DE CUSTO")</f>
        <v>COLHEIT DE GRÃOS N.HOLLAND CR 8.90</v>
      </c>
      <c r="E49" s="18" t="s">
        <v>255</v>
      </c>
      <c r="F49" s="21">
        <v>821</v>
      </c>
      <c r="G49" s="22">
        <v>1500</v>
      </c>
      <c r="H49" s="22"/>
      <c r="I49" s="22">
        <f t="shared" si="1"/>
        <v>1500</v>
      </c>
      <c r="J49" s="18" t="s">
        <v>1113</v>
      </c>
      <c r="K49" s="18">
        <v>9728428</v>
      </c>
      <c r="L49" s="18">
        <v>834372</v>
      </c>
      <c r="M49" s="18" t="s">
        <v>1159</v>
      </c>
      <c r="N49" s="16" t="s">
        <v>1082</v>
      </c>
      <c r="O49" s="18" t="s">
        <v>1095</v>
      </c>
      <c r="P49" s="18" t="s">
        <v>1160</v>
      </c>
      <c r="Q49" s="29" t="str" cm="1">
        <f t="array" ref="Q49">_xlfn.IFS(
A49="","",
AND(A49&lt;&gt;"",B49=""),"FALTA LANÇAMENTO",
AND(B49&lt;&gt;"",M49=""),"FALTA O PEDIDO",
AND(M49&lt;&gt;"",O49=""),"FALTA NF",
O49&lt;&gt;"","CONCLUÍDO")</f>
        <v>CONCLUÍDO</v>
      </c>
      <c r="R49" s="36"/>
    </row>
    <row r="50" spans="1:18" hidden="1">
      <c r="A50" s="16">
        <v>46027</v>
      </c>
      <c r="B50" s="16">
        <v>46031</v>
      </c>
      <c r="C50" s="21">
        <v>81521355</v>
      </c>
      <c r="D50" s="16" t="str">
        <f>IFERROR(VLOOKUP(Tabela5[[#This Row],[PREFIXO ]],Tabela4[#All],2,0),"CENTRO DE CUSTO")</f>
        <v>PLATAF COLHEITA N.HOLLAND DRAPER 8645P</v>
      </c>
      <c r="E50" s="18" t="s">
        <v>255</v>
      </c>
      <c r="F50" s="21">
        <v>822</v>
      </c>
      <c r="G50" s="22">
        <v>1450</v>
      </c>
      <c r="H50" s="22"/>
      <c r="I50" s="22">
        <f t="shared" si="1"/>
        <v>1450</v>
      </c>
      <c r="J50" s="18" t="s">
        <v>1113</v>
      </c>
      <c r="K50" s="18">
        <v>9728422</v>
      </c>
      <c r="L50" s="18">
        <v>834372</v>
      </c>
      <c r="M50" s="18" t="s">
        <v>1159</v>
      </c>
      <c r="N50" s="16" t="s">
        <v>1082</v>
      </c>
      <c r="O50" s="18" t="s">
        <v>1095</v>
      </c>
      <c r="P50" s="18" t="s">
        <v>1160</v>
      </c>
      <c r="Q50" s="29" t="str" cm="1">
        <f t="array" ref="Q50">_xlfn.IFS(
A50="","",
AND(A50&lt;&gt;"",B50=""),"FALTA LANÇAMENTO",
AND(B50&lt;&gt;"",M50=""),"FALTA O PEDIDO",
AND(M50&lt;&gt;"",O50=""),"FALTA NF",
O50&lt;&gt;"","CONCLUÍDO")</f>
        <v>CONCLUÍDO</v>
      </c>
      <c r="R50" s="36"/>
    </row>
    <row r="51" spans="1:18" hidden="1">
      <c r="A51" s="16">
        <v>46027</v>
      </c>
      <c r="B51" s="16">
        <v>46031</v>
      </c>
      <c r="C51" s="21">
        <v>51521053</v>
      </c>
      <c r="D51" s="16" t="str">
        <f>IFERROR(VLOOKUP(Tabela5[[#This Row],[PREFIXO ]],Tabela4[#All],2,0),"CENTRO DE CUSTO")</f>
        <v>COLHED ALGODÃO JOHN DEERE CP 690</v>
      </c>
      <c r="E51" s="18" t="s">
        <v>255</v>
      </c>
      <c r="F51" s="21">
        <v>825</v>
      </c>
      <c r="G51" s="22">
        <v>1300</v>
      </c>
      <c r="H51" s="22"/>
      <c r="I51" s="22">
        <f t="shared" si="1"/>
        <v>1300</v>
      </c>
      <c r="J51" s="18" t="s">
        <v>1113</v>
      </c>
      <c r="K51" s="18">
        <v>9728432</v>
      </c>
      <c r="L51" s="18">
        <v>834372</v>
      </c>
      <c r="M51" s="18" t="s">
        <v>1159</v>
      </c>
      <c r="N51" s="16" t="s">
        <v>1082</v>
      </c>
      <c r="O51" s="18" t="s">
        <v>1095</v>
      </c>
      <c r="P51" s="18" t="s">
        <v>1160</v>
      </c>
      <c r="Q51" s="29" t="str" cm="1">
        <f t="array" ref="Q51">_xlfn.IFS(
A51="","",
AND(A51&lt;&gt;"",B51=""),"FALTA LANÇAMENTO",
AND(B51&lt;&gt;"",M51=""),"FALTA O PEDIDO",
AND(M51&lt;&gt;"",O51=""),"FALTA NF",
O51&lt;&gt;"","CONCLUÍDO")</f>
        <v>CONCLUÍDO</v>
      </c>
      <c r="R51" s="36"/>
    </row>
    <row r="52" spans="1:18" hidden="1">
      <c r="A52" s="16">
        <v>46027</v>
      </c>
      <c r="B52" s="16">
        <v>46031</v>
      </c>
      <c r="C52" s="21">
        <v>51521087</v>
      </c>
      <c r="D52" s="16" t="str">
        <f>IFERROR(VLOOKUP(Tabela5[[#This Row],[PREFIXO ]],Tabela4[#All],2,0),"CENTRO DE CUSTO")</f>
        <v>COLHEIT DE GRÃOS N.HOLLAND CR 8.90</v>
      </c>
      <c r="E52" s="18" t="s">
        <v>255</v>
      </c>
      <c r="F52" s="21">
        <v>824</v>
      </c>
      <c r="G52" s="22">
        <v>1200</v>
      </c>
      <c r="H52" s="22"/>
      <c r="I52" s="22">
        <f t="shared" si="1"/>
        <v>1200</v>
      </c>
      <c r="J52" s="18" t="s">
        <v>1113</v>
      </c>
      <c r="K52" s="18">
        <v>9728418</v>
      </c>
      <c r="L52" s="18">
        <v>834372</v>
      </c>
      <c r="M52" s="18" t="s">
        <v>1159</v>
      </c>
      <c r="N52" s="16" t="s">
        <v>1082</v>
      </c>
      <c r="O52" s="18" t="s">
        <v>1095</v>
      </c>
      <c r="P52" s="18" t="s">
        <v>1160</v>
      </c>
      <c r="Q52" s="29" t="str" cm="1">
        <f t="array" ref="Q52">_xlfn.IFS(
A52="","",
AND(A52&lt;&gt;"",B52=""),"FALTA LANÇAMENTO",
AND(B52&lt;&gt;"",M52=""),"FALTA O PEDIDO",
AND(M52&lt;&gt;"",O52=""),"FALTA NF",
O52&lt;&gt;"","CONCLUÍDO")</f>
        <v>CONCLUÍDO</v>
      </c>
      <c r="R52" s="36"/>
    </row>
    <row r="53" spans="1:18" hidden="1">
      <c r="A53" s="16">
        <v>46027</v>
      </c>
      <c r="B53" s="16">
        <v>46031</v>
      </c>
      <c r="C53" s="21">
        <v>51519061</v>
      </c>
      <c r="D53" s="16" t="str">
        <f>IFERROR(VLOOKUP(Tabela5[[#This Row],[PREFIXO ]],Tabela4[#All],2,0),"CENTRO DE CUSTO")</f>
        <v>CENTRO DE CUSTO</v>
      </c>
      <c r="E53" s="18" t="s">
        <v>255</v>
      </c>
      <c r="F53" s="21">
        <v>820</v>
      </c>
      <c r="G53" s="22">
        <v>950</v>
      </c>
      <c r="H53" s="22"/>
      <c r="I53" s="22">
        <f t="shared" si="1"/>
        <v>950</v>
      </c>
      <c r="J53" s="18" t="s">
        <v>1113</v>
      </c>
      <c r="K53" s="18">
        <v>9728430</v>
      </c>
      <c r="L53" s="18">
        <v>834372</v>
      </c>
      <c r="M53" s="18" t="s">
        <v>1159</v>
      </c>
      <c r="N53" s="16" t="s">
        <v>1082</v>
      </c>
      <c r="O53" s="18" t="s">
        <v>1095</v>
      </c>
      <c r="P53" s="18" t="s">
        <v>1160</v>
      </c>
      <c r="Q53" s="29" t="str" cm="1">
        <f t="array" ref="Q53">_xlfn.IFS(
A53="","",
AND(A53&lt;&gt;"",B53=""),"FALTA LANÇAMENTO",
AND(B53&lt;&gt;"",M53=""),"FALTA O PEDIDO",
AND(M53&lt;&gt;"",O53=""),"FALTA NF",
O53&lt;&gt;"","CONCLUÍDO")</f>
        <v>CONCLUÍDO</v>
      </c>
      <c r="R53" s="36"/>
    </row>
    <row r="54" spans="1:18" hidden="1">
      <c r="A54" s="16">
        <v>46027</v>
      </c>
      <c r="B54" s="16">
        <v>46029</v>
      </c>
      <c r="C54" s="21">
        <v>61521104</v>
      </c>
      <c r="D54" s="16" t="str">
        <f>IFERROR(VLOOKUP(Tabela5[[#This Row],[PREFIXO ]],Tabela4[#All],2,0),"CENTRO DE CUSTO")</f>
        <v>PA CARREGADEIRA CAT 924 K</v>
      </c>
      <c r="E54" s="18" t="s">
        <v>259</v>
      </c>
      <c r="F54" s="21">
        <v>4304186502</v>
      </c>
      <c r="G54" s="22">
        <v>3900</v>
      </c>
      <c r="H54" s="22"/>
      <c r="I54" s="22">
        <f t="shared" si="1"/>
        <v>3900</v>
      </c>
      <c r="J54" s="18" t="s">
        <v>1080</v>
      </c>
      <c r="K54" s="18">
        <v>972776</v>
      </c>
      <c r="L54" s="18">
        <v>833055</v>
      </c>
      <c r="M54" s="18" t="s">
        <v>1161</v>
      </c>
      <c r="N54" s="16" t="s">
        <v>1082</v>
      </c>
      <c r="O54" s="18" t="s">
        <v>1095</v>
      </c>
      <c r="P54" s="18" t="s">
        <v>1162</v>
      </c>
      <c r="Q54" s="29" t="str" cm="1">
        <f t="array" ref="Q54">_xlfn.IFS(
A54="","",
AND(A54&lt;&gt;"",B54=""),"FALTA LANÇAMENTO",
AND(B54&lt;&gt;"",M54=""),"FALTA O PEDIDO",
AND(M54&lt;&gt;"",O54=""),"FALTA NF",
O54&lt;&gt;"","CONCLUÍDO")</f>
        <v>CONCLUÍDO</v>
      </c>
      <c r="R54" s="36"/>
    </row>
    <row r="55" spans="1:18" hidden="1">
      <c r="A55" s="16">
        <v>46027</v>
      </c>
      <c r="B55" s="16">
        <v>46029</v>
      </c>
      <c r="C55" s="21">
        <v>51519034</v>
      </c>
      <c r="D55" s="16" t="str">
        <f>IFERROR(VLOOKUP(Tabela5[[#This Row],[PREFIXO ]],Tabela4[#All],2,0),"CENTRO DE CUSTO")</f>
        <v>COLHEIT DE GRÃOS N.HOLLAND CR 8.90</v>
      </c>
      <c r="E55" s="18" t="s">
        <v>346</v>
      </c>
      <c r="F55" s="21">
        <v>1</v>
      </c>
      <c r="G55" s="22">
        <v>3591</v>
      </c>
      <c r="H55" s="22"/>
      <c r="I55" s="22">
        <f t="shared" si="1"/>
        <v>3591</v>
      </c>
      <c r="J55" s="18" t="s">
        <v>1113</v>
      </c>
      <c r="K55" s="18">
        <v>9728643</v>
      </c>
      <c r="L55" s="18">
        <v>833274</v>
      </c>
      <c r="M55" s="18" t="s">
        <v>1163</v>
      </c>
      <c r="N55" s="16" t="s">
        <v>1082</v>
      </c>
      <c r="O55" s="18" t="s">
        <v>1095</v>
      </c>
      <c r="P55" s="18" t="s">
        <v>1164</v>
      </c>
      <c r="Q55" s="29" t="str" cm="1">
        <f t="array" ref="Q55">_xlfn.IFS(
A55="","",
AND(A55&lt;&gt;"",B55=""),"FALTA LANÇAMENTO",
AND(B55&lt;&gt;"",M55=""),"FALTA O PEDIDO",
AND(M55&lt;&gt;"",O55=""),"FALTA NF",
O55&lt;&gt;"","CONCLUÍDO")</f>
        <v>CONCLUÍDO</v>
      </c>
      <c r="R55" s="36"/>
    </row>
    <row r="56" spans="1:18" hidden="1">
      <c r="A56" s="16">
        <v>46027</v>
      </c>
      <c r="B56" s="16">
        <v>46029</v>
      </c>
      <c r="C56" s="21" t="s">
        <v>1165</v>
      </c>
      <c r="D56" s="16" t="str">
        <f>IFERROR(VLOOKUP(Tabela5[[#This Row],[PREFIXO ]],Tabela4[#All],2,0),"CENTRO DE CUSTO")</f>
        <v>CENTRO DE CUSTO</v>
      </c>
      <c r="E56" s="18" t="s">
        <v>346</v>
      </c>
      <c r="F56" s="21">
        <v>6</v>
      </c>
      <c r="G56" s="22">
        <v>1957.6</v>
      </c>
      <c r="H56" s="22"/>
      <c r="I56" s="22">
        <f t="shared" si="1"/>
        <v>1957.6</v>
      </c>
      <c r="J56" s="18" t="s">
        <v>1113</v>
      </c>
      <c r="K56" s="18">
        <v>5018702</v>
      </c>
      <c r="L56" s="18">
        <v>833274</v>
      </c>
      <c r="M56" s="18" t="s">
        <v>1163</v>
      </c>
      <c r="N56" s="16" t="s">
        <v>1082</v>
      </c>
      <c r="O56" s="18" t="s">
        <v>1095</v>
      </c>
      <c r="P56" s="18" t="s">
        <v>1164</v>
      </c>
      <c r="Q56" s="29" t="str" cm="1">
        <f t="array" ref="Q56">_xlfn.IFS(
A56="","",
AND(A56&lt;&gt;"",B56=""),"FALTA LANÇAMENTO",
AND(B56&lt;&gt;"",M56=""),"FALTA O PEDIDO",
AND(M56&lt;&gt;"",O56=""),"FALTA NF",
O56&lt;&gt;"","CONCLUÍDO")</f>
        <v>CONCLUÍDO</v>
      </c>
      <c r="R56" s="36"/>
    </row>
    <row r="57" spans="1:18" hidden="1">
      <c r="A57" s="16">
        <v>46027</v>
      </c>
      <c r="B57" s="16">
        <v>46029</v>
      </c>
      <c r="C57" s="21" t="s">
        <v>1166</v>
      </c>
      <c r="D57" s="16" t="str">
        <f>IFERROR(VLOOKUP(Tabela5[[#This Row],[PREFIXO ]],Tabela4[#All],2,0),"CENTRO DE CUSTO")</f>
        <v>CENTRO DE CUSTO</v>
      </c>
      <c r="E57" s="18" t="s">
        <v>346</v>
      </c>
      <c r="F57" s="21">
        <v>7</v>
      </c>
      <c r="G57" s="22">
        <v>1555</v>
      </c>
      <c r="H57" s="22"/>
      <c r="I57" s="22">
        <f t="shared" si="1"/>
        <v>1555</v>
      </c>
      <c r="J57" s="18" t="s">
        <v>1113</v>
      </c>
      <c r="K57" s="18" t="s">
        <v>1167</v>
      </c>
      <c r="L57" s="18">
        <v>833274</v>
      </c>
      <c r="M57" s="18" t="s">
        <v>1163</v>
      </c>
      <c r="N57" s="16" t="s">
        <v>1082</v>
      </c>
      <c r="O57" s="18" t="s">
        <v>1095</v>
      </c>
      <c r="P57" s="18" t="s">
        <v>1164</v>
      </c>
      <c r="Q57" s="29" t="str" cm="1">
        <f t="array" ref="Q57">_xlfn.IFS(
A57="","",
AND(A57&lt;&gt;"",B57=""),"FALTA LANÇAMENTO",
AND(B57&lt;&gt;"",M57=""),"FALTA O PEDIDO",
AND(M57&lt;&gt;"",O57=""),"FALTA NF",
O57&lt;&gt;"","CONCLUÍDO")</f>
        <v>CONCLUÍDO</v>
      </c>
      <c r="R57" s="36"/>
    </row>
    <row r="58" spans="1:18" hidden="1">
      <c r="A58" s="16">
        <v>46027</v>
      </c>
      <c r="B58" s="16">
        <v>46029</v>
      </c>
      <c r="C58" s="21" t="s">
        <v>1168</v>
      </c>
      <c r="D58" s="16" t="str">
        <f>IFERROR(VLOOKUP(Tabela5[[#This Row],[PREFIXO ]],Tabela4[#All],2,0),"CENTRO DE CUSTO")</f>
        <v>CENTRO DE CUSTO</v>
      </c>
      <c r="E58" s="18" t="s">
        <v>346</v>
      </c>
      <c r="F58" s="21">
        <v>8</v>
      </c>
      <c r="G58" s="22">
        <v>1553</v>
      </c>
      <c r="H58" s="22"/>
      <c r="I58" s="22">
        <f t="shared" si="1"/>
        <v>1553</v>
      </c>
      <c r="J58" s="18" t="s">
        <v>1113</v>
      </c>
      <c r="K58" s="18" t="s">
        <v>1169</v>
      </c>
      <c r="L58" s="18">
        <v>833274</v>
      </c>
      <c r="M58" s="18" t="s">
        <v>1163</v>
      </c>
      <c r="N58" s="16" t="s">
        <v>1082</v>
      </c>
      <c r="O58" s="18" t="s">
        <v>1095</v>
      </c>
      <c r="P58" s="18" t="s">
        <v>1164</v>
      </c>
      <c r="Q58" s="29" t="str" cm="1">
        <f t="array" ref="Q58">_xlfn.IFS(
A58="","",
AND(A58&lt;&gt;"",B58=""),"FALTA LANÇAMENTO",
AND(B58&lt;&gt;"",M58=""),"FALTA O PEDIDO",
AND(M58&lt;&gt;"",O58=""),"FALTA NF",
O58&lt;&gt;"","CONCLUÍDO")</f>
        <v>CONCLUÍDO</v>
      </c>
      <c r="R58" s="36"/>
    </row>
    <row r="59" spans="1:18" hidden="1">
      <c r="A59" s="16">
        <v>46027</v>
      </c>
      <c r="B59" s="16">
        <v>46029</v>
      </c>
      <c r="C59" s="21" t="s">
        <v>1170</v>
      </c>
      <c r="D59" s="16" t="str">
        <f>IFERROR(VLOOKUP(Tabela5[[#This Row],[PREFIXO ]],Tabela4[#All],2,0),"CENTRO DE CUSTO")</f>
        <v>CENTRO DE CUSTO</v>
      </c>
      <c r="E59" s="18" t="s">
        <v>346</v>
      </c>
      <c r="F59" s="21">
        <v>9</v>
      </c>
      <c r="G59" s="22">
        <v>1551</v>
      </c>
      <c r="H59" s="22"/>
      <c r="I59" s="22">
        <f t="shared" si="1"/>
        <v>1551</v>
      </c>
      <c r="J59" s="18" t="s">
        <v>1113</v>
      </c>
      <c r="K59" s="18" t="s">
        <v>1171</v>
      </c>
      <c r="L59" s="18">
        <v>833274</v>
      </c>
      <c r="M59" s="18" t="s">
        <v>1163</v>
      </c>
      <c r="N59" s="16" t="s">
        <v>1082</v>
      </c>
      <c r="O59" s="18" t="s">
        <v>1095</v>
      </c>
      <c r="P59" s="18" t="s">
        <v>1164</v>
      </c>
      <c r="Q59" s="29" t="str" cm="1">
        <f t="array" ref="Q59">_xlfn.IFS(
A59="","",
AND(A59&lt;&gt;"",B59=""),"FALTA LANÇAMENTO",
AND(B59&lt;&gt;"",M59=""),"FALTA O PEDIDO",
AND(M59&lt;&gt;"",O59=""),"FALTA NF",
O59&lt;&gt;"","CONCLUÍDO")</f>
        <v>CONCLUÍDO</v>
      </c>
      <c r="R59" s="36"/>
    </row>
    <row r="60" spans="1:18" hidden="1">
      <c r="A60" s="16">
        <v>46027</v>
      </c>
      <c r="B60" s="16">
        <v>46029</v>
      </c>
      <c r="C60" s="21">
        <v>51521099</v>
      </c>
      <c r="D60" s="16" t="str">
        <f>IFERROR(VLOOKUP(Tabela5[[#This Row],[PREFIXO ]],Tabela4[#All],2,0),"CENTRO DE CUSTO")</f>
        <v>COLHEIT DE GRÃOS N.HOLLAND CR 8.90</v>
      </c>
      <c r="E60" s="18" t="s">
        <v>346</v>
      </c>
      <c r="F60" s="21">
        <v>3</v>
      </c>
      <c r="G60" s="22">
        <v>743.04</v>
      </c>
      <c r="H60" s="22"/>
      <c r="I60" s="22">
        <f t="shared" si="1"/>
        <v>743.04</v>
      </c>
      <c r="J60" s="18" t="s">
        <v>1113</v>
      </c>
      <c r="K60" s="18">
        <v>9728650</v>
      </c>
      <c r="L60" s="18">
        <v>833274</v>
      </c>
      <c r="M60" s="18" t="s">
        <v>1163</v>
      </c>
      <c r="N60" s="16" t="s">
        <v>1082</v>
      </c>
      <c r="O60" s="18" t="s">
        <v>1095</v>
      </c>
      <c r="P60" s="18" t="s">
        <v>1164</v>
      </c>
      <c r="Q60" s="29" t="str" cm="1">
        <f t="array" ref="Q60">_xlfn.IFS(
A60="","",
AND(A60&lt;&gt;"",B60=""),"FALTA LANÇAMENTO",
AND(B60&lt;&gt;"",M60=""),"FALTA O PEDIDO",
AND(M60&lt;&gt;"",O60=""),"FALTA NF",
O60&lt;&gt;"","CONCLUÍDO")</f>
        <v>CONCLUÍDO</v>
      </c>
      <c r="R60" s="36"/>
    </row>
    <row r="61" spans="1:18" hidden="1">
      <c r="A61" s="16">
        <v>46027</v>
      </c>
      <c r="B61" s="16">
        <v>46029</v>
      </c>
      <c r="C61" s="21">
        <v>51521085</v>
      </c>
      <c r="D61" s="16" t="str">
        <f>IFERROR(VLOOKUP(Tabela5[[#This Row],[PREFIXO ]],Tabela4[#All],2,0),"CENTRO DE CUSTO")</f>
        <v>COLHEIT DE GRÃOS N.HOLLAND CR 8.90</v>
      </c>
      <c r="E61" s="18" t="s">
        <v>346</v>
      </c>
      <c r="F61" s="21">
        <v>2</v>
      </c>
      <c r="G61" s="22">
        <v>693</v>
      </c>
      <c r="H61" s="22"/>
      <c r="I61" s="22">
        <f t="shared" si="1"/>
        <v>693</v>
      </c>
      <c r="J61" s="18" t="s">
        <v>1113</v>
      </c>
      <c r="K61" s="18">
        <v>9728644</v>
      </c>
      <c r="L61" s="18">
        <v>833274</v>
      </c>
      <c r="M61" s="18" t="s">
        <v>1163</v>
      </c>
      <c r="N61" s="16" t="s">
        <v>1082</v>
      </c>
      <c r="O61" s="18" t="s">
        <v>1095</v>
      </c>
      <c r="P61" s="18" t="s">
        <v>1164</v>
      </c>
      <c r="Q61" s="29" t="str" cm="1">
        <f t="array" ref="Q61">_xlfn.IFS(
A61="","",
AND(A61&lt;&gt;"",B61=""),"FALTA LANÇAMENTO",
AND(B61&lt;&gt;"",M61=""),"FALTA O PEDIDO",
AND(M61&lt;&gt;"",O61=""),"FALTA NF",
O61&lt;&gt;"","CONCLUÍDO")</f>
        <v>CONCLUÍDO</v>
      </c>
      <c r="R61" s="36"/>
    </row>
    <row r="62" spans="1:18" hidden="1">
      <c r="A62" s="16">
        <v>46027</v>
      </c>
      <c r="B62" s="16">
        <v>46029</v>
      </c>
      <c r="C62" s="21">
        <v>51521094</v>
      </c>
      <c r="D62" s="16" t="str">
        <f>IFERROR(VLOOKUP(Tabela5[[#This Row],[PREFIXO ]],Tabela4[#All],2,0),"CENTRO DE CUSTO")</f>
        <v>COLHEIT DE GRÃOS N.HOLLAND CR 8.90</v>
      </c>
      <c r="E62" s="18" t="s">
        <v>346</v>
      </c>
      <c r="F62" s="21">
        <v>4</v>
      </c>
      <c r="G62" s="22">
        <v>493.02</v>
      </c>
      <c r="H62" s="22"/>
      <c r="I62" s="22">
        <f t="shared" si="1"/>
        <v>493.02</v>
      </c>
      <c r="J62" s="18" t="s">
        <v>1113</v>
      </c>
      <c r="K62" s="18">
        <v>9728647</v>
      </c>
      <c r="L62" s="18">
        <v>833274</v>
      </c>
      <c r="M62" s="18" t="s">
        <v>1163</v>
      </c>
      <c r="N62" s="16" t="s">
        <v>1082</v>
      </c>
      <c r="O62" s="18" t="s">
        <v>1095</v>
      </c>
      <c r="P62" s="18" t="s">
        <v>1164</v>
      </c>
      <c r="Q62" s="29" t="str" cm="1">
        <f t="array" ref="Q62">_xlfn.IFS(
A62="","",
AND(A62&lt;&gt;"",B62=""),"FALTA LANÇAMENTO",
AND(B62&lt;&gt;"",M62=""),"FALTA O PEDIDO",
AND(M62&lt;&gt;"",O62=""),"FALTA NF",
O62&lt;&gt;"","CONCLUÍDO")</f>
        <v>CONCLUÍDO</v>
      </c>
      <c r="R62" s="36"/>
    </row>
    <row r="63" spans="1:18" hidden="1">
      <c r="A63" s="16">
        <v>46027</v>
      </c>
      <c r="B63" s="16">
        <v>46029</v>
      </c>
      <c r="C63" s="21" t="s">
        <v>1172</v>
      </c>
      <c r="D63" s="16" t="str">
        <f>IFERROR(VLOOKUP(Tabela5[[#This Row],[PREFIXO ]],Tabela4[#All],2,0),"CENTRO DE CUSTO")</f>
        <v>CENTRO DE CUSTO</v>
      </c>
      <c r="E63" s="18" t="s">
        <v>346</v>
      </c>
      <c r="F63" s="21">
        <v>5</v>
      </c>
      <c r="G63" s="22">
        <v>8262</v>
      </c>
      <c r="H63" s="22"/>
      <c r="I63" s="22"/>
      <c r="J63" s="18" t="s">
        <v>1113</v>
      </c>
      <c r="K63" s="18" t="s">
        <v>1173</v>
      </c>
      <c r="L63" s="18">
        <v>833274</v>
      </c>
      <c r="M63" s="18" t="s">
        <v>1163</v>
      </c>
      <c r="N63" s="16" t="s">
        <v>1082</v>
      </c>
      <c r="O63" s="18" t="s">
        <v>1095</v>
      </c>
      <c r="P63" s="18" t="s">
        <v>1164</v>
      </c>
      <c r="Q63" s="29" t="str" cm="1">
        <f t="array" ref="Q63">_xlfn.IFS(
A63="","",
AND(A63&lt;&gt;"",B63=""),"FALTA LANÇAMENTO",
AND(B63&lt;&gt;"",M63=""),"FALTA O PEDIDO",
AND(M63&lt;&gt;"",O63=""),"FALTA NF",
O63&lt;&gt;"","CONCLUÍDO")</f>
        <v>CONCLUÍDO</v>
      </c>
      <c r="R63" s="36"/>
    </row>
    <row r="64" spans="1:18" hidden="1">
      <c r="A64" s="16">
        <v>46029</v>
      </c>
      <c r="B64" s="16">
        <v>46035</v>
      </c>
      <c r="C64" s="21" t="s">
        <v>1174</v>
      </c>
      <c r="D64" s="16" t="str">
        <f>IFERROR(VLOOKUP(Tabela5[[#This Row],[PREFIXO ]],Tabela4[#All],2,0),"CENTRO DE CUSTO")</f>
        <v>CENTRO DE CUSTO</v>
      </c>
      <c r="E64" s="18" t="s">
        <v>11</v>
      </c>
      <c r="F64" s="21">
        <v>339</v>
      </c>
      <c r="G64" s="22">
        <v>21240</v>
      </c>
      <c r="H64" s="22"/>
      <c r="I64" s="22">
        <f t="shared" ref="I64:I127" si="2">G64+H64</f>
        <v>21240</v>
      </c>
      <c r="J64" s="18" t="s">
        <v>1080</v>
      </c>
      <c r="K64" s="18" t="s">
        <v>1134</v>
      </c>
      <c r="L64" s="18" t="s">
        <v>1175</v>
      </c>
      <c r="M64" s="18" t="s">
        <v>1176</v>
      </c>
      <c r="N64" s="16">
        <v>46014</v>
      </c>
      <c r="O64" s="18" t="s">
        <v>1095</v>
      </c>
      <c r="P64" s="18" t="s">
        <v>1177</v>
      </c>
      <c r="Q64" s="29" t="str" cm="1">
        <f t="array" ref="Q64">_xlfn.IFS(
A64="","",
AND(A64&lt;&gt;"",B64=""),"FALTA LANÇAMENTO",
AND(B64&lt;&gt;"",M64=""),"FALTA O PEDIDO",
AND(M64&lt;&gt;"",O64=""),"FALTA NF",
O64&lt;&gt;"","CONCLUÍDO")</f>
        <v>CONCLUÍDO</v>
      </c>
      <c r="R64" s="36"/>
    </row>
    <row r="65" spans="1:18" hidden="1">
      <c r="A65" s="16">
        <v>46029</v>
      </c>
      <c r="B65" s="16">
        <v>46037</v>
      </c>
      <c r="C65" s="21">
        <v>31521038</v>
      </c>
      <c r="D65" s="16" t="str">
        <f>IFERROR(VLOOKUP(Tabela5[[#This Row],[PREFIXO ]],Tabela4[#All],2,0),"CENTRO DE CUSTO")</f>
        <v>ADUB AUTOPROP KUHN ACCURA ST 7000</v>
      </c>
      <c r="E65" s="18" t="s">
        <v>11</v>
      </c>
      <c r="F65" s="21">
        <v>334</v>
      </c>
      <c r="G65" s="22">
        <v>7700</v>
      </c>
      <c r="H65" s="22">
        <v>2511.9499999999998</v>
      </c>
      <c r="I65" s="22">
        <f t="shared" si="2"/>
        <v>10211.950000000001</v>
      </c>
      <c r="J65" s="18" t="s">
        <v>1080</v>
      </c>
      <c r="K65" s="18">
        <v>9735087</v>
      </c>
      <c r="L65" s="18">
        <v>839782</v>
      </c>
      <c r="M65" s="18" t="s">
        <v>1178</v>
      </c>
      <c r="N65" s="16" t="s">
        <v>1179</v>
      </c>
      <c r="O65" s="18" t="s">
        <v>1095</v>
      </c>
      <c r="P65" s="18" t="s">
        <v>1180</v>
      </c>
      <c r="Q65" s="29" t="str" cm="1">
        <f t="array" ref="Q65">_xlfn.IFS(
A65="","",
AND(A65&lt;&gt;"",B65=""),"FALTA LANÇAMENTO",
AND(B65&lt;&gt;"",M65=""),"FALTA O PEDIDO",
AND(M65&lt;&gt;"",O65=""),"FALTA NF",
O65&lt;&gt;"","CONCLUÍDO")</f>
        <v>CONCLUÍDO</v>
      </c>
      <c r="R65" s="36"/>
    </row>
    <row r="66" spans="1:18" hidden="1">
      <c r="A66" s="16">
        <v>46029</v>
      </c>
      <c r="B66" s="16">
        <v>46036</v>
      </c>
      <c r="C66" s="21">
        <v>31521014</v>
      </c>
      <c r="D66" s="16" t="str">
        <f>IFERROR(VLOOKUP(Tabela5[[#This Row],[PREFIXO ]],Tabela4[#All],2,0),"CENTRO DE CUSTO")</f>
        <v>PULV AUTOPROP JACTO UNIPORT 3030</v>
      </c>
      <c r="E66" s="18" t="s">
        <v>49</v>
      </c>
      <c r="F66" s="21" t="s">
        <v>1181</v>
      </c>
      <c r="G66" s="22">
        <v>5250</v>
      </c>
      <c r="H66" s="22"/>
      <c r="I66" s="22">
        <f t="shared" si="2"/>
        <v>5250</v>
      </c>
      <c r="J66" s="18" t="s">
        <v>1080</v>
      </c>
      <c r="K66" s="18">
        <v>9734852</v>
      </c>
      <c r="L66" s="18">
        <v>838731</v>
      </c>
      <c r="M66" s="18" t="s">
        <v>1182</v>
      </c>
      <c r="N66" s="16" t="s">
        <v>1118</v>
      </c>
      <c r="O66" s="18" t="s">
        <v>1095</v>
      </c>
      <c r="P66" s="18" t="s">
        <v>1118</v>
      </c>
      <c r="Q66" s="29" t="str" cm="1">
        <f t="array" ref="Q66">_xlfn.IFS(
A66="","",
AND(A66&lt;&gt;"",B66=""),"FALTA LANÇAMENTO",
AND(B66&lt;&gt;"",M66=""),"FALTA O PEDIDO",
AND(M66&lt;&gt;"",O66=""),"FALTA NF",
O66&lt;&gt;"","CONCLUÍDO")</f>
        <v>CONCLUÍDO</v>
      </c>
      <c r="R66" s="36"/>
    </row>
    <row r="67" spans="1:18" hidden="1">
      <c r="A67" s="16">
        <v>46029</v>
      </c>
      <c r="B67" s="16">
        <v>46036</v>
      </c>
      <c r="C67" s="21">
        <v>31521010</v>
      </c>
      <c r="D67" s="16" t="str">
        <f>IFERROR(VLOOKUP(Tabela5[[#This Row],[PREFIXO ]],Tabela4[#All],2,0),"CENTRO DE CUSTO")</f>
        <v>PULV AUTOPROP JACTO UNIPORT 3030</v>
      </c>
      <c r="E67" s="18" t="s">
        <v>49</v>
      </c>
      <c r="F67" s="21" t="s">
        <v>1183</v>
      </c>
      <c r="G67" s="22">
        <v>3825</v>
      </c>
      <c r="H67" s="22"/>
      <c r="I67" s="22">
        <f t="shared" si="2"/>
        <v>3825</v>
      </c>
      <c r="J67" s="18" t="s">
        <v>1080</v>
      </c>
      <c r="K67" s="18">
        <v>9734899</v>
      </c>
      <c r="L67" s="18">
        <v>838731</v>
      </c>
      <c r="M67" s="18" t="s">
        <v>1182</v>
      </c>
      <c r="N67" s="16" t="s">
        <v>1118</v>
      </c>
      <c r="O67" s="18" t="s">
        <v>1095</v>
      </c>
      <c r="P67" s="18" t="s">
        <v>1118</v>
      </c>
      <c r="Q67" s="29" t="str" cm="1">
        <f t="array" ref="Q67">_xlfn.IFS(
A67="","",
AND(A67&lt;&gt;"",B67=""),"FALTA LANÇAMENTO",
AND(B67&lt;&gt;"",M67=""),"FALTA O PEDIDO",
AND(M67&lt;&gt;"",O67=""),"FALTA NF",
O67&lt;&gt;"","CONCLUÍDO")</f>
        <v>CONCLUÍDO</v>
      </c>
      <c r="R67" s="36"/>
    </row>
    <row r="68" spans="1:18" hidden="1">
      <c r="A68" s="16">
        <v>46029</v>
      </c>
      <c r="B68" s="16">
        <v>46036</v>
      </c>
      <c r="C68" s="21">
        <v>31521020</v>
      </c>
      <c r="D68" s="16" t="str">
        <f>IFERROR(VLOOKUP(Tabela5[[#This Row],[PREFIXO ]],Tabela4[#All],2,0),"CENTRO DE CUSTO")</f>
        <v>PULV AUTOPROP JACTO UNIPORT 3030</v>
      </c>
      <c r="E68" s="18" t="s">
        <v>49</v>
      </c>
      <c r="F68" s="21" t="s">
        <v>1184</v>
      </c>
      <c r="G68" s="22">
        <v>3690</v>
      </c>
      <c r="H68" s="22"/>
      <c r="I68" s="22">
        <f t="shared" si="2"/>
        <v>3690</v>
      </c>
      <c r="J68" s="18" t="s">
        <v>1080</v>
      </c>
      <c r="K68" s="18">
        <v>9734888</v>
      </c>
      <c r="L68" s="18">
        <v>838731</v>
      </c>
      <c r="M68" s="18" t="s">
        <v>1182</v>
      </c>
      <c r="N68" s="16" t="s">
        <v>1118</v>
      </c>
      <c r="O68" s="18" t="s">
        <v>1095</v>
      </c>
      <c r="P68" s="18" t="s">
        <v>1118</v>
      </c>
      <c r="Q68" s="29" t="str" cm="1">
        <f t="array" ref="Q68">_xlfn.IFS(
A68="","",
AND(A68&lt;&gt;"",B68=""),"FALTA LANÇAMENTO",
AND(B68&lt;&gt;"",M68=""),"FALTA O PEDIDO",
AND(M68&lt;&gt;"",O68=""),"FALTA NF",
O68&lt;&gt;"","CONCLUÍDO")</f>
        <v>CONCLUÍDO</v>
      </c>
      <c r="R68" s="36"/>
    </row>
    <row r="69" spans="1:18" hidden="1">
      <c r="A69" s="16">
        <v>46029</v>
      </c>
      <c r="B69" s="16">
        <v>46036</v>
      </c>
      <c r="C69" s="21">
        <v>31521009</v>
      </c>
      <c r="D69" s="16" t="str">
        <f>IFERROR(VLOOKUP(Tabela5[[#This Row],[PREFIXO ]],Tabela4[#All],2,0),"CENTRO DE CUSTO")</f>
        <v>PULV AUTOPROP JACTO UNIPORT 3030</v>
      </c>
      <c r="E69" s="18" t="s">
        <v>49</v>
      </c>
      <c r="F69" s="21" t="s">
        <v>1185</v>
      </c>
      <c r="G69" s="22">
        <v>3465</v>
      </c>
      <c r="H69" s="22"/>
      <c r="I69" s="22">
        <f t="shared" si="2"/>
        <v>3465</v>
      </c>
      <c r="J69" s="18" t="s">
        <v>1080</v>
      </c>
      <c r="K69" s="18">
        <v>9734841</v>
      </c>
      <c r="L69" s="18">
        <v>838731</v>
      </c>
      <c r="M69" s="18" t="s">
        <v>1182</v>
      </c>
      <c r="N69" s="16" t="s">
        <v>1118</v>
      </c>
      <c r="O69" s="18" t="s">
        <v>1095</v>
      </c>
      <c r="P69" s="18" t="s">
        <v>1118</v>
      </c>
      <c r="Q69" s="29" t="str" cm="1">
        <f t="array" ref="Q69">_xlfn.IFS(
A69="","",
AND(A69&lt;&gt;"",B69=""),"FALTA LANÇAMENTO",
AND(B69&lt;&gt;"",M69=""),"FALTA O PEDIDO",
AND(M69&lt;&gt;"",O69=""),"FALTA NF",
O69&lt;&gt;"","CONCLUÍDO")</f>
        <v>CONCLUÍDO</v>
      </c>
      <c r="R69" s="36"/>
    </row>
    <row r="70" spans="1:18" hidden="1">
      <c r="A70" s="16">
        <v>46029</v>
      </c>
      <c r="B70" s="16">
        <v>46036</v>
      </c>
      <c r="C70" s="21">
        <v>31521009</v>
      </c>
      <c r="D70" s="16" t="str">
        <f>IFERROR(VLOOKUP(Tabela5[[#This Row],[PREFIXO ]],Tabela4[#All],2,0),"CENTRO DE CUSTO")</f>
        <v>PULV AUTOPROP JACTO UNIPORT 3030</v>
      </c>
      <c r="E70" s="18" t="s">
        <v>49</v>
      </c>
      <c r="F70" s="21" t="s">
        <v>1186</v>
      </c>
      <c r="G70" s="22">
        <v>2475</v>
      </c>
      <c r="H70" s="22"/>
      <c r="I70" s="22">
        <f t="shared" si="2"/>
        <v>2475</v>
      </c>
      <c r="J70" s="18" t="s">
        <v>1080</v>
      </c>
      <c r="K70" s="18">
        <v>9734891</v>
      </c>
      <c r="L70" s="18">
        <v>838731</v>
      </c>
      <c r="M70" s="18" t="s">
        <v>1182</v>
      </c>
      <c r="N70" s="16" t="s">
        <v>1118</v>
      </c>
      <c r="O70" s="18" t="s">
        <v>1095</v>
      </c>
      <c r="P70" s="18" t="s">
        <v>1118</v>
      </c>
      <c r="Q70" s="29" t="str" cm="1">
        <f t="array" ref="Q70">_xlfn.IFS(
A70="","",
AND(A70&lt;&gt;"",B70=""),"FALTA LANÇAMENTO",
AND(B70&lt;&gt;"",M70=""),"FALTA O PEDIDO",
AND(M70&lt;&gt;"",O70=""),"FALTA NF",
O70&lt;&gt;"","CONCLUÍDO")</f>
        <v>CONCLUÍDO</v>
      </c>
      <c r="R70" s="36"/>
    </row>
    <row r="71" spans="1:18" hidden="1">
      <c r="A71" s="16">
        <v>46029</v>
      </c>
      <c r="B71" s="16">
        <v>46036</v>
      </c>
      <c r="C71" s="21">
        <v>31521009</v>
      </c>
      <c r="D71" s="16" t="str">
        <f>IFERROR(VLOOKUP(Tabela5[[#This Row],[PREFIXO ]],Tabela4[#All],2,0),"CENTRO DE CUSTO")</f>
        <v>PULV AUTOPROP JACTO UNIPORT 3030</v>
      </c>
      <c r="E71" s="18" t="s">
        <v>49</v>
      </c>
      <c r="F71" s="21" t="s">
        <v>1187</v>
      </c>
      <c r="G71" s="22">
        <v>1845</v>
      </c>
      <c r="H71" s="22"/>
      <c r="I71" s="22">
        <f t="shared" si="2"/>
        <v>1845</v>
      </c>
      <c r="J71" s="18" t="s">
        <v>1080</v>
      </c>
      <c r="K71" s="18">
        <v>9734883</v>
      </c>
      <c r="L71" s="18">
        <v>838731</v>
      </c>
      <c r="M71" s="18" t="s">
        <v>1182</v>
      </c>
      <c r="N71" s="16" t="s">
        <v>1118</v>
      </c>
      <c r="O71" s="18" t="s">
        <v>1095</v>
      </c>
      <c r="P71" s="18" t="s">
        <v>1118</v>
      </c>
      <c r="Q71" s="29" t="str" cm="1">
        <f t="array" ref="Q71">_xlfn.IFS(
A71="","",
AND(A71&lt;&gt;"",B71=""),"FALTA LANÇAMENTO",
AND(B71&lt;&gt;"",M71=""),"FALTA O PEDIDO",
AND(M71&lt;&gt;"",O71=""),"FALTA NF",
O71&lt;&gt;"","CONCLUÍDO")</f>
        <v>CONCLUÍDO</v>
      </c>
      <c r="R71" s="36"/>
    </row>
    <row r="72" spans="1:18" hidden="1">
      <c r="A72" s="16">
        <v>46029</v>
      </c>
      <c r="B72" s="16">
        <v>46036</v>
      </c>
      <c r="C72" s="21">
        <v>31521012</v>
      </c>
      <c r="D72" s="16" t="str">
        <f>IFERROR(VLOOKUP(Tabela5[[#This Row],[PREFIXO ]],Tabela4[#All],2,0),"CENTRO DE CUSTO")</f>
        <v>PULV AUTOPROP JACTO UNIPORT 3030</v>
      </c>
      <c r="E72" s="18" t="s">
        <v>49</v>
      </c>
      <c r="F72" s="21" t="s">
        <v>1188</v>
      </c>
      <c r="G72" s="22">
        <v>1575</v>
      </c>
      <c r="H72" s="22"/>
      <c r="I72" s="22">
        <f t="shared" si="2"/>
        <v>1575</v>
      </c>
      <c r="J72" s="18" t="s">
        <v>1080</v>
      </c>
      <c r="K72" s="18">
        <v>9734857</v>
      </c>
      <c r="L72" s="18">
        <v>838731</v>
      </c>
      <c r="M72" s="18" t="s">
        <v>1182</v>
      </c>
      <c r="N72" s="16" t="s">
        <v>1118</v>
      </c>
      <c r="O72" s="18" t="s">
        <v>1095</v>
      </c>
      <c r="P72" s="18" t="s">
        <v>1118</v>
      </c>
      <c r="Q72" s="29" t="str" cm="1">
        <f t="array" ref="Q72">_xlfn.IFS(
A72="","",
AND(A72&lt;&gt;"",B72=""),"FALTA LANÇAMENTO",
AND(B72&lt;&gt;"",M72=""),"FALTA O PEDIDO",
AND(M72&lt;&gt;"",O72=""),"FALTA NF",
O72&lt;&gt;"","CONCLUÍDO")</f>
        <v>CONCLUÍDO</v>
      </c>
      <c r="R72" s="36"/>
    </row>
    <row r="73" spans="1:18" hidden="1">
      <c r="A73" s="16">
        <v>46029</v>
      </c>
      <c r="B73" s="16">
        <v>46036</v>
      </c>
      <c r="C73" s="21">
        <v>31521046</v>
      </c>
      <c r="D73" s="16" t="str">
        <f>IFERROR(VLOOKUP(Tabela5[[#This Row],[PREFIXO ]],Tabela4[#All],2,0),"CENTRO DE CUSTO")</f>
        <v>PULV AUTOPROP JACTO UNIPORT 3030</v>
      </c>
      <c r="E73" s="18" t="s">
        <v>49</v>
      </c>
      <c r="F73" s="21" t="s">
        <v>1189</v>
      </c>
      <c r="G73" s="22">
        <v>1575</v>
      </c>
      <c r="H73" s="22"/>
      <c r="I73" s="22">
        <f t="shared" si="2"/>
        <v>1575</v>
      </c>
      <c r="J73" s="18" t="s">
        <v>1080</v>
      </c>
      <c r="K73" s="18">
        <v>9734887</v>
      </c>
      <c r="L73" s="18">
        <v>838731</v>
      </c>
      <c r="M73" s="18" t="s">
        <v>1182</v>
      </c>
      <c r="N73" s="16" t="s">
        <v>1118</v>
      </c>
      <c r="O73" s="18" t="s">
        <v>1095</v>
      </c>
      <c r="P73" s="18" t="s">
        <v>1118</v>
      </c>
      <c r="Q73" s="29" t="str" cm="1">
        <f t="array" ref="Q73">_xlfn.IFS(
A73="","",
AND(A73&lt;&gt;"",B73=""),"FALTA LANÇAMENTO",
AND(B73&lt;&gt;"",M73=""),"FALTA O PEDIDO",
AND(M73&lt;&gt;"",O73=""),"FALTA NF",
O73&lt;&gt;"","CONCLUÍDO")</f>
        <v>CONCLUÍDO</v>
      </c>
      <c r="R73" s="36"/>
    </row>
    <row r="74" spans="1:18" hidden="1">
      <c r="A74" s="16">
        <v>46029</v>
      </c>
      <c r="B74" s="16">
        <v>46036</v>
      </c>
      <c r="C74" s="21">
        <v>31521009</v>
      </c>
      <c r="D74" s="16" t="str">
        <f>IFERROR(VLOOKUP(Tabela5[[#This Row],[PREFIXO ]],Tabela4[#All],2,0),"CENTRO DE CUSTO")</f>
        <v>PULV AUTOPROP JACTO UNIPORT 3030</v>
      </c>
      <c r="E74" s="18" t="s">
        <v>49</v>
      </c>
      <c r="F74" s="21" t="s">
        <v>1190</v>
      </c>
      <c r="G74" s="22">
        <v>1125</v>
      </c>
      <c r="H74" s="22"/>
      <c r="I74" s="22">
        <f t="shared" si="2"/>
        <v>1125</v>
      </c>
      <c r="J74" s="18" t="s">
        <v>1080</v>
      </c>
      <c r="K74" s="18">
        <v>9734844</v>
      </c>
      <c r="L74" s="18">
        <v>838731</v>
      </c>
      <c r="M74" s="18" t="s">
        <v>1182</v>
      </c>
      <c r="N74" s="16" t="s">
        <v>1118</v>
      </c>
      <c r="O74" s="18" t="s">
        <v>1095</v>
      </c>
      <c r="P74" s="18" t="s">
        <v>1118</v>
      </c>
      <c r="Q74" s="29" t="str" cm="1">
        <f t="array" ref="Q74">_xlfn.IFS(
A74="","",
AND(A74&lt;&gt;"",B74=""),"FALTA LANÇAMENTO",
AND(B74&lt;&gt;"",M74=""),"FALTA O PEDIDO",
AND(M74&lt;&gt;"",O74=""),"FALTA NF",
O74&lt;&gt;"","CONCLUÍDO")</f>
        <v>CONCLUÍDO</v>
      </c>
      <c r="R74" s="36"/>
    </row>
    <row r="75" spans="1:18" hidden="1">
      <c r="A75" s="16">
        <v>46029</v>
      </c>
      <c r="B75" s="16">
        <v>46036</v>
      </c>
      <c r="C75" s="21">
        <v>35005012</v>
      </c>
      <c r="D75" s="16" t="str">
        <f>IFERROR(VLOOKUP(Tabela5[[#This Row],[PREFIXO ]],Tabela4[#All],2,0),"CENTRO DE CUSTO")</f>
        <v>PULV AUTOPROP JACTO UNIPORT 3030</v>
      </c>
      <c r="E75" s="18" t="s">
        <v>49</v>
      </c>
      <c r="F75" s="21" t="s">
        <v>1191</v>
      </c>
      <c r="G75" s="22">
        <v>1125</v>
      </c>
      <c r="H75" s="22"/>
      <c r="I75" s="22">
        <f t="shared" si="2"/>
        <v>1125</v>
      </c>
      <c r="J75" s="18" t="s">
        <v>1080</v>
      </c>
      <c r="K75" s="18">
        <v>9734854</v>
      </c>
      <c r="L75" s="18">
        <v>838731</v>
      </c>
      <c r="M75" s="18" t="s">
        <v>1182</v>
      </c>
      <c r="N75" s="16" t="s">
        <v>1118</v>
      </c>
      <c r="O75" s="18" t="s">
        <v>1095</v>
      </c>
      <c r="P75" s="18" t="s">
        <v>1118</v>
      </c>
      <c r="Q75" s="29" t="str" cm="1">
        <f t="array" ref="Q75">_xlfn.IFS(
A75="","",
AND(A75&lt;&gt;"",B75=""),"FALTA LANÇAMENTO",
AND(B75&lt;&gt;"",M75=""),"FALTA O PEDIDO",
AND(M75&lt;&gt;"",O75=""),"FALTA NF",
O75&lt;&gt;"","CONCLUÍDO")</f>
        <v>CONCLUÍDO</v>
      </c>
      <c r="R75" s="36"/>
    </row>
    <row r="76" spans="1:18" hidden="1">
      <c r="A76" s="16">
        <v>46029</v>
      </c>
      <c r="B76" s="16">
        <v>46036</v>
      </c>
      <c r="C76" s="21">
        <v>35005014</v>
      </c>
      <c r="D76" s="16" t="str">
        <f>IFERROR(VLOOKUP(Tabela5[[#This Row],[PREFIXO ]],Tabela4[#All],2,0),"CENTRO DE CUSTO")</f>
        <v>PULV AUTOPROP JACTO UNIPORT 3030</v>
      </c>
      <c r="E76" s="18" t="s">
        <v>49</v>
      </c>
      <c r="F76" s="21" t="s">
        <v>1192</v>
      </c>
      <c r="G76" s="22">
        <v>1125</v>
      </c>
      <c r="H76" s="22"/>
      <c r="I76" s="22">
        <f t="shared" si="2"/>
        <v>1125</v>
      </c>
      <c r="J76" s="18" t="s">
        <v>1080</v>
      </c>
      <c r="K76" s="18">
        <v>9734892</v>
      </c>
      <c r="L76" s="18">
        <v>838731</v>
      </c>
      <c r="M76" s="18" t="s">
        <v>1182</v>
      </c>
      <c r="N76" s="16" t="s">
        <v>1118</v>
      </c>
      <c r="O76" s="18" t="s">
        <v>1095</v>
      </c>
      <c r="P76" s="18" t="s">
        <v>1118</v>
      </c>
      <c r="Q76" s="29" t="str" cm="1">
        <f t="array" ref="Q76">_xlfn.IFS(
A76="","",
AND(A76&lt;&gt;"",B76=""),"FALTA LANÇAMENTO",
AND(B76&lt;&gt;"",M76=""),"FALTA O PEDIDO",
AND(M76&lt;&gt;"",O76=""),"FALTA NF",
O76&lt;&gt;"","CONCLUÍDO")</f>
        <v>CONCLUÍDO</v>
      </c>
      <c r="R76" s="36"/>
    </row>
    <row r="77" spans="1:18" hidden="1">
      <c r="A77" s="16">
        <v>46029</v>
      </c>
      <c r="B77" s="16">
        <v>46036</v>
      </c>
      <c r="C77" s="21">
        <v>35005016</v>
      </c>
      <c r="D77" s="16" t="str">
        <f>IFERROR(VLOOKUP(Tabela5[[#This Row],[PREFIXO ]],Tabela4[#All],2,0),"CENTRO DE CUSTO")</f>
        <v>PULV AUTOPROP JACTO UNIPORT 3030</v>
      </c>
      <c r="E77" s="18" t="s">
        <v>49</v>
      </c>
      <c r="F77" s="21" t="s">
        <v>1193</v>
      </c>
      <c r="G77" s="22">
        <v>800</v>
      </c>
      <c r="H77" s="22"/>
      <c r="I77" s="22">
        <f t="shared" si="2"/>
        <v>800</v>
      </c>
      <c r="J77" s="18" t="s">
        <v>1080</v>
      </c>
      <c r="K77" s="18">
        <v>9734882</v>
      </c>
      <c r="L77" s="18">
        <v>838731</v>
      </c>
      <c r="M77" s="18" t="s">
        <v>1182</v>
      </c>
      <c r="N77" s="16" t="s">
        <v>1118</v>
      </c>
      <c r="O77" s="18" t="s">
        <v>1095</v>
      </c>
      <c r="P77" s="18" t="s">
        <v>1118</v>
      </c>
      <c r="Q77" s="29" t="str" cm="1">
        <f t="array" ref="Q77">_xlfn.IFS(
A77="","",
AND(A77&lt;&gt;"",B77=""),"FALTA LANÇAMENTO",
AND(B77&lt;&gt;"",M77=""),"FALTA O PEDIDO",
AND(M77&lt;&gt;"",O77=""),"FALTA NF",
O77&lt;&gt;"","CONCLUÍDO")</f>
        <v>CONCLUÍDO</v>
      </c>
      <c r="R77" s="36"/>
    </row>
    <row r="78" spans="1:18" hidden="1">
      <c r="A78" s="16">
        <v>46029</v>
      </c>
      <c r="B78" s="16">
        <v>46036</v>
      </c>
      <c r="C78" s="21">
        <v>31521009</v>
      </c>
      <c r="D78" s="16" t="str">
        <f>IFERROR(VLOOKUP(Tabela5[[#This Row],[PREFIXO ]],Tabela4[#All],2,0),"CENTRO DE CUSTO")</f>
        <v>PULV AUTOPROP JACTO UNIPORT 3030</v>
      </c>
      <c r="E78" s="18" t="s">
        <v>49</v>
      </c>
      <c r="F78" s="21" t="s">
        <v>1194</v>
      </c>
      <c r="G78" s="22">
        <v>800</v>
      </c>
      <c r="H78" s="22"/>
      <c r="I78" s="22">
        <f t="shared" si="2"/>
        <v>800</v>
      </c>
      <c r="J78" s="18" t="s">
        <v>1080</v>
      </c>
      <c r="K78" s="18">
        <v>9734889</v>
      </c>
      <c r="L78" s="18">
        <v>838731</v>
      </c>
      <c r="M78" s="18" t="s">
        <v>1182</v>
      </c>
      <c r="N78" s="16" t="s">
        <v>1118</v>
      </c>
      <c r="O78" s="18" t="s">
        <v>1095</v>
      </c>
      <c r="P78" s="18" t="s">
        <v>1118</v>
      </c>
      <c r="Q78" s="29" t="str" cm="1">
        <f t="array" ref="Q78">_xlfn.IFS(
A78="","",
AND(A78&lt;&gt;"",B78=""),"FALTA LANÇAMENTO",
AND(B78&lt;&gt;"",M78=""),"FALTA O PEDIDO",
AND(M78&lt;&gt;"",O78=""),"FALTA NF",
O78&lt;&gt;"","CONCLUÍDO")</f>
        <v>CONCLUÍDO</v>
      </c>
      <c r="R78" s="36"/>
    </row>
    <row r="79" spans="1:18" hidden="1">
      <c r="A79" s="16">
        <v>46029</v>
      </c>
      <c r="B79" s="16">
        <v>46036</v>
      </c>
      <c r="C79" s="21">
        <v>35005016</v>
      </c>
      <c r="D79" s="16" t="str">
        <f>IFERROR(VLOOKUP(Tabela5[[#This Row],[PREFIXO ]],Tabela4[#All],2,0),"CENTRO DE CUSTO")</f>
        <v>PULV AUTOPROP JACTO UNIPORT 3030</v>
      </c>
      <c r="E79" s="18" t="s">
        <v>49</v>
      </c>
      <c r="F79" s="21" t="s">
        <v>1195</v>
      </c>
      <c r="G79" s="22">
        <v>800</v>
      </c>
      <c r="H79" s="22"/>
      <c r="I79" s="22">
        <f t="shared" si="2"/>
        <v>800</v>
      </c>
      <c r="J79" s="18" t="s">
        <v>1080</v>
      </c>
      <c r="K79" s="18">
        <v>9734890</v>
      </c>
      <c r="L79" s="18">
        <v>838731</v>
      </c>
      <c r="M79" s="18" t="s">
        <v>1182</v>
      </c>
      <c r="N79" s="16" t="s">
        <v>1118</v>
      </c>
      <c r="O79" s="18" t="s">
        <v>1095</v>
      </c>
      <c r="P79" s="18" t="s">
        <v>1118</v>
      </c>
      <c r="Q79" s="29" t="str" cm="1">
        <f t="array" ref="Q79">_xlfn.IFS(
A79="","",
AND(A79&lt;&gt;"",B79=""),"FALTA LANÇAMENTO",
AND(B79&lt;&gt;"",M79=""),"FALTA O PEDIDO",
AND(M79&lt;&gt;"",O79=""),"FALTA NF",
O79&lt;&gt;"","CONCLUÍDO")</f>
        <v>CONCLUÍDO</v>
      </c>
      <c r="R79" s="36"/>
    </row>
    <row r="80" spans="1:18" hidden="1">
      <c r="A80" s="16">
        <v>46029</v>
      </c>
      <c r="B80" s="16">
        <v>46036</v>
      </c>
      <c r="C80" s="21">
        <v>35005015</v>
      </c>
      <c r="D80" s="16" t="str">
        <f>IFERROR(VLOOKUP(Tabela5[[#This Row],[PREFIXO ]],Tabela4[#All],2,0),"CENTRO DE CUSTO")</f>
        <v>PULV AUTOPROP JACTO UNIPORT 3030</v>
      </c>
      <c r="E80" s="18" t="s">
        <v>49</v>
      </c>
      <c r="F80" s="21" t="s">
        <v>1196</v>
      </c>
      <c r="G80" s="22">
        <v>400</v>
      </c>
      <c r="H80" s="22"/>
      <c r="I80" s="22">
        <f t="shared" si="2"/>
        <v>400</v>
      </c>
      <c r="J80" s="18" t="s">
        <v>1080</v>
      </c>
      <c r="K80" s="18">
        <v>9734880</v>
      </c>
      <c r="L80" s="18">
        <v>838731</v>
      </c>
      <c r="M80" s="18" t="s">
        <v>1182</v>
      </c>
      <c r="N80" s="16" t="s">
        <v>1118</v>
      </c>
      <c r="O80" s="18" t="s">
        <v>1095</v>
      </c>
      <c r="P80" s="18" t="s">
        <v>1118</v>
      </c>
      <c r="Q80" s="29" t="str" cm="1">
        <f t="array" ref="Q80">_xlfn.IFS(
A80="","",
AND(A80&lt;&gt;"",B80=""),"FALTA LANÇAMENTO",
AND(B80&lt;&gt;"",M80=""),"FALTA O PEDIDO",
AND(M80&lt;&gt;"",O80=""),"FALTA NF",
O80&lt;&gt;"","CONCLUÍDO")</f>
        <v>CONCLUÍDO</v>
      </c>
      <c r="R80" s="36"/>
    </row>
    <row r="81" spans="1:18" hidden="1">
      <c r="A81" s="16">
        <v>46029</v>
      </c>
      <c r="B81" s="16">
        <v>46037</v>
      </c>
      <c r="C81" s="21">
        <v>31509018</v>
      </c>
      <c r="D81" s="16" t="str">
        <f>IFERROR(VLOOKUP(Tabela5[[#This Row],[PREFIXO ]],Tabela4[#All],2,0),"CENTRO DE CUSTO")</f>
        <v>CENTRO DE CUSTO</v>
      </c>
      <c r="E81" s="18" t="s">
        <v>49</v>
      </c>
      <c r="F81" s="21" t="s">
        <v>1197</v>
      </c>
      <c r="G81" s="22">
        <v>370</v>
      </c>
      <c r="H81" s="22"/>
      <c r="I81" s="22">
        <f t="shared" si="2"/>
        <v>370</v>
      </c>
      <c r="J81" s="18" t="s">
        <v>1080</v>
      </c>
      <c r="K81" s="18">
        <v>9735032</v>
      </c>
      <c r="L81" s="18">
        <v>840385</v>
      </c>
      <c r="M81" s="18" t="s">
        <v>1198</v>
      </c>
      <c r="N81" s="16" t="s">
        <v>1118</v>
      </c>
      <c r="O81" s="18" t="s">
        <v>1095</v>
      </c>
      <c r="P81" s="18" t="s">
        <v>1179</v>
      </c>
      <c r="Q81" s="29" t="str" cm="1">
        <f t="array" ref="Q81">_xlfn.IFS(
A81="","",
AND(A81&lt;&gt;"",B81=""),"FALTA LANÇAMENTO",
AND(B81&lt;&gt;"",M81=""),"FALTA O PEDIDO",
AND(M81&lt;&gt;"",O81=""),"FALTA NF",
O81&lt;&gt;"","CONCLUÍDO")</f>
        <v>CONCLUÍDO</v>
      </c>
      <c r="R81" s="36"/>
    </row>
    <row r="82" spans="1:18" hidden="1">
      <c r="A82" s="16">
        <v>46029</v>
      </c>
      <c r="B82" s="16">
        <v>46037</v>
      </c>
      <c r="C82" s="21">
        <v>500580579</v>
      </c>
      <c r="D82" s="16" t="str">
        <f>IFERROR(VLOOKUP(Tabela5[[#This Row],[PREFIXO ]],Tabela4[#All],2,0),"CENTRO DE CUSTO")</f>
        <v>Pátio de Vendas</v>
      </c>
      <c r="E82" s="18" t="s">
        <v>224</v>
      </c>
      <c r="F82" s="21">
        <v>2080</v>
      </c>
      <c r="G82" s="22">
        <v>1960</v>
      </c>
      <c r="H82" s="22"/>
      <c r="I82" s="22">
        <f t="shared" si="2"/>
        <v>1960</v>
      </c>
      <c r="J82" s="18" t="s">
        <v>1097</v>
      </c>
      <c r="K82" s="18">
        <v>5018842</v>
      </c>
      <c r="L82" s="18" t="s">
        <v>1095</v>
      </c>
      <c r="M82" s="18" t="s">
        <v>1095</v>
      </c>
      <c r="N82" s="16" t="s">
        <v>1095</v>
      </c>
      <c r="O82" s="18" t="s">
        <v>1095</v>
      </c>
      <c r="P82" s="18" t="s">
        <v>1095</v>
      </c>
      <c r="Q82" s="29" t="str" cm="1">
        <f t="array" ref="Q82">_xlfn.IFS(
A82="","",
AND(A82&lt;&gt;"",B82=""),"FALTA LANÇAMENTO",
AND(B82&lt;&gt;"",M82=""),"FALTA O PEDIDO",
AND(M82&lt;&gt;"",O82=""),"FALTA NF",
O82&lt;&gt;"","CONCLUÍDO")</f>
        <v>CONCLUÍDO</v>
      </c>
      <c r="R82" s="36"/>
    </row>
    <row r="83" spans="1:18" hidden="1">
      <c r="A83" s="16">
        <v>46029</v>
      </c>
      <c r="B83" s="16">
        <v>46035</v>
      </c>
      <c r="C83" s="21">
        <v>1159005</v>
      </c>
      <c r="D83" s="16" t="str">
        <f>IFERROR(VLOOKUP(Tabela5[[#This Row],[PREFIXO ]],Tabela4[#All],2,0),"CENTRO DE CUSTO")</f>
        <v>TRAT PN MED JOHN DEERE 7500</v>
      </c>
      <c r="E83" s="18" t="s">
        <v>238</v>
      </c>
      <c r="F83" s="21">
        <v>251</v>
      </c>
      <c r="G83" s="22">
        <v>14464.16</v>
      </c>
      <c r="H83" s="22"/>
      <c r="I83" s="22">
        <f t="shared" si="2"/>
        <v>14464.16</v>
      </c>
      <c r="J83" s="18" t="s">
        <v>1199</v>
      </c>
      <c r="K83" s="18">
        <v>9734817</v>
      </c>
      <c r="L83" s="18">
        <v>838162</v>
      </c>
      <c r="M83" s="18" t="s">
        <v>1200</v>
      </c>
      <c r="N83" s="16" t="s">
        <v>1162</v>
      </c>
      <c r="O83" s="18" t="s">
        <v>1095</v>
      </c>
      <c r="P83" s="18" t="s">
        <v>1177</v>
      </c>
      <c r="Q83" s="29" t="str" cm="1">
        <f t="array" ref="Q83">_xlfn.IFS(
A83="","",
AND(A83&lt;&gt;"",B83=""),"FALTA LANÇAMENTO",
AND(B83&lt;&gt;"",M83=""),"FALTA O PEDIDO",
AND(M83&lt;&gt;"",O83=""),"FALTA NF",
O83&lt;&gt;"","CONCLUÍDO")</f>
        <v>CONCLUÍDO</v>
      </c>
      <c r="R83" s="36"/>
    </row>
    <row r="84" spans="1:18" hidden="1">
      <c r="A84" s="16">
        <v>46029</v>
      </c>
      <c r="B84" s="16">
        <v>46035</v>
      </c>
      <c r="C84" s="21">
        <v>11521016</v>
      </c>
      <c r="D84" s="16" t="str">
        <f>IFERROR(VLOOKUP(Tabela5[[#This Row],[PREFIXO ]],Tabela4[#All],2,0),"CENTRO DE CUSTO")</f>
        <v>TRAT PN MED CASE PUMA 140</v>
      </c>
      <c r="E84" s="18" t="s">
        <v>348</v>
      </c>
      <c r="F84" s="21">
        <v>2654</v>
      </c>
      <c r="G84" s="22">
        <v>9855</v>
      </c>
      <c r="H84" s="22"/>
      <c r="I84" s="22">
        <f t="shared" si="2"/>
        <v>9855</v>
      </c>
      <c r="J84" s="18" t="s">
        <v>1199</v>
      </c>
      <c r="K84" s="18">
        <v>9734667</v>
      </c>
      <c r="L84" s="18">
        <v>838126</v>
      </c>
      <c r="M84" s="18" t="s">
        <v>1201</v>
      </c>
      <c r="N84" s="16" t="s">
        <v>1162</v>
      </c>
      <c r="O84" s="18" t="s">
        <v>1095</v>
      </c>
      <c r="P84" s="18" t="s">
        <v>1179</v>
      </c>
      <c r="Q84" s="29" t="str" cm="1">
        <f t="array" ref="Q84">_xlfn.IFS(
A84="","",
AND(A84&lt;&gt;"",B84=""),"FALTA LANÇAMENTO",
AND(B84&lt;&gt;"",M84=""),"FALTA O PEDIDO",
AND(M84&lt;&gt;"",O84=""),"FALTA NF",
O84&lt;&gt;"","CONCLUÍDO")</f>
        <v>CONCLUÍDO</v>
      </c>
      <c r="R84" s="36"/>
    </row>
    <row r="85" spans="1:18" hidden="1">
      <c r="A85" s="16">
        <v>46029</v>
      </c>
      <c r="B85" s="16">
        <v>46035</v>
      </c>
      <c r="C85" s="21" t="s">
        <v>1202</v>
      </c>
      <c r="D85" s="16" t="str">
        <f>IFERROR(VLOOKUP(Tabela5[[#This Row],[PREFIXO ]],Tabela4[#All],2,0),"CENTRO DE CUSTO")</f>
        <v>CENTRO DE CUSTO</v>
      </c>
      <c r="E85" s="18" t="s">
        <v>348</v>
      </c>
      <c r="F85" s="21">
        <v>2656</v>
      </c>
      <c r="G85" s="22">
        <v>7435.05</v>
      </c>
      <c r="H85" s="22"/>
      <c r="I85" s="22">
        <f t="shared" si="2"/>
        <v>7435.05</v>
      </c>
      <c r="J85" s="18" t="s">
        <v>1080</v>
      </c>
      <c r="K85" s="18" t="s">
        <v>1203</v>
      </c>
      <c r="L85" s="18">
        <v>838090</v>
      </c>
      <c r="M85" s="18" t="s">
        <v>1204</v>
      </c>
      <c r="N85" s="16" t="s">
        <v>1162</v>
      </c>
      <c r="O85" s="18" t="s">
        <v>1095</v>
      </c>
      <c r="P85" s="18" t="s">
        <v>1118</v>
      </c>
      <c r="Q85" s="29" t="str" cm="1">
        <f t="array" ref="Q85">_xlfn.IFS(
A85="","",
AND(A85&lt;&gt;"",B85=""),"FALTA LANÇAMENTO",
AND(B85&lt;&gt;"",M85=""),"FALTA O PEDIDO",
AND(M85&lt;&gt;"",O85=""),"FALTA NF",
O85&lt;&gt;"","CONCLUÍDO")</f>
        <v>CONCLUÍDO</v>
      </c>
      <c r="R85" s="36"/>
    </row>
    <row r="86" spans="1:18" hidden="1">
      <c r="A86" s="16">
        <v>46029</v>
      </c>
      <c r="B86" s="16">
        <v>46035</v>
      </c>
      <c r="C86" s="21">
        <v>500580220</v>
      </c>
      <c r="D86" s="16" t="str">
        <f>IFERROR(VLOOKUP(Tabela5[[#This Row],[PREFIXO ]],Tabela4[#All],2,0),"CENTRO DE CUSTO")</f>
        <v>Implementos</v>
      </c>
      <c r="E86" s="18" t="s">
        <v>348</v>
      </c>
      <c r="F86" s="21">
        <v>1211</v>
      </c>
      <c r="G86" s="22">
        <v>720</v>
      </c>
      <c r="H86" s="22"/>
      <c r="I86" s="22">
        <f t="shared" si="2"/>
        <v>720</v>
      </c>
      <c r="J86" s="18" t="s">
        <v>1199</v>
      </c>
      <c r="K86" s="18">
        <v>5018841</v>
      </c>
      <c r="L86" s="18">
        <v>838126</v>
      </c>
      <c r="M86" s="18" t="s">
        <v>1201</v>
      </c>
      <c r="N86" s="16" t="s">
        <v>1162</v>
      </c>
      <c r="O86" s="18" t="s">
        <v>1095</v>
      </c>
      <c r="P86" s="18" t="s">
        <v>1179</v>
      </c>
      <c r="Q86" s="29" t="str" cm="1">
        <f t="array" ref="Q86">_xlfn.IFS(
A86="","",
AND(A86&lt;&gt;"",B86=""),"FALTA LANÇAMENTO",
AND(B86&lt;&gt;"",M86=""),"FALTA O PEDIDO",
AND(M86&lt;&gt;"",O86=""),"FALTA NF",
O86&lt;&gt;"","CONCLUÍDO")</f>
        <v>CONCLUÍDO</v>
      </c>
      <c r="R86" s="36"/>
    </row>
    <row r="87" spans="1:18" hidden="1">
      <c r="A87" s="16">
        <v>46029</v>
      </c>
      <c r="B87" s="16">
        <v>46035</v>
      </c>
      <c r="C87" s="21">
        <v>500580090</v>
      </c>
      <c r="D87" s="16" t="str">
        <f>IFERROR(VLOOKUP(Tabela5[[#This Row],[PREFIXO ]],Tabela4[#All],2,0),"CENTRO DE CUSTO")</f>
        <v>Plantadeiras</v>
      </c>
      <c r="E87" s="18" t="s">
        <v>348</v>
      </c>
      <c r="F87" s="21">
        <v>1210</v>
      </c>
      <c r="G87" s="22">
        <v>460</v>
      </c>
      <c r="H87" s="22"/>
      <c r="I87" s="22">
        <f t="shared" si="2"/>
        <v>460</v>
      </c>
      <c r="J87" s="18" t="s">
        <v>1199</v>
      </c>
      <c r="K87" s="18">
        <v>5018840</v>
      </c>
      <c r="L87" s="18">
        <v>838126</v>
      </c>
      <c r="M87" s="18" t="s">
        <v>1201</v>
      </c>
      <c r="N87" s="16" t="s">
        <v>1162</v>
      </c>
      <c r="O87" s="18" t="s">
        <v>1095</v>
      </c>
      <c r="P87" s="18" t="s">
        <v>1179</v>
      </c>
      <c r="Q87" s="29" t="str" cm="1">
        <f t="array" ref="Q87">_xlfn.IFS(
A87="","",
AND(A87&lt;&gt;"",B87=""),"FALTA LANÇAMENTO",
AND(B87&lt;&gt;"",M87=""),"FALTA O PEDIDO",
AND(M87&lt;&gt;"",O87=""),"FALTA NF",
O87&lt;&gt;"","CONCLUÍDO")</f>
        <v>CONCLUÍDO</v>
      </c>
      <c r="R87" s="36"/>
    </row>
    <row r="88" spans="1:18" hidden="1">
      <c r="A88" s="16">
        <v>46029</v>
      </c>
      <c r="B88" s="16">
        <v>46035</v>
      </c>
      <c r="C88" s="21">
        <v>11521009</v>
      </c>
      <c r="D88" s="16" t="str">
        <f>IFERROR(VLOOKUP(Tabela5[[#This Row],[PREFIXO ]],Tabela4[#All],2,0),"CENTRO DE CUSTO")</f>
        <v>TRAT PN MED CASE PUMA 140</v>
      </c>
      <c r="E88" s="18" t="s">
        <v>312</v>
      </c>
      <c r="F88" s="21">
        <v>433</v>
      </c>
      <c r="G88" s="22">
        <v>6500</v>
      </c>
      <c r="H88" s="22"/>
      <c r="I88" s="22">
        <f t="shared" si="2"/>
        <v>6500</v>
      </c>
      <c r="J88" s="18" t="s">
        <v>1097</v>
      </c>
      <c r="K88" s="18">
        <v>9734739</v>
      </c>
      <c r="L88" s="18">
        <v>838169</v>
      </c>
      <c r="M88" s="18" t="s">
        <v>1205</v>
      </c>
      <c r="N88" s="16" t="s">
        <v>1118</v>
      </c>
      <c r="O88" s="18" t="s">
        <v>1095</v>
      </c>
      <c r="P88" s="18" t="s">
        <v>1179</v>
      </c>
      <c r="Q88" s="29" t="str" cm="1">
        <f t="array" ref="Q88">_xlfn.IFS(
A88="","",
AND(A88&lt;&gt;"",B88=""),"FALTA LANÇAMENTO",
AND(B88&lt;&gt;"",M88=""),"FALTA O PEDIDO",
AND(M88&lt;&gt;"",O88=""),"FALTA NF",
O88&lt;&gt;"","CONCLUÍDO")</f>
        <v>CONCLUÍDO</v>
      </c>
      <c r="R88" s="36"/>
    </row>
    <row r="89" spans="1:18" hidden="1">
      <c r="A89" s="16">
        <v>46029</v>
      </c>
      <c r="B89" s="16">
        <v>46035</v>
      </c>
      <c r="C89" s="21">
        <v>11521023</v>
      </c>
      <c r="D89" s="16" t="str">
        <f>IFERROR(VLOOKUP(Tabela5[[#This Row],[PREFIXO ]],Tabela4[#All],2,0),"CENTRO DE CUSTO")</f>
        <v>TRAT PN MED CASE PUMA 140</v>
      </c>
      <c r="E89" s="18" t="s">
        <v>312</v>
      </c>
      <c r="F89" s="21">
        <v>434</v>
      </c>
      <c r="G89" s="22">
        <v>6500</v>
      </c>
      <c r="H89" s="22"/>
      <c r="I89" s="22">
        <f t="shared" si="2"/>
        <v>6500</v>
      </c>
      <c r="J89" s="18" t="s">
        <v>1097</v>
      </c>
      <c r="K89" s="18">
        <v>9734764</v>
      </c>
      <c r="L89" s="18">
        <v>838169</v>
      </c>
      <c r="M89" s="18" t="s">
        <v>1205</v>
      </c>
      <c r="N89" s="16" t="s">
        <v>1118</v>
      </c>
      <c r="O89" s="18" t="s">
        <v>1095</v>
      </c>
      <c r="P89" s="18" t="s">
        <v>1179</v>
      </c>
      <c r="Q89" s="29" t="str" cm="1">
        <f t="array" ref="Q89">_xlfn.IFS(
A89="","",
AND(A89&lt;&gt;"",B89=""),"FALTA LANÇAMENTO",
AND(B89&lt;&gt;"",M89=""),"FALTA O PEDIDO",
AND(M89&lt;&gt;"",O89=""),"FALTA NF",
O89&lt;&gt;"","CONCLUÍDO")</f>
        <v>CONCLUÍDO</v>
      </c>
      <c r="R89" s="36"/>
    </row>
    <row r="90" spans="1:18" hidden="1">
      <c r="A90" s="16">
        <v>46029</v>
      </c>
      <c r="B90" s="16">
        <v>46035</v>
      </c>
      <c r="C90" s="21">
        <v>8173169</v>
      </c>
      <c r="D90" s="16" t="str">
        <f>IFERROR(VLOOKUP(Tabela5[[#This Row],[PREFIXO ]],Tabela4[#All],2,0),"CENTRO DE CUSTO")</f>
        <v>PLANT GRÃOS JOHN DEERE 9200 PI 12 LINHAS</v>
      </c>
      <c r="E90" s="18" t="s">
        <v>312</v>
      </c>
      <c r="F90" s="21">
        <v>435</v>
      </c>
      <c r="G90" s="22">
        <v>5500</v>
      </c>
      <c r="H90" s="22"/>
      <c r="I90" s="22">
        <f t="shared" si="2"/>
        <v>5500</v>
      </c>
      <c r="J90" s="18" t="s">
        <v>1097</v>
      </c>
      <c r="K90" s="18">
        <v>9734769</v>
      </c>
      <c r="L90" s="18">
        <v>838169</v>
      </c>
      <c r="M90" s="18" t="s">
        <v>1205</v>
      </c>
      <c r="N90" s="16" t="s">
        <v>1118</v>
      </c>
      <c r="O90" s="18" t="s">
        <v>1095</v>
      </c>
      <c r="P90" s="18" t="s">
        <v>1179</v>
      </c>
      <c r="Q90" s="29" t="str" cm="1">
        <f t="array" ref="Q90">_xlfn.IFS(
A90="","",
AND(A90&lt;&gt;"",B90=""),"FALTA LANÇAMENTO",
AND(B90&lt;&gt;"",M90=""),"FALTA O PEDIDO",
AND(M90&lt;&gt;"",O90=""),"FALTA NF",
O90&lt;&gt;"","CONCLUÍDO")</f>
        <v>CONCLUÍDO</v>
      </c>
      <c r="R90" s="36"/>
    </row>
    <row r="91" spans="1:18" hidden="1">
      <c r="A91" s="16">
        <v>46029</v>
      </c>
      <c r="B91" s="16">
        <v>46035</v>
      </c>
      <c r="C91" s="21" t="s">
        <v>1206</v>
      </c>
      <c r="D91" s="16" t="str">
        <f>IFERROR(VLOOKUP(Tabela5[[#This Row],[PREFIXO ]],Tabela4[#All],2,0),"CENTRO DE CUSTO")</f>
        <v>CENTRO DE CUSTO</v>
      </c>
      <c r="E91" s="18" t="s">
        <v>312</v>
      </c>
      <c r="F91" s="21">
        <v>437</v>
      </c>
      <c r="G91" s="22">
        <v>3972.4</v>
      </c>
      <c r="H91" s="22"/>
      <c r="I91" s="22">
        <f t="shared" si="2"/>
        <v>3972.4</v>
      </c>
      <c r="J91" s="18" t="s">
        <v>1097</v>
      </c>
      <c r="K91" s="18" t="s">
        <v>1207</v>
      </c>
      <c r="L91" s="18">
        <v>838169</v>
      </c>
      <c r="M91" s="18" t="s">
        <v>1205</v>
      </c>
      <c r="N91" s="16" t="s">
        <v>1118</v>
      </c>
      <c r="O91" s="18" t="s">
        <v>1095</v>
      </c>
      <c r="P91" s="18" t="s">
        <v>1179</v>
      </c>
      <c r="Q91" s="29" t="str" cm="1">
        <f t="array" ref="Q91">_xlfn.IFS(
A91="","",
AND(A91&lt;&gt;"",B91=""),"FALTA LANÇAMENTO",
AND(B91&lt;&gt;"",M91=""),"FALTA O PEDIDO",
AND(M91&lt;&gt;"",O91=""),"FALTA NF",
O91&lt;&gt;"","CONCLUÍDO")</f>
        <v>CONCLUÍDO</v>
      </c>
      <c r="R91" s="36"/>
    </row>
    <row r="92" spans="1:18" hidden="1">
      <c r="A92" s="16">
        <v>46029</v>
      </c>
      <c r="B92" s="16">
        <v>46036</v>
      </c>
      <c r="C92" s="21">
        <v>13100006</v>
      </c>
      <c r="D92" s="16" t="str">
        <f>IFERROR(VLOOKUP(Tabela5[[#This Row],[PREFIXO ]],Tabela4[#All],2,0),"CENTRO DE CUSTO")</f>
        <v>TRAT PN PES JOHN DEERE 8400R</v>
      </c>
      <c r="E92" s="18" t="s">
        <v>312</v>
      </c>
      <c r="F92" s="21">
        <v>440</v>
      </c>
      <c r="G92" s="22">
        <v>1673.7</v>
      </c>
      <c r="H92" s="22"/>
      <c r="I92" s="22">
        <f t="shared" si="2"/>
        <v>1673.7</v>
      </c>
      <c r="J92" s="18" t="s">
        <v>1097</v>
      </c>
      <c r="K92" s="18">
        <v>9734796</v>
      </c>
      <c r="L92" s="18">
        <v>838257</v>
      </c>
      <c r="M92" s="18" t="s">
        <v>1208</v>
      </c>
      <c r="N92" s="16" t="s">
        <v>1118</v>
      </c>
      <c r="O92" s="18" t="s">
        <v>1095</v>
      </c>
      <c r="P92" s="18" t="s">
        <v>1179</v>
      </c>
      <c r="Q92" s="29" t="str" cm="1">
        <f t="array" ref="Q92">_xlfn.IFS(
A92="","",
AND(A92&lt;&gt;"",B92=""),"FALTA LANÇAMENTO",
AND(B92&lt;&gt;"",M92=""),"FALTA O PEDIDO",
AND(M92&lt;&gt;"",O92=""),"FALTA NF",
O92&lt;&gt;"","CONCLUÍDO")</f>
        <v>CONCLUÍDO</v>
      </c>
      <c r="R92" s="36"/>
    </row>
    <row r="93" spans="1:18" hidden="1">
      <c r="A93" s="16">
        <v>46029</v>
      </c>
      <c r="B93" s="16">
        <v>46036</v>
      </c>
      <c r="C93" s="21">
        <v>1173015</v>
      </c>
      <c r="D93" s="16" t="str">
        <f>IFERROR(VLOOKUP(Tabela5[[#This Row],[PREFIXO ]],Tabela4[#All],2,0),"CENTRO DE CUSTO")</f>
        <v>TRAT PN MED N.HOLLAND 7630</v>
      </c>
      <c r="E93" s="18" t="s">
        <v>312</v>
      </c>
      <c r="F93" s="21">
        <v>439</v>
      </c>
      <c r="G93" s="22">
        <v>1125</v>
      </c>
      <c r="H93" s="22"/>
      <c r="I93" s="22">
        <f t="shared" si="2"/>
        <v>1125</v>
      </c>
      <c r="J93" s="18" t="s">
        <v>1097</v>
      </c>
      <c r="K93" s="18">
        <v>9734793</v>
      </c>
      <c r="L93" s="18">
        <v>838257</v>
      </c>
      <c r="M93" s="18" t="s">
        <v>1208</v>
      </c>
      <c r="N93" s="16" t="s">
        <v>1118</v>
      </c>
      <c r="O93" s="18" t="s">
        <v>1095</v>
      </c>
      <c r="P93" s="18" t="s">
        <v>1179</v>
      </c>
      <c r="Q93" s="29" t="str" cm="1">
        <f t="array" ref="Q93">_xlfn.IFS(
A93="","",
AND(A93&lt;&gt;"",B93=""),"FALTA LANÇAMENTO",
AND(B93&lt;&gt;"",M93=""),"FALTA O PEDIDO",
AND(M93&lt;&gt;"",O93=""),"FALTA NF",
O93&lt;&gt;"","CONCLUÍDO")</f>
        <v>CONCLUÍDO</v>
      </c>
      <c r="R93" s="36"/>
    </row>
    <row r="94" spans="1:18" hidden="1">
      <c r="A94" s="16">
        <v>46029</v>
      </c>
      <c r="B94" s="16">
        <v>46035</v>
      </c>
      <c r="C94" s="21">
        <v>1173014</v>
      </c>
      <c r="D94" s="16" t="str">
        <f>IFERROR(VLOOKUP(Tabela5[[#This Row],[PREFIXO ]],Tabela4[#All],2,0),"CENTRO DE CUSTO")</f>
        <v>TRAT PN MED N.HOLLAND 7630</v>
      </c>
      <c r="E94" s="18" t="s">
        <v>312</v>
      </c>
      <c r="F94" s="21">
        <v>438</v>
      </c>
      <c r="G94" s="22">
        <v>1085.8</v>
      </c>
      <c r="H94" s="22"/>
      <c r="I94" s="22">
        <f t="shared" si="2"/>
        <v>1085.8</v>
      </c>
      <c r="J94" s="18" t="s">
        <v>1097</v>
      </c>
      <c r="K94" s="18">
        <v>9734788</v>
      </c>
      <c r="L94" s="18">
        <v>838169</v>
      </c>
      <c r="M94" s="18" t="s">
        <v>1205</v>
      </c>
      <c r="N94" s="16" t="s">
        <v>1118</v>
      </c>
      <c r="O94" s="18" t="s">
        <v>1095</v>
      </c>
      <c r="P94" s="18" t="s">
        <v>1179</v>
      </c>
      <c r="Q94" s="29" t="str" cm="1">
        <f t="array" ref="Q94">_xlfn.IFS(
A94="","",
AND(A94&lt;&gt;"",B94=""),"FALTA LANÇAMENTO",
AND(B94&lt;&gt;"",M94=""),"FALTA O PEDIDO",
AND(M94&lt;&gt;"",O94=""),"FALTA NF",
O94&lt;&gt;"","CONCLUÍDO")</f>
        <v>CONCLUÍDO</v>
      </c>
      <c r="R94" s="36"/>
    </row>
    <row r="95" spans="1:18" hidden="1">
      <c r="A95" s="16">
        <v>46029</v>
      </c>
      <c r="B95" s="16">
        <v>46035</v>
      </c>
      <c r="C95" s="21" t="s">
        <v>1209</v>
      </c>
      <c r="D95" s="16" t="str">
        <f>IFERROR(VLOOKUP(Tabela5[[#This Row],[PREFIXO ]],Tabela4[#All],2,0),"CENTRO DE CUSTO")</f>
        <v>CENTRO DE CUSTO</v>
      </c>
      <c r="E95" s="18" t="s">
        <v>312</v>
      </c>
      <c r="F95" s="21">
        <v>436</v>
      </c>
      <c r="G95" s="22">
        <v>1000</v>
      </c>
      <c r="H95" s="22"/>
      <c r="I95" s="22">
        <f t="shared" si="2"/>
        <v>1000</v>
      </c>
      <c r="J95" s="18" t="s">
        <v>1097</v>
      </c>
      <c r="K95" s="18">
        <v>9734772</v>
      </c>
      <c r="L95" s="18">
        <v>838169</v>
      </c>
      <c r="M95" s="18" t="s">
        <v>1205</v>
      </c>
      <c r="N95" s="16" t="s">
        <v>1118</v>
      </c>
      <c r="O95" s="18" t="s">
        <v>1095</v>
      </c>
      <c r="P95" s="18" t="s">
        <v>1179</v>
      </c>
      <c r="Q95" s="29" t="str" cm="1">
        <f t="array" ref="Q95">_xlfn.IFS(
A95="","",
AND(A95&lt;&gt;"",B95=""),"FALTA LANÇAMENTO",
AND(B95&lt;&gt;"",M95=""),"FALTA O PEDIDO",
AND(M95&lt;&gt;"",O95=""),"FALTA NF",
O95&lt;&gt;"","CONCLUÍDO")</f>
        <v>CONCLUÍDO</v>
      </c>
      <c r="R95" s="36"/>
    </row>
    <row r="96" spans="1:18" hidden="1">
      <c r="A96" s="16">
        <v>46029</v>
      </c>
      <c r="B96" s="16">
        <v>46036</v>
      </c>
      <c r="C96" s="21">
        <v>11521037</v>
      </c>
      <c r="D96" s="16" t="str">
        <f>IFERROR(VLOOKUP(Tabela5[[#This Row],[PREFIXO ]],Tabela4[#All],2,0),"CENTRO DE CUSTO")</f>
        <v>TRAT PN EXT PES N.HOLLAND T9.600</v>
      </c>
      <c r="E96" s="18" t="s">
        <v>312</v>
      </c>
      <c r="F96" s="21">
        <v>441</v>
      </c>
      <c r="G96" s="22">
        <v>750</v>
      </c>
      <c r="H96" s="22"/>
      <c r="I96" s="22">
        <f t="shared" si="2"/>
        <v>750</v>
      </c>
      <c r="J96" s="18" t="s">
        <v>1097</v>
      </c>
      <c r="K96" s="18">
        <v>9734797</v>
      </c>
      <c r="L96" s="18">
        <v>838257</v>
      </c>
      <c r="M96" s="18" t="s">
        <v>1208</v>
      </c>
      <c r="N96" s="16" t="s">
        <v>1118</v>
      </c>
      <c r="O96" s="18" t="s">
        <v>1095</v>
      </c>
      <c r="P96" s="18" t="s">
        <v>1179</v>
      </c>
      <c r="Q96" s="29" t="str" cm="1">
        <f t="array" ref="Q96">_xlfn.IFS(
A96="","",
AND(A96&lt;&gt;"",B96=""),"FALTA LANÇAMENTO",
AND(B96&lt;&gt;"",M96=""),"FALTA O PEDIDO",
AND(M96&lt;&gt;"",O96=""),"FALTA NF",
O96&lt;&gt;"","CONCLUÍDO")</f>
        <v>CONCLUÍDO</v>
      </c>
      <c r="R96" s="36"/>
    </row>
    <row r="97" spans="1:18" hidden="1">
      <c r="A97" s="16">
        <v>46029</v>
      </c>
      <c r="B97" s="16">
        <v>46036</v>
      </c>
      <c r="C97" s="21">
        <v>1173013</v>
      </c>
      <c r="D97" s="16" t="str">
        <f>IFERROR(VLOOKUP(Tabela5[[#This Row],[PREFIXO ]],Tabela4[#All],2,0),"CENTRO DE CUSTO")</f>
        <v>TRAT PN MED N.HOLLAND 7630</v>
      </c>
      <c r="E97" s="18" t="s">
        <v>312</v>
      </c>
      <c r="F97" s="21">
        <v>442</v>
      </c>
      <c r="G97" s="22">
        <v>750</v>
      </c>
      <c r="H97" s="22"/>
      <c r="I97" s="22">
        <f t="shared" si="2"/>
        <v>750</v>
      </c>
      <c r="J97" s="18" t="s">
        <v>1097</v>
      </c>
      <c r="K97" s="18">
        <v>9734799</v>
      </c>
      <c r="L97" s="18">
        <v>838257</v>
      </c>
      <c r="M97" s="18" t="s">
        <v>1208</v>
      </c>
      <c r="N97" s="16" t="s">
        <v>1118</v>
      </c>
      <c r="O97" s="18" t="s">
        <v>1095</v>
      </c>
      <c r="P97" s="18" t="s">
        <v>1179</v>
      </c>
      <c r="Q97" s="29" t="str" cm="1">
        <f t="array" ref="Q97">_xlfn.IFS(
A97="","",
AND(A97&lt;&gt;"",B97=""),"FALTA LANÇAMENTO",
AND(B97&lt;&gt;"",M97=""),"FALTA O PEDIDO",
AND(M97&lt;&gt;"",O97=""),"FALTA NF",
O97&lt;&gt;"","CONCLUÍDO")</f>
        <v>CONCLUÍDO</v>
      </c>
      <c r="R97" s="36"/>
    </row>
    <row r="98" spans="1:18" hidden="1">
      <c r="A98" s="16">
        <v>46031</v>
      </c>
      <c r="B98" s="16">
        <v>46037</v>
      </c>
      <c r="C98" s="21">
        <v>51519061</v>
      </c>
      <c r="D98" s="16" t="str">
        <f>IFERROR(VLOOKUP(Tabela5[[#This Row],[PREFIXO ]],Tabela4[#All],2,0),"CENTRO DE CUSTO")</f>
        <v>CENTRO DE CUSTO</v>
      </c>
      <c r="E98" s="18" t="s">
        <v>17</v>
      </c>
      <c r="F98" s="21">
        <v>42625</v>
      </c>
      <c r="G98" s="22">
        <v>5097.1400000000003</v>
      </c>
      <c r="H98" s="22">
        <v>2887.39</v>
      </c>
      <c r="I98" s="22">
        <f t="shared" si="2"/>
        <v>7984.5300000000007</v>
      </c>
      <c r="J98" s="18" t="s">
        <v>1123</v>
      </c>
      <c r="K98" s="18">
        <v>9735122</v>
      </c>
      <c r="L98" s="18">
        <v>839798</v>
      </c>
      <c r="M98" s="18" t="s">
        <v>1210</v>
      </c>
      <c r="N98" s="16" t="s">
        <v>1118</v>
      </c>
      <c r="O98" s="18" t="s">
        <v>1095</v>
      </c>
      <c r="P98" s="18" t="s">
        <v>1211</v>
      </c>
      <c r="Q98" s="29" t="str" cm="1">
        <f t="array" ref="Q98">_xlfn.IFS(
A98="","",
AND(A98&lt;&gt;"",B98=""),"FALTA LANÇAMENTO",
AND(B98&lt;&gt;"",M98=""),"FALTA O PEDIDO",
AND(M98&lt;&gt;"",O98=""),"FALTA NF",
O98&lt;&gt;"","CONCLUÍDO")</f>
        <v>CONCLUÍDO</v>
      </c>
      <c r="R98" s="36"/>
    </row>
    <row r="99" spans="1:18" hidden="1">
      <c r="A99" s="16">
        <v>46031</v>
      </c>
      <c r="B99" s="16">
        <v>46037</v>
      </c>
      <c r="C99" s="21">
        <v>51519060</v>
      </c>
      <c r="D99" s="16" t="str">
        <f>IFERROR(VLOOKUP(Tabela5[[#This Row],[PREFIXO ]],Tabela4[#All],2,0),"CENTRO DE CUSTO")</f>
        <v>CENTRO DE CUSTO</v>
      </c>
      <c r="E99" s="18" t="s">
        <v>17</v>
      </c>
      <c r="F99" s="21">
        <v>42338</v>
      </c>
      <c r="G99" s="22">
        <v>6517.04</v>
      </c>
      <c r="H99" s="22"/>
      <c r="I99" s="22">
        <f t="shared" si="2"/>
        <v>6517.04</v>
      </c>
      <c r="J99" s="18" t="s">
        <v>1123</v>
      </c>
      <c r="K99" s="18">
        <v>9735125</v>
      </c>
      <c r="L99" s="18">
        <v>840362</v>
      </c>
      <c r="M99" s="18" t="s">
        <v>1212</v>
      </c>
      <c r="N99" s="16" t="s">
        <v>1179</v>
      </c>
      <c r="O99" s="18" t="s">
        <v>1095</v>
      </c>
      <c r="P99" s="18" t="s">
        <v>1177</v>
      </c>
      <c r="Q99" s="29" t="str" cm="1">
        <f t="array" ref="Q99">_xlfn.IFS(
A99="","",
AND(A99&lt;&gt;"",B99=""),"FALTA LANÇAMENTO",
AND(B99&lt;&gt;"",M99=""),"FALTA O PEDIDO",
AND(M99&lt;&gt;"",O99=""),"FALTA NF",
O99&lt;&gt;"","CONCLUÍDO")</f>
        <v>CONCLUÍDO</v>
      </c>
      <c r="R99" s="36"/>
    </row>
    <row r="100" spans="1:18" hidden="1">
      <c r="A100" s="16">
        <v>46031</v>
      </c>
      <c r="B100" s="16">
        <v>46036</v>
      </c>
      <c r="C100" s="21">
        <v>51519061</v>
      </c>
      <c r="D100" s="16" t="str">
        <f>IFERROR(VLOOKUP(Tabela5[[#This Row],[PREFIXO ]],Tabela4[#All],2,0),"CENTRO DE CUSTO")</f>
        <v>CENTRO DE CUSTO</v>
      </c>
      <c r="E100" s="18" t="s">
        <v>17</v>
      </c>
      <c r="F100" s="21">
        <v>42454</v>
      </c>
      <c r="G100" s="22">
        <v>492.83</v>
      </c>
      <c r="H100" s="22"/>
      <c r="I100" s="22">
        <f t="shared" si="2"/>
        <v>492.83</v>
      </c>
      <c r="J100" s="18" t="s">
        <v>1123</v>
      </c>
      <c r="K100" s="18">
        <v>9734903</v>
      </c>
      <c r="L100" s="18">
        <v>839167</v>
      </c>
      <c r="M100" s="18" t="s">
        <v>1213</v>
      </c>
      <c r="N100" s="16" t="s">
        <v>1162</v>
      </c>
      <c r="O100" s="18" t="s">
        <v>1095</v>
      </c>
      <c r="P100" s="18" t="s">
        <v>1177</v>
      </c>
      <c r="Q100" s="29" t="str" cm="1">
        <f t="array" ref="Q100">_xlfn.IFS(
A100="","",
AND(A100&lt;&gt;"",B100=""),"FALTA LANÇAMENTO",
AND(B100&lt;&gt;"",M100=""),"FALTA O PEDIDO",
AND(M100&lt;&gt;"",O100=""),"FALTA NF",
O100&lt;&gt;"","CONCLUÍDO")</f>
        <v>CONCLUÍDO</v>
      </c>
      <c r="R100" s="36"/>
    </row>
    <row r="101" spans="1:18" hidden="1">
      <c r="A101" s="16">
        <v>46031</v>
      </c>
      <c r="B101" s="16">
        <v>46043</v>
      </c>
      <c r="C101" s="21" t="s">
        <v>1214</v>
      </c>
      <c r="D101" s="16" t="str">
        <f>IFERROR(VLOOKUP(Tabela5[[#This Row],[PREFIXO ]],Tabela4[#All],2,0),"CENTRO DE CUSTO")</f>
        <v>CENTRO DE CUSTO</v>
      </c>
      <c r="E101" s="18" t="s">
        <v>336</v>
      </c>
      <c r="F101" s="21">
        <v>34780</v>
      </c>
      <c r="G101" s="22"/>
      <c r="H101" s="22">
        <v>5400</v>
      </c>
      <c r="I101" s="22">
        <f t="shared" si="2"/>
        <v>5400</v>
      </c>
      <c r="J101" s="18" t="s">
        <v>1085</v>
      </c>
      <c r="K101" s="18">
        <v>9735091</v>
      </c>
      <c r="L101" s="18">
        <v>845396</v>
      </c>
      <c r="M101" s="18" t="s">
        <v>1215</v>
      </c>
      <c r="N101" s="16" t="s">
        <v>1216</v>
      </c>
      <c r="O101" s="18" t="s">
        <v>1095</v>
      </c>
      <c r="P101" s="18" t="s">
        <v>1217</v>
      </c>
      <c r="Q101" s="29" t="str" cm="1">
        <f t="array" ref="Q101">_xlfn.IFS(
A101="","",
AND(A101&lt;&gt;"",B101=""),"FALTA LANÇAMENTO",
AND(B101&lt;&gt;"",M101=""),"FALTA O PEDIDO",
AND(M101&lt;&gt;"",O101=""),"FALTA NF",
O101&lt;&gt;"","CONCLUÍDO")</f>
        <v>CONCLUÍDO</v>
      </c>
      <c r="R101" s="36"/>
    </row>
    <row r="102" spans="1:18" hidden="1">
      <c r="A102" s="16">
        <v>46031</v>
      </c>
      <c r="B102" s="16">
        <v>46037</v>
      </c>
      <c r="C102" s="21">
        <v>500580097</v>
      </c>
      <c r="D102" s="16" t="str">
        <f>IFERROR(VLOOKUP(Tabela5[[#This Row],[PREFIXO ]],Tabela4[#All],2,0),"CENTRO DE CUSTO")</f>
        <v>Subsoladores</v>
      </c>
      <c r="E102" s="18" t="s">
        <v>96</v>
      </c>
      <c r="F102" s="21">
        <v>14988</v>
      </c>
      <c r="G102" s="22"/>
      <c r="H102" s="22">
        <v>986.04</v>
      </c>
      <c r="I102" s="22">
        <f t="shared" si="2"/>
        <v>986.04</v>
      </c>
      <c r="J102" s="18" t="s">
        <v>1199</v>
      </c>
      <c r="K102" s="18">
        <v>5018819</v>
      </c>
      <c r="L102" s="18">
        <v>840340</v>
      </c>
      <c r="M102" s="18" t="s">
        <v>1218</v>
      </c>
      <c r="N102" s="16" t="s">
        <v>1118</v>
      </c>
      <c r="O102" s="18" t="s">
        <v>1095</v>
      </c>
      <c r="P102" s="18" t="s">
        <v>1219</v>
      </c>
      <c r="Q102" s="29" t="str" cm="1">
        <f t="array" ref="Q102">_xlfn.IFS(
A102="","",
AND(A102&lt;&gt;"",B102=""),"FALTA LANÇAMENTO",
AND(B102&lt;&gt;"",M102=""),"FALTA O PEDIDO",
AND(M102&lt;&gt;"",O102=""),"FALTA NF",
O102&lt;&gt;"","CONCLUÍDO")</f>
        <v>CONCLUÍDO</v>
      </c>
      <c r="R102" s="36"/>
    </row>
    <row r="103" spans="1:18" hidden="1">
      <c r="A103" s="16">
        <v>46031</v>
      </c>
      <c r="B103" s="16">
        <v>46037</v>
      </c>
      <c r="C103" s="21">
        <v>500580097</v>
      </c>
      <c r="D103" s="16" t="str">
        <f>IFERROR(VLOOKUP(Tabela5[[#This Row],[PREFIXO ]],Tabela4[#All],2,0),"CENTRO DE CUSTO")</f>
        <v>Subsoladores</v>
      </c>
      <c r="E103" s="18" t="s">
        <v>96</v>
      </c>
      <c r="F103" s="21">
        <v>3976</v>
      </c>
      <c r="G103" s="22">
        <v>720</v>
      </c>
      <c r="H103" s="22"/>
      <c r="I103" s="22">
        <f t="shared" si="2"/>
        <v>720</v>
      </c>
      <c r="J103" s="18" t="s">
        <v>1199</v>
      </c>
      <c r="K103" s="18">
        <v>5018819</v>
      </c>
      <c r="L103" s="18">
        <v>840340</v>
      </c>
      <c r="M103" s="18" t="s">
        <v>1218</v>
      </c>
      <c r="N103" s="16" t="s">
        <v>1118</v>
      </c>
      <c r="O103" s="18" t="s">
        <v>1095</v>
      </c>
      <c r="P103" s="18" t="s">
        <v>1219</v>
      </c>
      <c r="Q103" s="29" t="str" cm="1">
        <f t="array" ref="Q103">_xlfn.IFS(
A103="","",
AND(A103&lt;&gt;"",B103=""),"FALTA LANÇAMENTO",
AND(B103&lt;&gt;"",M103=""),"FALTA O PEDIDO",
AND(M103&lt;&gt;"",O103=""),"FALTA NF",
O103&lt;&gt;"","CONCLUÍDO")</f>
        <v>CONCLUÍDO</v>
      </c>
      <c r="R103" s="36"/>
    </row>
    <row r="104" spans="1:18" hidden="1">
      <c r="A104" s="16">
        <v>46031</v>
      </c>
      <c r="B104" s="16">
        <v>46043</v>
      </c>
      <c r="C104" s="21" t="s">
        <v>1214</v>
      </c>
      <c r="D104" s="16" t="str">
        <f>IFERROR(VLOOKUP(Tabela5[[#This Row],[PREFIXO ]],Tabela4[#All],2,0),"CENTRO DE CUSTO")</f>
        <v>CENTRO DE CUSTO</v>
      </c>
      <c r="E104" s="18" t="s">
        <v>287</v>
      </c>
      <c r="F104" s="21">
        <v>19784</v>
      </c>
      <c r="G104" s="22">
        <v>8600</v>
      </c>
      <c r="H104" s="22"/>
      <c r="I104" s="22">
        <f t="shared" si="2"/>
        <v>8600</v>
      </c>
      <c r="J104" s="18" t="s">
        <v>1085</v>
      </c>
      <c r="K104" s="18">
        <v>9735091</v>
      </c>
      <c r="L104" s="18">
        <v>845396</v>
      </c>
      <c r="M104" s="18" t="s">
        <v>1215</v>
      </c>
      <c r="N104" s="16" t="s">
        <v>1216</v>
      </c>
      <c r="O104" s="18" t="s">
        <v>1095</v>
      </c>
      <c r="P104" s="18" t="s">
        <v>1217</v>
      </c>
      <c r="Q104" s="29" t="str" cm="1">
        <f t="array" ref="Q104">_xlfn.IFS(
A104="","",
AND(A104&lt;&gt;"",B104=""),"FALTA LANÇAMENTO",
AND(B104&lt;&gt;"",M104=""),"FALTA O PEDIDO",
AND(M104&lt;&gt;"",O104=""),"FALTA NF",
O104&lt;&gt;"","CONCLUÍDO")</f>
        <v>CONCLUÍDO</v>
      </c>
      <c r="R104" s="36"/>
    </row>
    <row r="105" spans="1:18" hidden="1">
      <c r="A105" s="16">
        <v>46031</v>
      </c>
      <c r="B105" s="16">
        <v>46042</v>
      </c>
      <c r="C105" s="21">
        <v>8521368</v>
      </c>
      <c r="D105" s="16" t="str">
        <f>IFERROR(VLOOKUP(Tabela5[[#This Row],[PREFIXO ]],Tabela4[#All],2,0),"CENTRO DE CUSTO")</f>
        <v>CENTRO DE CUSTO</v>
      </c>
      <c r="E105" s="18" t="s">
        <v>218</v>
      </c>
      <c r="F105" s="21">
        <v>26203</v>
      </c>
      <c r="G105" s="22">
        <v>6003.04</v>
      </c>
      <c r="H105" s="22">
        <v>67481.649999999994</v>
      </c>
      <c r="I105" s="22">
        <f t="shared" si="2"/>
        <v>73484.689999999988</v>
      </c>
      <c r="J105" s="18" t="s">
        <v>1123</v>
      </c>
      <c r="K105" s="18">
        <v>9742893</v>
      </c>
      <c r="L105" s="18">
        <v>840985</v>
      </c>
      <c r="M105" s="18" t="s">
        <v>1220</v>
      </c>
      <c r="N105" s="16" t="s">
        <v>1221</v>
      </c>
      <c r="O105" s="18" t="s">
        <v>1095</v>
      </c>
      <c r="P105" s="18" t="s">
        <v>1222</v>
      </c>
      <c r="Q105" s="29" t="str" cm="1">
        <f t="array" ref="Q105">_xlfn.IFS(
A105="","",
AND(A105&lt;&gt;"",B105=""),"FALTA LANÇAMENTO",
AND(B105&lt;&gt;"",M105=""),"FALTA O PEDIDO",
AND(M105&lt;&gt;"",O105=""),"FALTA NF",
O105&lt;&gt;"","CONCLUÍDO")</f>
        <v>CONCLUÍDO</v>
      </c>
      <c r="R105" s="36"/>
    </row>
    <row r="106" spans="1:18" hidden="1">
      <c r="A106" s="16">
        <v>46031</v>
      </c>
      <c r="B106" s="16">
        <v>46042</v>
      </c>
      <c r="C106" s="21">
        <v>81521369</v>
      </c>
      <c r="D106" s="16" t="str">
        <f>IFERROR(VLOOKUP(Tabela5[[#This Row],[PREFIXO ]],Tabela4[#All],2,0),"CENTRO DE CUSTO")</f>
        <v>PLATAF COLHEITA N.HOLLAND DRAPER 8645P</v>
      </c>
      <c r="E106" s="18" t="s">
        <v>218</v>
      </c>
      <c r="F106" s="21">
        <v>26202</v>
      </c>
      <c r="G106" s="22">
        <v>6089.84</v>
      </c>
      <c r="H106" s="22">
        <v>54720.52</v>
      </c>
      <c r="I106" s="22">
        <f t="shared" si="2"/>
        <v>60810.36</v>
      </c>
      <c r="J106" s="18" t="s">
        <v>1123</v>
      </c>
      <c r="K106" s="18">
        <v>9739862</v>
      </c>
      <c r="L106" s="18">
        <v>806988</v>
      </c>
      <c r="M106" s="18" t="s">
        <v>1223</v>
      </c>
      <c r="N106" s="16" t="s">
        <v>1164</v>
      </c>
      <c r="O106" s="18" t="s">
        <v>1095</v>
      </c>
      <c r="P106" s="18" t="s">
        <v>1224</v>
      </c>
      <c r="Q106" s="29" t="str" cm="1">
        <f t="array" ref="Q106">_xlfn.IFS(
A106="","",
AND(A106&lt;&gt;"",B106=""),"FALTA LANÇAMENTO",
AND(B106&lt;&gt;"",M106=""),"FALTA O PEDIDO",
AND(M106&lt;&gt;"",O106=""),"FALTA NF",
O106&lt;&gt;"","CONCLUÍDO")</f>
        <v>CONCLUÍDO</v>
      </c>
      <c r="R106" s="36"/>
    </row>
    <row r="107" spans="1:18" hidden="1">
      <c r="A107" s="16">
        <v>46031</v>
      </c>
      <c r="B107" s="16">
        <v>46044</v>
      </c>
      <c r="C107" s="21" t="s">
        <v>1225</v>
      </c>
      <c r="D107" s="16" t="str">
        <f>IFERROR(VLOOKUP(Tabela5[[#This Row],[PREFIXO ]],Tabela4[#All],2,0),"CENTRO DE CUSTO")</f>
        <v>CENTRO DE CUSTO</v>
      </c>
      <c r="E107" s="18" t="s">
        <v>218</v>
      </c>
      <c r="F107" s="21">
        <v>26364</v>
      </c>
      <c r="G107" s="22">
        <v>12414</v>
      </c>
      <c r="H107" s="22">
        <v>36689.31</v>
      </c>
      <c r="I107" s="22">
        <f t="shared" si="2"/>
        <v>49103.31</v>
      </c>
      <c r="J107" s="18" t="s">
        <v>1123</v>
      </c>
      <c r="K107" s="18">
        <v>5018950</v>
      </c>
      <c r="L107" s="18">
        <v>845826</v>
      </c>
      <c r="M107" s="18" t="s">
        <v>1226</v>
      </c>
      <c r="N107" s="16" t="s">
        <v>1227</v>
      </c>
      <c r="O107" s="18" t="s">
        <v>1095</v>
      </c>
      <c r="P107" s="18" t="s">
        <v>1228</v>
      </c>
      <c r="Q107" s="29" t="str" cm="1">
        <f t="array" ref="Q107">_xlfn.IFS(
A107="","",
AND(A107&lt;&gt;"",B107=""),"FALTA LANÇAMENTO",
AND(B107&lt;&gt;"",M107=""),"FALTA O PEDIDO",
AND(M107&lt;&gt;"",O107=""),"FALTA NF",
O107&lt;&gt;"","CONCLUÍDO")</f>
        <v>CONCLUÍDO</v>
      </c>
      <c r="R107" s="36"/>
    </row>
    <row r="108" spans="1:18" hidden="1">
      <c r="A108" s="16">
        <v>46031</v>
      </c>
      <c r="B108" s="16">
        <v>46044</v>
      </c>
      <c r="C108" s="21" t="s">
        <v>1229</v>
      </c>
      <c r="D108" s="16" t="str">
        <f>IFERROR(VLOOKUP(Tabela5[[#This Row],[PREFIXO ]],Tabela4[#All],2,0),"CENTRO DE CUSTO")</f>
        <v>CENTRO DE CUSTO</v>
      </c>
      <c r="E108" s="18" t="s">
        <v>218</v>
      </c>
      <c r="F108" s="21">
        <v>26357</v>
      </c>
      <c r="G108" s="22">
        <v>14284.4</v>
      </c>
      <c r="H108" s="22">
        <v>28497.79</v>
      </c>
      <c r="I108" s="22">
        <f t="shared" si="2"/>
        <v>42782.19</v>
      </c>
      <c r="J108" s="18" t="s">
        <v>1123</v>
      </c>
      <c r="K108" s="18" t="s">
        <v>1230</v>
      </c>
      <c r="L108" s="18">
        <v>845776</v>
      </c>
      <c r="M108" s="18" t="s">
        <v>1231</v>
      </c>
      <c r="N108" s="16" t="s">
        <v>1227</v>
      </c>
      <c r="O108" s="18" t="s">
        <v>1095</v>
      </c>
      <c r="P108" s="18" t="s">
        <v>1228</v>
      </c>
      <c r="Q108" s="29" t="str" cm="1">
        <f t="array" ref="Q108">_xlfn.IFS(
A108="","",
AND(A108&lt;&gt;"",B108=""),"FALTA LANÇAMENTO",
AND(B108&lt;&gt;"",M108=""),"FALTA O PEDIDO",
AND(M108&lt;&gt;"",O108=""),"FALTA NF",
O108&lt;&gt;"","CONCLUÍDO")</f>
        <v>CONCLUÍDO</v>
      </c>
      <c r="R108" s="36"/>
    </row>
    <row r="109" spans="1:18" hidden="1">
      <c r="A109" s="16">
        <v>46031</v>
      </c>
      <c r="B109" s="16">
        <v>46044</v>
      </c>
      <c r="C109" s="21" t="s">
        <v>1232</v>
      </c>
      <c r="D109" s="16" t="str">
        <f>IFERROR(VLOOKUP(Tabela5[[#This Row],[PREFIXO ]],Tabela4[#All],2,0),"CENTRO DE CUSTO")</f>
        <v>CENTRO DE CUSTO</v>
      </c>
      <c r="E109" s="18" t="s">
        <v>218</v>
      </c>
      <c r="F109" s="21">
        <v>26362</v>
      </c>
      <c r="G109" s="22">
        <v>12414</v>
      </c>
      <c r="H109" s="22">
        <v>16861.7</v>
      </c>
      <c r="I109" s="22">
        <f t="shared" si="2"/>
        <v>29275.7</v>
      </c>
      <c r="J109" s="18" t="s">
        <v>1123</v>
      </c>
      <c r="K109" s="18" t="s">
        <v>1233</v>
      </c>
      <c r="L109" s="18">
        <v>845393</v>
      </c>
      <c r="M109" s="18" t="s">
        <v>1234</v>
      </c>
      <c r="N109" s="16" t="s">
        <v>1227</v>
      </c>
      <c r="O109" s="18" t="s">
        <v>1095</v>
      </c>
      <c r="P109" s="18" t="s">
        <v>1228</v>
      </c>
      <c r="Q109" s="29" t="str" cm="1">
        <f t="array" ref="Q109">_xlfn.IFS(
A109="","",
AND(A109&lt;&gt;"",B109=""),"FALTA LANÇAMENTO",
AND(B109&lt;&gt;"",M109=""),"FALTA O PEDIDO",
AND(M109&lt;&gt;"",O109=""),"FALTA NF",
O109&lt;&gt;"","CONCLUÍDO")</f>
        <v>CONCLUÍDO</v>
      </c>
      <c r="R109" s="36"/>
    </row>
    <row r="110" spans="1:18" hidden="1">
      <c r="A110" s="16">
        <v>46031</v>
      </c>
      <c r="B110" s="16">
        <v>46042</v>
      </c>
      <c r="C110" s="21">
        <v>81521367</v>
      </c>
      <c r="D110" s="16" t="str">
        <f>IFERROR(VLOOKUP(Tabela5[[#This Row],[PREFIXO ]],Tabela4[#All],2,0),"CENTRO DE CUSTO")</f>
        <v>PLATAF COLHEITA N.HOLLAND DRAPER 8645P</v>
      </c>
      <c r="E110" s="18" t="s">
        <v>218</v>
      </c>
      <c r="F110" s="21">
        <v>26204</v>
      </c>
      <c r="G110" s="22">
        <v>6031.04</v>
      </c>
      <c r="H110" s="22">
        <v>20804.21</v>
      </c>
      <c r="I110" s="22">
        <f t="shared" si="2"/>
        <v>26835.25</v>
      </c>
      <c r="J110" s="18" t="s">
        <v>1123</v>
      </c>
      <c r="K110" s="18">
        <v>9743652</v>
      </c>
      <c r="L110" s="18">
        <v>841755</v>
      </c>
      <c r="M110" s="18" t="s">
        <v>1235</v>
      </c>
      <c r="N110" s="16" t="s">
        <v>1216</v>
      </c>
      <c r="O110" s="18" t="s">
        <v>1095</v>
      </c>
      <c r="P110" s="18" t="s">
        <v>1222</v>
      </c>
      <c r="Q110" s="29" t="str" cm="1">
        <f t="array" ref="Q110">_xlfn.IFS(
A110="","",
AND(A110&lt;&gt;"",B110=""),"FALTA LANÇAMENTO",
AND(B110&lt;&gt;"",M110=""),"FALTA O PEDIDO",
AND(M110&lt;&gt;"",O110=""),"FALTA NF",
O110&lt;&gt;"","CONCLUÍDO")</f>
        <v>CONCLUÍDO</v>
      </c>
      <c r="R110" s="36"/>
    </row>
    <row r="111" spans="1:18" hidden="1">
      <c r="A111" s="16">
        <v>46031</v>
      </c>
      <c r="B111" s="16">
        <v>46036</v>
      </c>
      <c r="C111" s="21" t="s">
        <v>1232</v>
      </c>
      <c r="D111" s="16" t="str">
        <f>IFERROR(VLOOKUP(Tabela5[[#This Row],[PREFIXO ]],Tabela4[#All],2,0),"CENTRO DE CUSTO")</f>
        <v>CENTRO DE CUSTO</v>
      </c>
      <c r="E111" s="18" t="s">
        <v>218</v>
      </c>
      <c r="F111" s="21">
        <v>26345</v>
      </c>
      <c r="G111" s="22">
        <v>11898</v>
      </c>
      <c r="H111" s="22">
        <v>8456.6200000000008</v>
      </c>
      <c r="I111" s="22">
        <f t="shared" si="2"/>
        <v>20354.620000000003</v>
      </c>
      <c r="J111" s="18" t="s">
        <v>1123</v>
      </c>
      <c r="K111" s="18" t="s">
        <v>1236</v>
      </c>
      <c r="L111" s="18">
        <v>839415</v>
      </c>
      <c r="M111" s="18" t="s">
        <v>1237</v>
      </c>
      <c r="N111" s="16" t="s">
        <v>1118</v>
      </c>
      <c r="O111" s="18" t="s">
        <v>1095</v>
      </c>
      <c r="P111" s="18" t="s">
        <v>1224</v>
      </c>
      <c r="Q111" s="29" t="str" cm="1">
        <f t="array" ref="Q111">_xlfn.IFS(
A111="","",
AND(A111&lt;&gt;"",B111=""),"FALTA LANÇAMENTO",
AND(B111&lt;&gt;"",M111=""),"FALTA O PEDIDO",
AND(M111&lt;&gt;"",O111=""),"FALTA NF",
O111&lt;&gt;"","CONCLUÍDO")</f>
        <v>CONCLUÍDO</v>
      </c>
      <c r="R111" s="36"/>
    </row>
    <row r="112" spans="1:18" hidden="1">
      <c r="A112" s="16">
        <v>46031</v>
      </c>
      <c r="B112" s="16">
        <v>46037</v>
      </c>
      <c r="C112" s="21">
        <v>81521361</v>
      </c>
      <c r="D112" s="16" t="str">
        <f>IFERROR(VLOOKUP(Tabela5[[#This Row],[PREFIXO ]],Tabela4[#All],2,0),"CENTRO DE CUSTO")</f>
        <v>PLATAF COLHEITA N.HOLLAND DRAPER 8645P</v>
      </c>
      <c r="E112" s="18" t="s">
        <v>218</v>
      </c>
      <c r="F112" s="21">
        <v>26328</v>
      </c>
      <c r="G112" s="22">
        <v>3204.94</v>
      </c>
      <c r="H112" s="22">
        <v>13715.73</v>
      </c>
      <c r="I112" s="22">
        <f t="shared" si="2"/>
        <v>16920.669999999998</v>
      </c>
      <c r="J112" s="18" t="s">
        <v>1123</v>
      </c>
      <c r="K112" s="18">
        <v>9735129</v>
      </c>
      <c r="L112" s="18">
        <v>839325</v>
      </c>
      <c r="M112" s="18" t="s">
        <v>1238</v>
      </c>
      <c r="N112" s="16" t="s">
        <v>1179</v>
      </c>
      <c r="O112" s="18" t="s">
        <v>1095</v>
      </c>
      <c r="P112" s="18" t="s">
        <v>1224</v>
      </c>
      <c r="Q112" s="29" t="str" cm="1">
        <f t="array" ref="Q112">_xlfn.IFS(
A112="","",
AND(A112&lt;&gt;"",B112=""),"FALTA LANÇAMENTO",
AND(B112&lt;&gt;"",M112=""),"FALTA O PEDIDO",
AND(M112&lt;&gt;"",O112=""),"FALTA NF",
O112&lt;&gt;"","CONCLUÍDO")</f>
        <v>CONCLUÍDO</v>
      </c>
      <c r="R112" s="36"/>
    </row>
    <row r="113" spans="1:18" hidden="1">
      <c r="A113" s="16">
        <v>46031</v>
      </c>
      <c r="B113" s="16">
        <v>46044</v>
      </c>
      <c r="C113" s="21" t="s">
        <v>1225</v>
      </c>
      <c r="D113" s="16" t="str">
        <f>IFERROR(VLOOKUP(Tabela5[[#This Row],[PREFIXO ]],Tabela4[#All],2,0),"CENTRO DE CUSTO")</f>
        <v>CENTRO DE CUSTO</v>
      </c>
      <c r="E113" s="18" t="s">
        <v>218</v>
      </c>
      <c r="F113" s="21">
        <v>26370</v>
      </c>
      <c r="G113" s="22">
        <v>3619.2</v>
      </c>
      <c r="H113" s="22">
        <v>7986.14</v>
      </c>
      <c r="I113" s="22">
        <f t="shared" si="2"/>
        <v>11605.34</v>
      </c>
      <c r="J113" s="18" t="s">
        <v>1123</v>
      </c>
      <c r="K113" s="18" t="s">
        <v>1239</v>
      </c>
      <c r="L113" s="18">
        <v>845648</v>
      </c>
      <c r="M113" s="18" t="s">
        <v>1240</v>
      </c>
      <c r="N113" s="16" t="s">
        <v>1227</v>
      </c>
      <c r="O113" s="18" t="s">
        <v>1095</v>
      </c>
      <c r="P113" s="18" t="s">
        <v>1228</v>
      </c>
      <c r="Q113" s="29" t="str" cm="1">
        <f t="array" ref="Q113">_xlfn.IFS(
A113="","",
AND(A113&lt;&gt;"",B113=""),"FALTA LANÇAMENTO",
AND(B113&lt;&gt;"",M113=""),"FALTA O PEDIDO",
AND(M113&lt;&gt;"",O113=""),"FALTA NF",
O113&lt;&gt;"","CONCLUÍDO")</f>
        <v>CONCLUÍDO</v>
      </c>
      <c r="R113" s="36"/>
    </row>
    <row r="114" spans="1:18" hidden="1">
      <c r="A114" s="16">
        <v>46031</v>
      </c>
      <c r="B114" s="16">
        <v>46045</v>
      </c>
      <c r="C114" s="21">
        <v>51519031</v>
      </c>
      <c r="D114" s="16" t="str">
        <f>IFERROR(VLOOKUP(Tabela5[[#This Row],[PREFIXO ]],Tabela4[#All],2,0),"CENTRO DE CUSTO")</f>
        <v>COLHEIT DE GRÃOS N.HOLLAND CR 8.90</v>
      </c>
      <c r="E114" s="18" t="s">
        <v>218</v>
      </c>
      <c r="F114" s="21">
        <v>26287</v>
      </c>
      <c r="G114" s="22">
        <v>3908.44</v>
      </c>
      <c r="H114" s="22">
        <v>7396.94</v>
      </c>
      <c r="I114" s="22">
        <f t="shared" si="2"/>
        <v>11305.38</v>
      </c>
      <c r="J114" s="18" t="s">
        <v>1123</v>
      </c>
      <c r="K114" s="18">
        <v>9743648</v>
      </c>
      <c r="L114" s="18">
        <v>841738</v>
      </c>
      <c r="M114" s="18" t="s">
        <v>1241</v>
      </c>
      <c r="N114" s="16" t="s">
        <v>1242</v>
      </c>
      <c r="O114" s="18" t="s">
        <v>1095</v>
      </c>
      <c r="P114" s="18" t="s">
        <v>1243</v>
      </c>
      <c r="Q114" s="29" t="str" cm="1">
        <f t="array" ref="Q114">_xlfn.IFS(
A114="","",
AND(A114&lt;&gt;"",B114=""),"FALTA LANÇAMENTO",
AND(B114&lt;&gt;"",M114=""),"FALTA O PEDIDO",
AND(M114&lt;&gt;"",O114=""),"FALTA NF",
O114&lt;&gt;"","CONCLUÍDO")</f>
        <v>CONCLUÍDO</v>
      </c>
      <c r="R114" s="36"/>
    </row>
    <row r="115" spans="1:18" hidden="1">
      <c r="A115" s="16">
        <v>46031</v>
      </c>
      <c r="B115" s="16">
        <v>46037</v>
      </c>
      <c r="C115" s="21">
        <v>81521352</v>
      </c>
      <c r="D115" s="16" t="str">
        <f>IFERROR(VLOOKUP(Tabela5[[#This Row],[PREFIXO ]],Tabela4[#All],2,0),"CENTRO DE CUSTO")</f>
        <v>PLATAF COLHEITA N.HOLLAND DRAPER 8645P</v>
      </c>
      <c r="E115" s="18" t="s">
        <v>218</v>
      </c>
      <c r="F115" s="21">
        <v>26321</v>
      </c>
      <c r="G115" s="22">
        <v>1207</v>
      </c>
      <c r="H115" s="22">
        <v>8994.5400000000009</v>
      </c>
      <c r="I115" s="22">
        <f t="shared" si="2"/>
        <v>10201.540000000001</v>
      </c>
      <c r="J115" s="18" t="s">
        <v>1123</v>
      </c>
      <c r="K115" s="18">
        <v>9735228</v>
      </c>
      <c r="L115" s="18">
        <v>840234</v>
      </c>
      <c r="M115" s="18" t="s">
        <v>1244</v>
      </c>
      <c r="N115" s="16" t="s">
        <v>1179</v>
      </c>
      <c r="O115" s="18" t="s">
        <v>1095</v>
      </c>
      <c r="P115" s="18" t="s">
        <v>1224</v>
      </c>
      <c r="Q115" s="29" t="str" cm="1">
        <f t="array" ref="Q115">_xlfn.IFS(
A115="","",
AND(A115&lt;&gt;"",B115=""),"FALTA LANÇAMENTO",
AND(B115&lt;&gt;"",M115=""),"FALTA O PEDIDO",
AND(M115&lt;&gt;"",O115=""),"FALTA NF",
O115&lt;&gt;"","CONCLUÍDO")</f>
        <v>CONCLUÍDO</v>
      </c>
      <c r="R115" s="36"/>
    </row>
    <row r="116" spans="1:18" hidden="1">
      <c r="A116" s="16">
        <v>46031</v>
      </c>
      <c r="B116" s="16">
        <v>46038</v>
      </c>
      <c r="C116" s="21">
        <v>51521097</v>
      </c>
      <c r="D116" s="16" t="str">
        <f>IFERROR(VLOOKUP(Tabela5[[#This Row],[PREFIXO ]],Tabela4[#All],2,0),"CENTRO DE CUSTO")</f>
        <v>COLHEIT DE GRÃOS N.HOLLAND CR 8.90</v>
      </c>
      <c r="E116" s="18" t="s">
        <v>218</v>
      </c>
      <c r="F116" s="21">
        <v>26335</v>
      </c>
      <c r="G116" s="22">
        <v>1207</v>
      </c>
      <c r="H116" s="22">
        <v>4701.97</v>
      </c>
      <c r="I116" s="22">
        <f t="shared" si="2"/>
        <v>5908.97</v>
      </c>
      <c r="J116" s="18" t="s">
        <v>1123</v>
      </c>
      <c r="K116" s="18">
        <v>9735238</v>
      </c>
      <c r="L116" s="18">
        <v>840267</v>
      </c>
      <c r="M116" s="18" t="s">
        <v>1245</v>
      </c>
      <c r="N116" s="16" t="s">
        <v>1177</v>
      </c>
      <c r="O116" s="18" t="s">
        <v>1095</v>
      </c>
      <c r="P116" s="18" t="s">
        <v>1224</v>
      </c>
      <c r="Q116" s="29" t="str" cm="1">
        <f t="array" ref="Q116">_xlfn.IFS(
A116="","",
AND(A116&lt;&gt;"",B116=""),"FALTA LANÇAMENTO",
AND(B116&lt;&gt;"",M116=""),"FALTA O PEDIDO",
AND(M116&lt;&gt;"",O116=""),"FALTA NF",
O116&lt;&gt;"","CONCLUÍDO")</f>
        <v>CONCLUÍDO</v>
      </c>
      <c r="R116" s="36"/>
    </row>
    <row r="117" spans="1:18" hidden="1">
      <c r="A117" s="16">
        <v>46031</v>
      </c>
      <c r="B117" s="16">
        <v>46037</v>
      </c>
      <c r="C117" s="21" t="s">
        <v>1232</v>
      </c>
      <c r="D117" s="16" t="str">
        <f>IFERROR(VLOOKUP(Tabela5[[#This Row],[PREFIXO ]],Tabela4[#All],2,0),"CENTRO DE CUSTO")</f>
        <v>CENTRO DE CUSTO</v>
      </c>
      <c r="E117" s="18" t="s">
        <v>218</v>
      </c>
      <c r="F117" s="21">
        <v>26361</v>
      </c>
      <c r="G117" s="22">
        <v>3890.8</v>
      </c>
      <c r="H117" s="22"/>
      <c r="I117" s="22">
        <f t="shared" si="2"/>
        <v>3890.8</v>
      </c>
      <c r="J117" s="18" t="s">
        <v>1123</v>
      </c>
      <c r="K117" s="18" t="s">
        <v>1246</v>
      </c>
      <c r="L117" s="18">
        <v>840161</v>
      </c>
      <c r="M117" s="18" t="s">
        <v>1247</v>
      </c>
      <c r="N117" s="16" t="s">
        <v>1179</v>
      </c>
      <c r="O117" s="18" t="s">
        <v>1095</v>
      </c>
      <c r="P117" s="18" t="s">
        <v>1216</v>
      </c>
      <c r="Q117" s="29" t="str" cm="1">
        <f t="array" ref="Q117">_xlfn.IFS(
A117="","",
AND(A117&lt;&gt;"",B117=""),"FALTA LANÇAMENTO",
AND(B117&lt;&gt;"",M117=""),"FALTA O PEDIDO",
AND(M117&lt;&gt;"",O117=""),"FALTA NF",
O117&lt;&gt;"","CONCLUÍDO")</f>
        <v>CONCLUÍDO</v>
      </c>
      <c r="R117" s="36"/>
    </row>
    <row r="118" spans="1:18" hidden="1">
      <c r="A118" s="16">
        <v>46031</v>
      </c>
      <c r="B118" s="16">
        <v>46037</v>
      </c>
      <c r="C118" s="21">
        <v>81521358</v>
      </c>
      <c r="D118" s="16" t="str">
        <f>IFERROR(VLOOKUP(Tabela5[[#This Row],[PREFIXO ]],Tabela4[#All],2,0),"CENTRO DE CUSTO")</f>
        <v>PLATAF COLHEITA N.HOLLAND DRAPER 8645P</v>
      </c>
      <c r="E118" s="18" t="s">
        <v>218</v>
      </c>
      <c r="F118" s="21">
        <v>26344</v>
      </c>
      <c r="G118" s="22">
        <v>1207</v>
      </c>
      <c r="H118" s="22">
        <v>2555.34</v>
      </c>
      <c r="I118" s="22">
        <f t="shared" si="2"/>
        <v>3762.34</v>
      </c>
      <c r="J118" s="18" t="s">
        <v>1123</v>
      </c>
      <c r="K118" s="18">
        <v>9735239</v>
      </c>
      <c r="L118" s="18">
        <v>839827</v>
      </c>
      <c r="M118" s="18" t="s">
        <v>1248</v>
      </c>
      <c r="N118" s="16" t="s">
        <v>1118</v>
      </c>
      <c r="O118" s="18" t="s">
        <v>1095</v>
      </c>
      <c r="P118" s="18" t="s">
        <v>1249</v>
      </c>
      <c r="Q118" s="29" t="str" cm="1">
        <f t="array" ref="Q118">_xlfn.IFS(
A118="","",
AND(A118&lt;&gt;"",B118=""),"FALTA LANÇAMENTO",
AND(B118&lt;&gt;"",M118=""),"FALTA O PEDIDO",
AND(M118&lt;&gt;"",O118=""),"FALTA NF",
O118&lt;&gt;"","CONCLUÍDO")</f>
        <v>CONCLUÍDO</v>
      </c>
      <c r="R118" s="36"/>
    </row>
    <row r="119" spans="1:18" hidden="1">
      <c r="A119" s="16">
        <v>46031</v>
      </c>
      <c r="B119" s="16">
        <v>46036</v>
      </c>
      <c r="C119" s="21">
        <v>51519031</v>
      </c>
      <c r="D119" s="16" t="str">
        <f>IFERROR(VLOOKUP(Tabela5[[#This Row],[PREFIXO ]],Tabela4[#All],2,0),"CENTRO DE CUSTO")</f>
        <v>COLHEIT DE GRÃOS N.HOLLAND CR 8.90</v>
      </c>
      <c r="E119" s="18" t="s">
        <v>218</v>
      </c>
      <c r="F119" s="21">
        <v>26371</v>
      </c>
      <c r="G119" s="22">
        <v>2812</v>
      </c>
      <c r="H119" s="22"/>
      <c r="I119" s="22">
        <f t="shared" si="2"/>
        <v>2812</v>
      </c>
      <c r="J119" s="18" t="s">
        <v>1123</v>
      </c>
      <c r="K119" s="18">
        <v>9734907</v>
      </c>
      <c r="L119" s="18">
        <v>839177</v>
      </c>
      <c r="M119" s="18" t="s">
        <v>1250</v>
      </c>
      <c r="N119" s="16" t="s">
        <v>1118</v>
      </c>
      <c r="O119" s="18" t="s">
        <v>1095</v>
      </c>
      <c r="P119" s="18" t="s">
        <v>1216</v>
      </c>
      <c r="Q119" s="29" t="str" cm="1">
        <f t="array" ref="Q119">_xlfn.IFS(
A119="","",
AND(A119&lt;&gt;"",B119=""),"FALTA LANÇAMENTO",
AND(B119&lt;&gt;"",M119=""),"FALTA O PEDIDO",
AND(M119&lt;&gt;"",O119=""),"FALTA NF",
O119&lt;&gt;"","CONCLUÍDO")</f>
        <v>CONCLUÍDO</v>
      </c>
      <c r="R119" s="36"/>
    </row>
    <row r="120" spans="1:18" hidden="1">
      <c r="A120" s="16">
        <v>46031</v>
      </c>
      <c r="B120" s="16">
        <v>46037</v>
      </c>
      <c r="C120" s="21">
        <v>51521103</v>
      </c>
      <c r="D120" s="16" t="str">
        <f>IFERROR(VLOOKUP(Tabela5[[#This Row],[PREFIXO ]],Tabela4[#All],2,0),"CENTRO DE CUSTO")</f>
        <v>COLHEIT DE GRÃOS N.HOLLAND CR 8.90</v>
      </c>
      <c r="E120" s="18" t="s">
        <v>218</v>
      </c>
      <c r="F120" s="21">
        <v>26369</v>
      </c>
      <c r="G120" s="22">
        <v>1206</v>
      </c>
      <c r="H120" s="22">
        <v>67.08</v>
      </c>
      <c r="I120" s="22">
        <f t="shared" si="2"/>
        <v>1273.08</v>
      </c>
      <c r="J120" s="18" t="s">
        <v>1123</v>
      </c>
      <c r="K120" s="18">
        <v>9735135</v>
      </c>
      <c r="L120" s="18">
        <v>839845</v>
      </c>
      <c r="M120" s="18" t="s">
        <v>1220</v>
      </c>
      <c r="N120" s="16" t="s">
        <v>1221</v>
      </c>
      <c r="O120" s="18" t="s">
        <v>1095</v>
      </c>
      <c r="P120" s="18" t="s">
        <v>1222</v>
      </c>
      <c r="Q120" s="29" t="str" cm="1">
        <f t="array" ref="Q120">_xlfn.IFS(
A120="","",
AND(A120&lt;&gt;"",B120=""),"FALTA LANÇAMENTO",
AND(B120&lt;&gt;"",M120=""),"FALTA O PEDIDO",
AND(M120&lt;&gt;"",O120=""),"FALTA NF",
O120&lt;&gt;"","CONCLUÍDO")</f>
        <v>CONCLUÍDO</v>
      </c>
      <c r="R120" s="36"/>
    </row>
    <row r="121" spans="1:18" hidden="1">
      <c r="A121" s="16">
        <v>46031</v>
      </c>
      <c r="B121" s="16">
        <v>46037</v>
      </c>
      <c r="C121" s="21">
        <v>500580579</v>
      </c>
      <c r="D121" s="16" t="str">
        <f>IFERROR(VLOOKUP(Tabela5[[#This Row],[PREFIXO ]],Tabela4[#All],2,0),"CENTRO DE CUSTO")</f>
        <v>Pátio de Vendas</v>
      </c>
      <c r="E121" s="18" t="s">
        <v>224</v>
      </c>
      <c r="F121" s="21">
        <v>1625</v>
      </c>
      <c r="G121" s="22">
        <v>4700</v>
      </c>
      <c r="H121" s="22"/>
      <c r="I121" s="22">
        <f t="shared" si="2"/>
        <v>4700</v>
      </c>
      <c r="J121" s="18" t="s">
        <v>1251</v>
      </c>
      <c r="K121" s="18">
        <v>5018842</v>
      </c>
      <c r="L121" s="18" t="s">
        <v>1095</v>
      </c>
      <c r="M121" s="18" t="s">
        <v>1095</v>
      </c>
      <c r="N121" s="16" t="s">
        <v>1095</v>
      </c>
      <c r="O121" s="18" t="s">
        <v>1095</v>
      </c>
      <c r="P121" s="18" t="s">
        <v>1095</v>
      </c>
      <c r="Q121" s="29" t="str" cm="1">
        <f t="array" ref="Q121">_xlfn.IFS(
A121="","",
AND(A121&lt;&gt;"",B121=""),"FALTA LANÇAMENTO",
AND(B121&lt;&gt;"",M121=""),"FALTA O PEDIDO",
AND(M121&lt;&gt;"",O121=""),"FALTA NF",
O121&lt;&gt;"","CONCLUÍDO")</f>
        <v>CONCLUÍDO</v>
      </c>
      <c r="R121" s="36"/>
    </row>
    <row r="122" spans="1:18" hidden="1">
      <c r="A122" s="16">
        <v>46031</v>
      </c>
      <c r="B122" s="16">
        <v>46037</v>
      </c>
      <c r="C122" s="21">
        <v>500580579</v>
      </c>
      <c r="D122" s="16" t="str">
        <f>IFERROR(VLOOKUP(Tabela5[[#This Row],[PREFIXO ]],Tabela4[#All],2,0),"CENTRO DE CUSTO")</f>
        <v>Pátio de Vendas</v>
      </c>
      <c r="E122" s="18" t="s">
        <v>224</v>
      </c>
      <c r="F122" s="21">
        <v>2337</v>
      </c>
      <c r="G122" s="22">
        <v>2250</v>
      </c>
      <c r="H122" s="22"/>
      <c r="I122" s="22">
        <f t="shared" si="2"/>
        <v>2250</v>
      </c>
      <c r="J122" s="18" t="s">
        <v>1251</v>
      </c>
      <c r="K122" s="18">
        <v>5018842</v>
      </c>
      <c r="L122" s="18" t="s">
        <v>1095</v>
      </c>
      <c r="M122" s="18" t="s">
        <v>1095</v>
      </c>
      <c r="N122" s="16" t="s">
        <v>1095</v>
      </c>
      <c r="O122" s="18" t="s">
        <v>1095</v>
      </c>
      <c r="P122" s="18" t="s">
        <v>1095</v>
      </c>
      <c r="Q122" s="29" t="str" cm="1">
        <f t="array" ref="Q122">_xlfn.IFS(
A122="","",
AND(A122&lt;&gt;"",B122=""),"FALTA LANÇAMENTO",
AND(B122&lt;&gt;"",M122=""),"FALTA O PEDIDO",
AND(M122&lt;&gt;"",O122=""),"FALTA NF",
O122&lt;&gt;"","CONCLUÍDO")</f>
        <v>CONCLUÍDO</v>
      </c>
      <c r="R122" s="36"/>
    </row>
    <row r="123" spans="1:18" hidden="1">
      <c r="A123" s="16">
        <v>46031</v>
      </c>
      <c r="B123" s="16">
        <v>46037</v>
      </c>
      <c r="C123" s="21">
        <v>500580579</v>
      </c>
      <c r="D123" s="16" t="str">
        <f>IFERROR(VLOOKUP(Tabela5[[#This Row],[PREFIXO ]],Tabela4[#All],2,0),"CENTRO DE CUSTO")</f>
        <v>Pátio de Vendas</v>
      </c>
      <c r="E123" s="18" t="s">
        <v>224</v>
      </c>
      <c r="F123" s="21">
        <v>1624</v>
      </c>
      <c r="G123" s="22">
        <v>700</v>
      </c>
      <c r="H123" s="22"/>
      <c r="I123" s="22">
        <f t="shared" si="2"/>
        <v>700</v>
      </c>
      <c r="J123" s="18" t="s">
        <v>1251</v>
      </c>
      <c r="K123" s="18">
        <v>5018842</v>
      </c>
      <c r="L123" s="18" t="s">
        <v>1095</v>
      </c>
      <c r="M123" s="18" t="s">
        <v>1095</v>
      </c>
      <c r="N123" s="16" t="s">
        <v>1095</v>
      </c>
      <c r="O123" s="18" t="s">
        <v>1095</v>
      </c>
      <c r="P123" s="18" t="s">
        <v>1095</v>
      </c>
      <c r="Q123" s="29" t="str" cm="1">
        <f t="array" ref="Q123">_xlfn.IFS(
A123="","",
AND(A123&lt;&gt;"",B123=""),"FALTA LANÇAMENTO",
AND(B123&lt;&gt;"",M123=""),"FALTA O PEDIDO",
AND(M123&lt;&gt;"",O123=""),"FALTA NF",
O123&lt;&gt;"","CONCLUÍDO")</f>
        <v>CONCLUÍDO</v>
      </c>
      <c r="R123" s="36"/>
    </row>
    <row r="124" spans="1:18" hidden="1">
      <c r="A124" s="16">
        <v>46031</v>
      </c>
      <c r="B124" s="16">
        <v>46036</v>
      </c>
      <c r="C124" s="21" t="s">
        <v>1252</v>
      </c>
      <c r="D124" s="16" t="str">
        <f>IFERROR(VLOOKUP(Tabela5[[#This Row],[PREFIXO ]],Tabela4[#All],2,0),"CENTRO DE CUSTO")</f>
        <v>CENTRO DE CUSTO</v>
      </c>
      <c r="E124" s="18" t="s">
        <v>110</v>
      </c>
      <c r="F124" s="21">
        <v>33762</v>
      </c>
      <c r="G124" s="22">
        <v>98</v>
      </c>
      <c r="H124" s="22">
        <v>649.46</v>
      </c>
      <c r="I124" s="22">
        <f t="shared" si="2"/>
        <v>747.46</v>
      </c>
      <c r="J124" s="18" t="s">
        <v>1085</v>
      </c>
      <c r="K124" s="18">
        <v>9735121</v>
      </c>
      <c r="L124" s="18">
        <v>839369</v>
      </c>
      <c r="M124" s="18" t="s">
        <v>1253</v>
      </c>
      <c r="N124" s="16" t="s">
        <v>1118</v>
      </c>
      <c r="O124" s="18" t="s">
        <v>1095</v>
      </c>
      <c r="P124" s="18" t="s">
        <v>1254</v>
      </c>
      <c r="Q124" s="29" t="str" cm="1">
        <f t="array" ref="Q124">_xlfn.IFS(
A124="","",
AND(A124&lt;&gt;"",B124=""),"FALTA LANÇAMENTO",
AND(B124&lt;&gt;"",M124=""),"FALTA O PEDIDO",
AND(M124&lt;&gt;"",O124=""),"FALTA NF",
O124&lt;&gt;"","CONCLUÍDO")</f>
        <v>CONCLUÍDO</v>
      </c>
      <c r="R124" s="36"/>
    </row>
    <row r="125" spans="1:18" hidden="1">
      <c r="A125" s="16">
        <v>46031</v>
      </c>
      <c r="B125" s="16">
        <v>46036</v>
      </c>
      <c r="C125" s="21" t="s">
        <v>1255</v>
      </c>
      <c r="D125" s="16" t="str">
        <f>IFERROR(VLOOKUP(Tabela5[[#This Row],[PREFIXO ]],Tabela4[#All],2,0),"CENTRO DE CUSTO")</f>
        <v>CENTRO DE CUSTO</v>
      </c>
      <c r="E125" s="18" t="s">
        <v>250</v>
      </c>
      <c r="F125" s="21">
        <v>39579</v>
      </c>
      <c r="G125" s="22">
        <v>1782</v>
      </c>
      <c r="H125" s="22">
        <v>2282.9</v>
      </c>
      <c r="I125" s="22">
        <f t="shared" si="2"/>
        <v>4064.9</v>
      </c>
      <c r="J125" s="18" t="s">
        <v>1085</v>
      </c>
      <c r="K125" s="18">
        <v>9735098</v>
      </c>
      <c r="L125" s="18">
        <v>839391</v>
      </c>
      <c r="M125" s="18" t="s">
        <v>1256</v>
      </c>
      <c r="N125" s="16" t="s">
        <v>1118</v>
      </c>
      <c r="O125" s="18" t="s">
        <v>1095</v>
      </c>
      <c r="P125" s="18" t="s">
        <v>1180</v>
      </c>
      <c r="Q125" s="29" t="str" cm="1">
        <f t="array" ref="Q125">_xlfn.IFS(
A125="","",
AND(A125&lt;&gt;"",B125=""),"FALTA LANÇAMENTO",
AND(B125&lt;&gt;"",M125=""),"FALTA O PEDIDO",
AND(M125&lt;&gt;"",O125=""),"FALTA NF",
O125&lt;&gt;"","CONCLUÍDO")</f>
        <v>CONCLUÍDO</v>
      </c>
      <c r="R125" s="36"/>
    </row>
    <row r="126" spans="1:18" hidden="1">
      <c r="A126" s="16">
        <v>46031</v>
      </c>
      <c r="B126" s="16">
        <v>46035</v>
      </c>
      <c r="C126" s="21">
        <v>500580220</v>
      </c>
      <c r="D126" s="16" t="str">
        <f>IFERROR(VLOOKUP(Tabela5[[#This Row],[PREFIXO ]],Tabela4[#All],2,0),"CENTRO DE CUSTO")</f>
        <v>Implementos</v>
      </c>
      <c r="E126" s="18" t="s">
        <v>348</v>
      </c>
      <c r="F126" s="21">
        <v>2653</v>
      </c>
      <c r="G126" s="22">
        <v>3741.64</v>
      </c>
      <c r="H126" s="22"/>
      <c r="I126" s="22">
        <f t="shared" si="2"/>
        <v>3741.64</v>
      </c>
      <c r="J126" s="18" t="s">
        <v>1257</v>
      </c>
      <c r="K126" s="18">
        <v>5018827</v>
      </c>
      <c r="L126" s="18">
        <v>838090</v>
      </c>
      <c r="M126" s="18" t="s">
        <v>1204</v>
      </c>
      <c r="N126" s="16" t="s">
        <v>1162</v>
      </c>
      <c r="O126" s="18" t="s">
        <v>1095</v>
      </c>
      <c r="P126" s="18" t="s">
        <v>1118</v>
      </c>
      <c r="Q126" s="29" t="str" cm="1">
        <f t="array" ref="Q126">_xlfn.IFS(
A126="","",
AND(A126&lt;&gt;"",B126=""),"FALTA LANÇAMENTO",
AND(B126&lt;&gt;"",M126=""),"FALTA O PEDIDO",
AND(M126&lt;&gt;"",O126=""),"FALTA NF",
O126&lt;&gt;"","CONCLUÍDO")</f>
        <v>CONCLUÍDO</v>
      </c>
      <c r="R126" s="36"/>
    </row>
    <row r="127" spans="1:18" hidden="1">
      <c r="A127" s="16">
        <v>46031</v>
      </c>
      <c r="B127" s="16">
        <v>46035</v>
      </c>
      <c r="C127" s="21">
        <v>500580220</v>
      </c>
      <c r="D127" s="16" t="str">
        <f>IFERROR(VLOOKUP(Tabela5[[#This Row],[PREFIXO ]],Tabela4[#All],2,0),"CENTRO DE CUSTO")</f>
        <v>Implementos</v>
      </c>
      <c r="E127" s="18" t="s">
        <v>348</v>
      </c>
      <c r="F127" s="21">
        <v>2608</v>
      </c>
      <c r="G127" s="22">
        <v>282</v>
      </c>
      <c r="H127" s="22"/>
      <c r="I127" s="22">
        <f t="shared" si="2"/>
        <v>282</v>
      </c>
      <c r="J127" s="18" t="s">
        <v>1257</v>
      </c>
      <c r="K127" s="18">
        <v>5018827</v>
      </c>
      <c r="L127" s="18">
        <v>838090</v>
      </c>
      <c r="M127" s="18" t="s">
        <v>1204</v>
      </c>
      <c r="N127" s="16" t="s">
        <v>1162</v>
      </c>
      <c r="O127" s="18" t="s">
        <v>1095</v>
      </c>
      <c r="P127" s="18" t="s">
        <v>1118</v>
      </c>
      <c r="Q127" s="29" t="str" cm="1">
        <f t="array" ref="Q127">_xlfn.IFS(
A127="","",
AND(A127&lt;&gt;"",B127=""),"FALTA LANÇAMENTO",
AND(B127&lt;&gt;"",M127=""),"FALTA O PEDIDO",
AND(M127&lt;&gt;"",O127=""),"FALTA NF",
O127&lt;&gt;"","CONCLUÍDO")</f>
        <v>CONCLUÍDO</v>
      </c>
      <c r="R127" s="36"/>
    </row>
    <row r="128" spans="1:18" hidden="1">
      <c r="A128" s="16">
        <v>46035</v>
      </c>
      <c r="B128" s="16">
        <v>46042</v>
      </c>
      <c r="C128" s="21">
        <v>51521097</v>
      </c>
      <c r="D128" s="16" t="str">
        <f>IFERROR(VLOOKUP(Tabela5[[#This Row],[PREFIXO ]],Tabela4[#All],2,0),"CENTRO DE CUSTO")</f>
        <v>COLHEIT DE GRÃOS N.HOLLAND CR 8.90</v>
      </c>
      <c r="E128" s="18" t="s">
        <v>49</v>
      </c>
      <c r="F128" s="21" t="s">
        <v>1258</v>
      </c>
      <c r="G128" s="22">
        <v>385</v>
      </c>
      <c r="H128" s="22"/>
      <c r="I128" s="22">
        <f t="shared" ref="I128:I191" si="3">G128+H128</f>
        <v>385</v>
      </c>
      <c r="J128" s="18" t="s">
        <v>1123</v>
      </c>
      <c r="K128" s="18">
        <v>9737519</v>
      </c>
      <c r="L128" s="18">
        <v>844209</v>
      </c>
      <c r="M128" s="18" t="s">
        <v>1259</v>
      </c>
      <c r="N128" s="16" t="s">
        <v>1221</v>
      </c>
      <c r="O128" s="18" t="s">
        <v>1095</v>
      </c>
      <c r="P128" s="18" t="s">
        <v>1216</v>
      </c>
      <c r="Q128" s="29" t="str" cm="1">
        <f t="array" ref="Q128">_xlfn.IFS(
A128="","",
AND(A128&lt;&gt;"",B128=""),"FALTA LANÇAMENTO",
AND(B128&lt;&gt;"",M128=""),"FALTA O PEDIDO",
AND(M128&lt;&gt;"",O128=""),"FALTA NF",
O128&lt;&gt;"","CONCLUÍDO")</f>
        <v>CONCLUÍDO</v>
      </c>
      <c r="R128" s="36"/>
    </row>
    <row r="129" spans="1:18" hidden="1">
      <c r="A129" s="16">
        <v>46036</v>
      </c>
      <c r="B129" s="16">
        <v>46036</v>
      </c>
      <c r="C129" s="21" t="s">
        <v>1260</v>
      </c>
      <c r="D129" s="16" t="str">
        <f>IFERROR(VLOOKUP(Tabela5[[#This Row],[PREFIXO ]],Tabela4[#All],2,0),"CENTRO DE CUSTO")</f>
        <v>CENTRO DE CUSTO</v>
      </c>
      <c r="E129" s="18" t="s">
        <v>249</v>
      </c>
      <c r="F129" s="21">
        <v>213</v>
      </c>
      <c r="G129" s="22">
        <v>59500</v>
      </c>
      <c r="H129" s="22"/>
      <c r="I129" s="22">
        <f t="shared" si="3"/>
        <v>59500</v>
      </c>
      <c r="J129" s="18" t="s">
        <v>1199</v>
      </c>
      <c r="K129" s="18" t="s">
        <v>1261</v>
      </c>
      <c r="L129" s="18">
        <v>839193</v>
      </c>
      <c r="M129" s="18" t="s">
        <v>1262</v>
      </c>
      <c r="N129" s="16" t="s">
        <v>1118</v>
      </c>
      <c r="O129" s="18" t="s">
        <v>1095</v>
      </c>
      <c r="P129" s="18" t="s">
        <v>1177</v>
      </c>
      <c r="Q129" s="29" t="str" cm="1">
        <f t="array" ref="Q129">_xlfn.IFS(
A129="","",
AND(A129&lt;&gt;"",B129=""),"FALTA LANÇAMENTO",
AND(B129&lt;&gt;"",M129=""),"FALTA O PEDIDO",
AND(M129&lt;&gt;"",O129=""),"FALTA NF",
O129&lt;&gt;"","CONCLUÍDO")</f>
        <v>CONCLUÍDO</v>
      </c>
      <c r="R129" s="36"/>
    </row>
    <row r="130" spans="1:18" hidden="1">
      <c r="A130" s="16">
        <v>46037</v>
      </c>
      <c r="B130" s="16">
        <v>46042</v>
      </c>
      <c r="C130" s="21">
        <v>15014010</v>
      </c>
      <c r="D130" s="16" t="str">
        <f>IFERROR(VLOOKUP(Tabela5[[#This Row],[PREFIXO ]],Tabela4[#All],2,0),"CENTRO DE CUSTO")</f>
        <v>TRAT PN EXT PES JOHN DEERE 9520R</v>
      </c>
      <c r="E130" s="18" t="s">
        <v>17</v>
      </c>
      <c r="F130" s="21">
        <v>41290</v>
      </c>
      <c r="G130" s="22">
        <v>25304.97</v>
      </c>
      <c r="H130" s="22">
        <v>114618</v>
      </c>
      <c r="I130" s="22">
        <f t="shared" si="3"/>
        <v>139922.97</v>
      </c>
      <c r="J130" s="18" t="s">
        <v>1199</v>
      </c>
      <c r="K130" s="18">
        <v>9737534</v>
      </c>
      <c r="L130" s="18">
        <v>842892</v>
      </c>
      <c r="M130" s="18" t="s">
        <v>1263</v>
      </c>
      <c r="N130" s="16" t="s">
        <v>1221</v>
      </c>
      <c r="O130" s="18" t="s">
        <v>1095</v>
      </c>
      <c r="P130" s="18" t="s">
        <v>1264</v>
      </c>
      <c r="Q130" s="29" t="str" cm="1">
        <f t="array" ref="Q130">_xlfn.IFS(
A130="","",
AND(A130&lt;&gt;"",B130=""),"FALTA LANÇAMENTO",
AND(B130&lt;&gt;"",M130=""),"FALTA O PEDIDO",
AND(M130&lt;&gt;"",O130=""),"FALTA NF",
O130&lt;&gt;"","CONCLUÍDO")</f>
        <v>CONCLUÍDO</v>
      </c>
      <c r="R130" s="36"/>
    </row>
    <row r="131" spans="1:18" hidden="1">
      <c r="A131" s="16">
        <v>46037</v>
      </c>
      <c r="B131" s="16">
        <v>46051</v>
      </c>
      <c r="C131" s="21">
        <v>13130034</v>
      </c>
      <c r="D131" s="16" t="str">
        <f>IFERROR(VLOOKUP(Tabela5[[#This Row],[PREFIXO ]],Tabela4[#All],2,0),"CENTRO DE CUSTO")</f>
        <v>PULV AUTOPROP JOHN DEERE M4030</v>
      </c>
      <c r="E131" s="18" t="s">
        <v>17</v>
      </c>
      <c r="F131" s="21">
        <v>40674</v>
      </c>
      <c r="G131" s="22">
        <v>30263.4</v>
      </c>
      <c r="H131" s="22">
        <v>19588.5</v>
      </c>
      <c r="I131" s="22">
        <f t="shared" si="3"/>
        <v>49851.9</v>
      </c>
      <c r="J131" s="18" t="s">
        <v>1265</v>
      </c>
      <c r="K131" s="18">
        <v>9744066</v>
      </c>
      <c r="L131" s="18">
        <v>850005</v>
      </c>
      <c r="M131" s="18" t="s">
        <v>1266</v>
      </c>
      <c r="N131" s="16" t="s">
        <v>1267</v>
      </c>
      <c r="O131" s="18" t="s">
        <v>1095</v>
      </c>
      <c r="P131" s="18" t="s">
        <v>1268</v>
      </c>
      <c r="Q131" s="29" t="str" cm="1">
        <f t="array" ref="Q131">_xlfn.IFS(
A131="","",
AND(A131&lt;&gt;"",B131=""),"FALTA LANÇAMENTO",
AND(B131&lt;&gt;"",M131=""),"FALTA O PEDIDO",
AND(M131&lt;&gt;"",O131=""),"FALTA NF",
O131&lt;&gt;"","CONCLUÍDO")</f>
        <v>CONCLUÍDO</v>
      </c>
      <c r="R131" s="36"/>
    </row>
    <row r="132" spans="1:18" hidden="1">
      <c r="A132" s="16">
        <v>46037</v>
      </c>
      <c r="B132" s="16">
        <v>46049</v>
      </c>
      <c r="C132" s="21">
        <v>13130046</v>
      </c>
      <c r="D132" s="16" t="str">
        <f>IFERROR(VLOOKUP(Tabela5[[#This Row],[PREFIXO ]],Tabela4[#All],2,0),"CENTRO DE CUSTO")</f>
        <v>PULV AUTOPROP JOHN DEERE M4030</v>
      </c>
      <c r="E132" s="18" t="s">
        <v>17</v>
      </c>
      <c r="F132" s="21">
        <v>40761</v>
      </c>
      <c r="G132" s="22">
        <v>24177.599999999999</v>
      </c>
      <c r="H132" s="22">
        <v>24134.65</v>
      </c>
      <c r="I132" s="22">
        <f t="shared" si="3"/>
        <v>48312.25</v>
      </c>
      <c r="J132" s="18" t="s">
        <v>1265</v>
      </c>
      <c r="K132" s="18">
        <v>9744067</v>
      </c>
      <c r="L132" s="18">
        <v>849435</v>
      </c>
      <c r="M132" s="18" t="s">
        <v>1269</v>
      </c>
      <c r="N132" s="16" t="s">
        <v>1267</v>
      </c>
      <c r="O132" s="18" t="s">
        <v>1095</v>
      </c>
      <c r="P132" s="18" t="s">
        <v>1270</v>
      </c>
      <c r="Q132" s="29" t="str" cm="1">
        <f t="array" ref="Q132">_xlfn.IFS(
A132="","",
AND(A132&lt;&gt;"",B132=""),"FALTA LANÇAMENTO",
AND(B132&lt;&gt;"",M132=""),"FALTA O PEDIDO",
AND(M132&lt;&gt;"",O132=""),"FALTA NF",
O132&lt;&gt;"","CONCLUÍDO")</f>
        <v>CONCLUÍDO</v>
      </c>
      <c r="R132" s="36"/>
    </row>
    <row r="133" spans="1:18" hidden="1">
      <c r="A133" s="16">
        <v>46037</v>
      </c>
      <c r="B133" s="16">
        <v>46038</v>
      </c>
      <c r="C133" s="21">
        <v>51521055</v>
      </c>
      <c r="D133" s="16" t="str">
        <f>IFERROR(VLOOKUP(Tabela5[[#This Row],[PREFIXO ]],Tabela4[#All],2,0),"CENTRO DE CUSTO")</f>
        <v>COLHED ALGODÃO JOHN DEERE CP 690</v>
      </c>
      <c r="E133" s="18" t="s">
        <v>17</v>
      </c>
      <c r="F133" s="21">
        <v>42624</v>
      </c>
      <c r="G133" s="22">
        <v>12489.4</v>
      </c>
      <c r="H133" s="22">
        <v>14991.11</v>
      </c>
      <c r="I133" s="22">
        <f t="shared" si="3"/>
        <v>27480.510000000002</v>
      </c>
      <c r="J133" s="18" t="s">
        <v>1123</v>
      </c>
      <c r="K133" s="18">
        <v>973758</v>
      </c>
      <c r="L133" s="18">
        <v>840521</v>
      </c>
      <c r="M133" s="18" t="s">
        <v>1271</v>
      </c>
      <c r="N133" s="16" t="s">
        <v>1177</v>
      </c>
      <c r="O133" s="18" t="s">
        <v>1095</v>
      </c>
      <c r="P133" s="18" t="s">
        <v>1272</v>
      </c>
      <c r="Q133" s="29" t="str" cm="1">
        <f t="array" ref="Q133">_xlfn.IFS(
A133="","",
AND(A133&lt;&gt;"",B133=""),"FALTA LANÇAMENTO",
AND(B133&lt;&gt;"",M133=""),"FALTA O PEDIDO",
AND(M133&lt;&gt;"",O133=""),"FALTA NF",
O133&lt;&gt;"","CONCLUÍDO")</f>
        <v>CONCLUÍDO</v>
      </c>
      <c r="R133" s="36"/>
    </row>
    <row r="134" spans="1:18" hidden="1">
      <c r="A134" s="16">
        <v>46037</v>
      </c>
      <c r="B134" s="16">
        <v>46037</v>
      </c>
      <c r="C134" s="21">
        <v>23180054</v>
      </c>
      <c r="D134" s="16" t="str">
        <f>IFERROR(VLOOKUP(Tabela5[[#This Row],[PREFIXO ]],Tabela4[#All],2,0),"CENTRO DE CUSTO")</f>
        <v>COLHEIT DE GRÃOS JOHN DEERE S 780</v>
      </c>
      <c r="E134" s="18" t="s">
        <v>17</v>
      </c>
      <c r="F134" s="21">
        <v>42987</v>
      </c>
      <c r="G134" s="22">
        <v>23780.400000000001</v>
      </c>
      <c r="H134" s="22"/>
      <c r="I134" s="22">
        <f t="shared" si="3"/>
        <v>23780.400000000001</v>
      </c>
      <c r="J134" s="18" t="s">
        <v>1123</v>
      </c>
      <c r="K134" s="18">
        <v>5018857</v>
      </c>
      <c r="L134" s="18">
        <v>840506</v>
      </c>
      <c r="M134" s="18" t="s">
        <v>1273</v>
      </c>
      <c r="N134" s="16" t="s">
        <v>1179</v>
      </c>
      <c r="O134" s="18" t="s">
        <v>1095</v>
      </c>
      <c r="P134" s="18" t="s">
        <v>1177</v>
      </c>
      <c r="Q134" s="29" t="str" cm="1">
        <f t="array" ref="Q134">_xlfn.IFS(
A134="","",
AND(A134&lt;&gt;"",B134=""),"FALTA LANÇAMENTO",
AND(B134&lt;&gt;"",M134=""),"FALTA O PEDIDO",
AND(M134&lt;&gt;"",O134=""),"FALTA NF",
O134&lt;&gt;"","CONCLUÍDO")</f>
        <v>CONCLUÍDO</v>
      </c>
      <c r="R134" s="36"/>
    </row>
    <row r="135" spans="1:18" hidden="1">
      <c r="A135" s="16">
        <v>46037</v>
      </c>
      <c r="B135" s="16">
        <v>46045</v>
      </c>
      <c r="C135" s="21">
        <v>23180051</v>
      </c>
      <c r="D135" s="16" t="str">
        <f>IFERROR(VLOOKUP(Tabela5[[#This Row],[PREFIXO ]],Tabela4[#All],2,0),"CENTRO DE CUSTO")</f>
        <v>COLHEIT DE GRÃOS JOHN DEERE S 780</v>
      </c>
      <c r="E135" s="18" t="s">
        <v>17</v>
      </c>
      <c r="F135" s="21">
        <v>43099</v>
      </c>
      <c r="G135" s="22">
        <v>23780.400000000001</v>
      </c>
      <c r="H135" s="22"/>
      <c r="I135" s="22">
        <f t="shared" si="3"/>
        <v>23780.400000000001</v>
      </c>
      <c r="J135" s="18" t="s">
        <v>1123</v>
      </c>
      <c r="K135" s="18">
        <v>9743845</v>
      </c>
      <c r="L135" s="18">
        <v>847487</v>
      </c>
      <c r="M135" s="18" t="s">
        <v>1274</v>
      </c>
      <c r="N135" s="16" t="s">
        <v>1242</v>
      </c>
      <c r="O135" s="18" t="s">
        <v>1095</v>
      </c>
      <c r="P135" s="18" t="s">
        <v>1275</v>
      </c>
      <c r="Q135" s="29" t="str" cm="1">
        <f t="array" ref="Q135">_xlfn.IFS(
A135="","",
AND(A135&lt;&gt;"",B135=""),"FALTA LANÇAMENTO",
AND(B135&lt;&gt;"",M135=""),"FALTA O PEDIDO",
AND(M135&lt;&gt;"",O135=""),"FALTA NF",
O135&lt;&gt;"","CONCLUÍDO")</f>
        <v>CONCLUÍDO</v>
      </c>
      <c r="R135" s="36"/>
    </row>
    <row r="136" spans="1:18" hidden="1">
      <c r="A136" s="16">
        <v>46037</v>
      </c>
      <c r="B136" s="16">
        <v>46037</v>
      </c>
      <c r="C136" s="21">
        <v>51519059</v>
      </c>
      <c r="D136" s="16" t="str">
        <f>IFERROR(VLOOKUP(Tabela5[[#This Row],[PREFIXO ]],Tabela4[#All],2,0),"CENTRO DE CUSTO")</f>
        <v>CENTRO DE CUSTO</v>
      </c>
      <c r="E136" s="18" t="s">
        <v>17</v>
      </c>
      <c r="F136" s="21">
        <v>42556</v>
      </c>
      <c r="G136" s="22">
        <v>4329.42</v>
      </c>
      <c r="H136" s="22"/>
      <c r="I136" s="22">
        <f t="shared" si="3"/>
        <v>4329.42</v>
      </c>
      <c r="J136" s="18" t="s">
        <v>1123</v>
      </c>
      <c r="K136" s="18">
        <v>9737591</v>
      </c>
      <c r="L136" s="18">
        <v>840495</v>
      </c>
      <c r="M136" s="18" t="s">
        <v>1276</v>
      </c>
      <c r="N136" s="16" t="s">
        <v>1179</v>
      </c>
      <c r="O136" s="18" t="s">
        <v>1095</v>
      </c>
      <c r="P136" s="18" t="s">
        <v>1177</v>
      </c>
      <c r="Q136" s="29" t="str" cm="1">
        <f t="array" ref="Q136">_xlfn.IFS(
A136="","",
AND(A136&lt;&gt;"",B136=""),"FALTA LANÇAMENTO",
AND(B136&lt;&gt;"",M136=""),"FALTA O PEDIDO",
AND(M136&lt;&gt;"",O136=""),"FALTA NF",
O136&lt;&gt;"","CONCLUÍDO")</f>
        <v>CONCLUÍDO</v>
      </c>
      <c r="R136" s="36"/>
    </row>
    <row r="137" spans="1:18" hidden="1">
      <c r="A137" s="16">
        <v>46037</v>
      </c>
      <c r="B137" s="16">
        <v>46037</v>
      </c>
      <c r="C137" s="21">
        <v>13100035</v>
      </c>
      <c r="D137" s="16" t="str">
        <f>IFERROR(VLOOKUP(Tabela5[[#This Row],[PREFIXO ]],Tabela4[#All],2,0),"CENTRO DE CUSTO")</f>
        <v>CENTRO DE CUSTO</v>
      </c>
      <c r="E137" s="18" t="s">
        <v>17</v>
      </c>
      <c r="F137" s="21">
        <v>42740</v>
      </c>
      <c r="G137" s="22">
        <v>3287.91</v>
      </c>
      <c r="H137" s="22"/>
      <c r="I137" s="22">
        <f t="shared" si="3"/>
        <v>3287.91</v>
      </c>
      <c r="J137" s="18" t="s">
        <v>1199</v>
      </c>
      <c r="K137" s="18">
        <v>9737532</v>
      </c>
      <c r="L137" s="18">
        <v>840482</v>
      </c>
      <c r="M137" s="18" t="s">
        <v>1277</v>
      </c>
      <c r="N137" s="16" t="s">
        <v>1179</v>
      </c>
      <c r="O137" s="18" t="s">
        <v>1095</v>
      </c>
      <c r="P137" s="18" t="s">
        <v>1177</v>
      </c>
      <c r="Q137" s="29" t="str" cm="1">
        <f t="array" ref="Q137">_xlfn.IFS(
A137="","",
AND(A137&lt;&gt;"",B137=""),"FALTA LANÇAMENTO",
AND(B137&lt;&gt;"",M137=""),"FALTA O PEDIDO",
AND(M137&lt;&gt;"",O137=""),"FALTA NF",
O137&lt;&gt;"","CONCLUÍDO")</f>
        <v>CONCLUÍDO</v>
      </c>
      <c r="R137" s="36"/>
    </row>
    <row r="138" spans="1:18" hidden="1">
      <c r="A138" s="16">
        <v>46037</v>
      </c>
      <c r="B138" s="16">
        <v>46038</v>
      </c>
      <c r="C138" s="21">
        <v>51519061</v>
      </c>
      <c r="D138" s="16" t="str">
        <f>IFERROR(VLOOKUP(Tabela5[[#This Row],[PREFIXO ]],Tabela4[#All],2,0),"CENTRO DE CUSTO")</f>
        <v>CENTRO DE CUSTO</v>
      </c>
      <c r="E138" s="18" t="s">
        <v>17</v>
      </c>
      <c r="F138" s="21">
        <v>42488</v>
      </c>
      <c r="G138" s="22">
        <v>1550.97</v>
      </c>
      <c r="H138" s="22">
        <v>617.38</v>
      </c>
      <c r="I138" s="22">
        <f t="shared" si="3"/>
        <v>2168.35</v>
      </c>
      <c r="J138" s="18" t="s">
        <v>1123</v>
      </c>
      <c r="K138" s="18">
        <v>9737864</v>
      </c>
      <c r="L138" s="18">
        <v>9737864</v>
      </c>
      <c r="M138" s="18" t="s">
        <v>1278</v>
      </c>
      <c r="N138" s="16" t="s">
        <v>1179</v>
      </c>
      <c r="O138" s="18" t="s">
        <v>1095</v>
      </c>
      <c r="P138" s="18" t="s">
        <v>1279</v>
      </c>
      <c r="Q138" s="29" t="str" cm="1">
        <f t="array" ref="Q138">_xlfn.IFS(
A138="","",
AND(A138&lt;&gt;"",B138=""),"FALTA LANÇAMENTO",
AND(B138&lt;&gt;"",M138=""),"FALTA O PEDIDO",
AND(M138&lt;&gt;"",O138=""),"FALTA NF",
O138&lt;&gt;"","CONCLUÍDO")</f>
        <v>CONCLUÍDO</v>
      </c>
      <c r="R138" s="36"/>
    </row>
    <row r="139" spans="1:18" hidden="1">
      <c r="A139" s="16">
        <v>46037</v>
      </c>
      <c r="B139" s="16">
        <v>46038</v>
      </c>
      <c r="C139" s="21">
        <v>23180044</v>
      </c>
      <c r="D139" s="16" t="str">
        <f>IFERROR(VLOOKUP(Tabela5[[#This Row],[PREFIXO ]],Tabela4[#All],2,0),"CENTRO DE CUSTO")</f>
        <v>COLHEIT DE GRÃOS JOHN DEERE S 780</v>
      </c>
      <c r="E139" s="18" t="s">
        <v>17</v>
      </c>
      <c r="F139" s="21">
        <v>42197</v>
      </c>
      <c r="G139" s="22">
        <v>1341</v>
      </c>
      <c r="H139" s="22">
        <v>382.55</v>
      </c>
      <c r="I139" s="22">
        <f t="shared" si="3"/>
        <v>1723.55</v>
      </c>
      <c r="J139" s="18" t="s">
        <v>1123</v>
      </c>
      <c r="K139" s="18">
        <v>9737527</v>
      </c>
      <c r="L139" s="18">
        <v>8402926</v>
      </c>
      <c r="M139" s="18" t="s">
        <v>1280</v>
      </c>
      <c r="N139" s="16" t="s">
        <v>1179</v>
      </c>
      <c r="O139" s="18" t="s">
        <v>1095</v>
      </c>
      <c r="P139" s="18" t="s">
        <v>1281</v>
      </c>
      <c r="Q139" s="29" t="str" cm="1">
        <f t="array" ref="Q139">_xlfn.IFS(
A139="","",
AND(A139&lt;&gt;"",B139=""),"FALTA LANÇAMENTO",
AND(B139&lt;&gt;"",M139=""),"FALTA O PEDIDO",
AND(M139&lt;&gt;"",O139=""),"FALTA NF",
O139&lt;&gt;"","CONCLUÍDO")</f>
        <v>CONCLUÍDO</v>
      </c>
      <c r="R139" s="36"/>
    </row>
    <row r="140" spans="1:18" hidden="1">
      <c r="A140" s="16">
        <v>46037</v>
      </c>
      <c r="B140" s="16">
        <v>46038</v>
      </c>
      <c r="C140" s="21">
        <v>13100037</v>
      </c>
      <c r="D140" s="16" t="str">
        <f>IFERROR(VLOOKUP(Tabela5[[#This Row],[PREFIXO ]],Tabela4[#All],2,0),"CENTRO DE CUSTO")</f>
        <v>CENTRO DE CUSTO</v>
      </c>
      <c r="E140" s="18" t="s">
        <v>17</v>
      </c>
      <c r="F140" s="21">
        <v>42563</v>
      </c>
      <c r="G140" s="22">
        <v>1510.86</v>
      </c>
      <c r="H140" s="22"/>
      <c r="I140" s="22">
        <f t="shared" si="3"/>
        <v>1510.86</v>
      </c>
      <c r="J140" s="18" t="s">
        <v>1199</v>
      </c>
      <c r="K140" s="18">
        <v>9737524</v>
      </c>
      <c r="L140" s="18">
        <v>840476</v>
      </c>
      <c r="M140" s="18" t="s">
        <v>1282</v>
      </c>
      <c r="N140" s="16" t="s">
        <v>1179</v>
      </c>
      <c r="O140" s="18" t="s">
        <v>1095</v>
      </c>
      <c r="P140" s="18" t="s">
        <v>1177</v>
      </c>
      <c r="Q140" s="29" t="str" cm="1">
        <f t="array" ref="Q140">_xlfn.IFS(
A140="","",
AND(A140&lt;&gt;"",B140=""),"FALTA LANÇAMENTO",
AND(B140&lt;&gt;"",M140=""),"FALTA O PEDIDO",
AND(M140&lt;&gt;"",O140=""),"FALTA NF",
O140&lt;&gt;"","CONCLUÍDO")</f>
        <v>CONCLUÍDO</v>
      </c>
      <c r="R140" s="36"/>
    </row>
    <row r="141" spans="1:18" hidden="1">
      <c r="A141" s="16">
        <v>46037</v>
      </c>
      <c r="B141" s="16">
        <v>46052</v>
      </c>
      <c r="C141" s="21">
        <v>61521011</v>
      </c>
      <c r="D141" s="16" t="str">
        <f>IFERROR(VLOOKUP(Tabela5[[#This Row],[PREFIXO ]],Tabela4[#All],2,0),"CENTRO DE CUSTO")</f>
        <v>CAM COMBOIO MERC BENZ ATRON 2729</v>
      </c>
      <c r="E141" s="18" t="s">
        <v>29</v>
      </c>
      <c r="F141" s="21">
        <v>54413</v>
      </c>
      <c r="G141" s="22">
        <v>7925</v>
      </c>
      <c r="H141" s="22">
        <v>21772.28</v>
      </c>
      <c r="I141" s="22">
        <f t="shared" si="3"/>
        <v>29697.279999999999</v>
      </c>
      <c r="J141" s="18" t="s">
        <v>1085</v>
      </c>
      <c r="K141" s="18">
        <v>9706622</v>
      </c>
      <c r="L141" s="18">
        <v>851253</v>
      </c>
      <c r="M141" s="18" t="s">
        <v>1283</v>
      </c>
      <c r="N141" s="16" t="s">
        <v>1284</v>
      </c>
      <c r="O141" s="18" t="s">
        <v>1095</v>
      </c>
      <c r="P141" s="18" t="s">
        <v>1285</v>
      </c>
      <c r="Q141" s="29" t="str" cm="1">
        <f t="array" ref="Q141">_xlfn.IFS(
A141="","",
AND(A141&lt;&gt;"",B141=""),"FALTA LANÇAMENTO",
AND(B141&lt;&gt;"",M141=""),"FALTA O PEDIDO",
AND(M141&lt;&gt;"",O141=""),"FALTA NF",
O141&lt;&gt;"","CONCLUÍDO")</f>
        <v>CONCLUÍDO</v>
      </c>
      <c r="R141" s="36"/>
    </row>
    <row r="142" spans="1:18" hidden="1">
      <c r="A142" s="16">
        <v>46037</v>
      </c>
      <c r="B142" s="16">
        <v>46043</v>
      </c>
      <c r="C142" s="21">
        <v>61521068</v>
      </c>
      <c r="D142" s="16" t="str">
        <f>IFERROR(VLOOKUP(Tabela5[[#This Row],[PREFIXO ]],Tabela4[#All],2,0),"CENTRO DE CUSTO")</f>
        <v>CAM PIPA BOMB VOLVO VM 330</v>
      </c>
      <c r="E142" s="18" t="s">
        <v>29</v>
      </c>
      <c r="F142" s="21">
        <v>54580</v>
      </c>
      <c r="G142" s="22">
        <v>490</v>
      </c>
      <c r="H142" s="22">
        <v>15.04</v>
      </c>
      <c r="I142" s="22">
        <f t="shared" si="3"/>
        <v>505.04</v>
      </c>
      <c r="J142" s="18" t="s">
        <v>1085</v>
      </c>
      <c r="K142" s="18">
        <v>973322</v>
      </c>
      <c r="L142" s="18">
        <v>845199</v>
      </c>
      <c r="M142" s="18" t="s">
        <v>1286</v>
      </c>
      <c r="N142" s="16" t="s">
        <v>1216</v>
      </c>
      <c r="O142" s="18" t="s">
        <v>1095</v>
      </c>
      <c r="P142" s="18" t="s">
        <v>1222</v>
      </c>
      <c r="Q142" s="29" t="str" cm="1">
        <f t="array" ref="Q142">_xlfn.IFS(
A142="","",
AND(A142&lt;&gt;"",B142=""),"FALTA LANÇAMENTO",
AND(B142&lt;&gt;"",M142=""),"FALTA O PEDIDO",
AND(M142&lt;&gt;"",O142=""),"FALTA NF",
O142&lt;&gt;"","CONCLUÍDO")</f>
        <v>CONCLUÍDO</v>
      </c>
      <c r="R142" s="36"/>
    </row>
    <row r="143" spans="1:18" hidden="1">
      <c r="A143" s="16">
        <v>46037</v>
      </c>
      <c r="B143" s="16">
        <v>46049</v>
      </c>
      <c r="C143" s="21">
        <v>31521034</v>
      </c>
      <c r="D143" s="16" t="str">
        <f>IFERROR(VLOOKUP(Tabela5[[#This Row],[PREFIXO ]],Tabela4[#All],2,0),"CENTRO DE CUSTO")</f>
        <v>ADUB AUTOPROP KUHN ACCURA ST 7000</v>
      </c>
      <c r="E143" s="18" t="s">
        <v>34</v>
      </c>
      <c r="F143" s="21">
        <v>69570</v>
      </c>
      <c r="G143" s="22"/>
      <c r="H143" s="22">
        <v>5250</v>
      </c>
      <c r="I143" s="22">
        <f t="shared" si="3"/>
        <v>5250</v>
      </c>
      <c r="J143" s="18" t="s">
        <v>1080</v>
      </c>
      <c r="K143" s="18">
        <v>9743130</v>
      </c>
      <c r="L143" s="18">
        <v>849367</v>
      </c>
      <c r="M143" s="18" t="s">
        <v>1287</v>
      </c>
      <c r="N143" s="16" t="s">
        <v>1242</v>
      </c>
      <c r="O143" s="18" t="s">
        <v>1095</v>
      </c>
      <c r="P143" s="18" t="s">
        <v>1288</v>
      </c>
      <c r="Q143" s="29" t="str" cm="1">
        <f t="array" ref="Q143">_xlfn.IFS(
A143="","",
AND(A143&lt;&gt;"",B143=""),"FALTA LANÇAMENTO",
AND(B143&lt;&gt;"",M143=""),"FALTA O PEDIDO",
AND(M143&lt;&gt;"",O143=""),"FALTA NF",
O143&lt;&gt;"","CONCLUÍDO")</f>
        <v>CONCLUÍDO</v>
      </c>
      <c r="R143" s="36"/>
    </row>
    <row r="144" spans="1:18" hidden="1">
      <c r="A144" s="16">
        <v>46037</v>
      </c>
      <c r="B144" s="16">
        <v>46049</v>
      </c>
      <c r="C144" s="21">
        <v>31521034</v>
      </c>
      <c r="D144" s="16" t="str">
        <f>IFERROR(VLOOKUP(Tabela5[[#This Row],[PREFIXO ]],Tabela4[#All],2,0),"CENTRO DE CUSTO")</f>
        <v>ADUB AUTOPROP KUHN ACCURA ST 7000</v>
      </c>
      <c r="E144" s="18" t="s">
        <v>34</v>
      </c>
      <c r="F144" s="21">
        <v>40212</v>
      </c>
      <c r="G144" s="22">
        <v>600</v>
      </c>
      <c r="H144" s="22"/>
      <c r="I144" s="22">
        <f t="shared" si="3"/>
        <v>600</v>
      </c>
      <c r="J144" s="18" t="s">
        <v>1080</v>
      </c>
      <c r="K144" s="18">
        <v>9743130</v>
      </c>
      <c r="L144" s="18">
        <v>849367</v>
      </c>
      <c r="M144" s="18" t="s">
        <v>1287</v>
      </c>
      <c r="N144" s="16" t="s">
        <v>1242</v>
      </c>
      <c r="O144" s="18" t="s">
        <v>1095</v>
      </c>
      <c r="P144" s="18" t="s">
        <v>1288</v>
      </c>
      <c r="Q144" s="29" t="str" cm="1">
        <f t="array" ref="Q144">_xlfn.IFS(
A144="","",
AND(A144&lt;&gt;"",B144=""),"FALTA LANÇAMENTO",
AND(B144&lt;&gt;"",M144=""),"FALTA O PEDIDO",
AND(M144&lt;&gt;"",O144=""),"FALTA NF",
O144&lt;&gt;"","CONCLUÍDO")</f>
        <v>CONCLUÍDO</v>
      </c>
      <c r="R144" s="36"/>
    </row>
    <row r="145" spans="1:18" hidden="1">
      <c r="A145" s="16">
        <v>46037</v>
      </c>
      <c r="B145" s="16" t="s">
        <v>1134</v>
      </c>
      <c r="C145" s="21" t="s">
        <v>1289</v>
      </c>
      <c r="D145" s="16" t="str">
        <f>IFERROR(VLOOKUP(Tabela5[[#This Row],[PREFIXO ]],Tabela4[#All],2,0),"CENTRO DE CUSTO")</f>
        <v>CENTRO DE CUSTO</v>
      </c>
      <c r="E145" s="18" t="s">
        <v>284</v>
      </c>
      <c r="F145" s="21">
        <v>3402</v>
      </c>
      <c r="G145" s="22">
        <v>1710</v>
      </c>
      <c r="H145" s="22">
        <v>2380</v>
      </c>
      <c r="I145" s="22">
        <f t="shared" si="3"/>
        <v>4090</v>
      </c>
      <c r="J145" s="18" t="s">
        <v>1085</v>
      </c>
      <c r="K145" s="18" t="s">
        <v>1134</v>
      </c>
      <c r="L145" s="18" t="s">
        <v>1134</v>
      </c>
      <c r="M145" s="18" t="s">
        <v>1095</v>
      </c>
      <c r="N145" s="16" t="s">
        <v>1095</v>
      </c>
      <c r="O145" s="18" t="s">
        <v>1095</v>
      </c>
      <c r="P145" s="18" t="s">
        <v>1095</v>
      </c>
      <c r="Q145" s="29" t="str" cm="1">
        <f t="array" ref="Q145">_xlfn.IFS(
A145="","",
AND(A145&lt;&gt;"",B145=""),"FALTA LANÇAMENTO",
AND(B145&lt;&gt;"",M145=""),"FALTA O PEDIDO",
AND(M145&lt;&gt;"",O145=""),"FALTA NF",
O145&lt;&gt;"","CONCLUÍDO")</f>
        <v>CONCLUÍDO</v>
      </c>
      <c r="R145" s="36" t="s">
        <v>1290</v>
      </c>
    </row>
    <row r="146" spans="1:18" hidden="1">
      <c r="A146" s="16">
        <v>46037</v>
      </c>
      <c r="B146" s="16">
        <v>46044</v>
      </c>
      <c r="C146" s="21" t="s">
        <v>1291</v>
      </c>
      <c r="D146" s="16" t="str">
        <f>IFERROR(VLOOKUP(Tabela5[[#This Row],[PREFIXO ]],Tabela4[#All],2,0),"CENTRO DE CUSTO")</f>
        <v>CENTRO DE CUSTO</v>
      </c>
      <c r="E146" s="18" t="s">
        <v>284</v>
      </c>
      <c r="F146" s="21">
        <v>3918</v>
      </c>
      <c r="G146" s="22">
        <v>728</v>
      </c>
      <c r="H146" s="22">
        <v>3085</v>
      </c>
      <c r="I146" s="22">
        <f t="shared" si="3"/>
        <v>3813</v>
      </c>
      <c r="J146" s="18" t="s">
        <v>1085</v>
      </c>
      <c r="K146" s="18">
        <v>9737615</v>
      </c>
      <c r="L146" s="18">
        <v>845952</v>
      </c>
      <c r="M146" s="18" t="s">
        <v>1292</v>
      </c>
      <c r="N146" s="16" t="s">
        <v>1293</v>
      </c>
      <c r="O146" s="18" t="s">
        <v>1095</v>
      </c>
      <c r="P146" s="18" t="s">
        <v>1294</v>
      </c>
      <c r="Q146" s="29" t="str" cm="1">
        <f t="array" ref="Q146">_xlfn.IFS(
A146="","",
AND(A146&lt;&gt;"",B146=""),"FALTA LANÇAMENTO",
AND(B146&lt;&gt;"",M146=""),"FALTA O PEDIDO",
AND(M146&lt;&gt;"",O146=""),"FALTA NF",
O146&lt;&gt;"","CONCLUÍDO")</f>
        <v>CONCLUÍDO</v>
      </c>
      <c r="R146" s="36"/>
    </row>
    <row r="147" spans="1:18" hidden="1">
      <c r="A147" s="16">
        <v>46037</v>
      </c>
      <c r="B147" s="16">
        <v>46042</v>
      </c>
      <c r="C147" s="21" t="s">
        <v>1295</v>
      </c>
      <c r="D147" s="16" t="str">
        <f>IFERROR(VLOOKUP(Tabela5[[#This Row],[PREFIXO ]],Tabela4[#All],2,0),"CENTRO DE CUSTO")</f>
        <v>CENTRO DE CUSTO</v>
      </c>
      <c r="E147" s="18" t="s">
        <v>284</v>
      </c>
      <c r="F147" s="21">
        <v>3468</v>
      </c>
      <c r="G147" s="22">
        <v>364</v>
      </c>
      <c r="H147" s="22">
        <v>2390.8000000000002</v>
      </c>
      <c r="I147" s="22">
        <f t="shared" si="3"/>
        <v>2754.8</v>
      </c>
      <c r="J147" s="18" t="s">
        <v>1085</v>
      </c>
      <c r="K147" s="18" t="s">
        <v>1095</v>
      </c>
      <c r="L147" s="18" t="s">
        <v>1095</v>
      </c>
      <c r="M147" s="18" t="s">
        <v>1095</v>
      </c>
      <c r="N147" s="16" t="s">
        <v>1095</v>
      </c>
      <c r="O147" s="18" t="s">
        <v>1095</v>
      </c>
      <c r="P147" s="18" t="s">
        <v>1095</v>
      </c>
      <c r="Q147" s="29" t="str" cm="1">
        <f t="array" ref="Q147">_xlfn.IFS(
A147="","",
AND(A147&lt;&gt;"",B147=""),"FALTA LANÇAMENTO",
AND(B147&lt;&gt;"",M147=""),"FALTA O PEDIDO",
AND(M147&lt;&gt;"",O147=""),"FALTA NF",
O147&lt;&gt;"","CONCLUÍDO")</f>
        <v>CONCLUÍDO</v>
      </c>
      <c r="R147" s="36"/>
    </row>
    <row r="148" spans="1:18" hidden="1">
      <c r="A148" s="16">
        <v>46037</v>
      </c>
      <c r="B148" s="16">
        <v>46042</v>
      </c>
      <c r="C148" s="21" t="s">
        <v>1134</v>
      </c>
      <c r="D148" s="16" t="str">
        <f>IFERROR(VLOOKUP(Tabela5[[#This Row],[PREFIXO ]],Tabela4[#All],2,0),"CENTRO DE CUSTO")</f>
        <v>CENTRO DE CUSTO</v>
      </c>
      <c r="E148" s="18" t="s">
        <v>284</v>
      </c>
      <c r="F148" s="21">
        <v>142304</v>
      </c>
      <c r="G148" s="22">
        <v>120</v>
      </c>
      <c r="H148" s="22">
        <v>358.6</v>
      </c>
      <c r="I148" s="22">
        <f t="shared" si="3"/>
        <v>478.6</v>
      </c>
      <c r="J148" s="18" t="s">
        <v>1085</v>
      </c>
      <c r="K148" s="18" t="s">
        <v>1095</v>
      </c>
      <c r="L148" s="18" t="s">
        <v>1095</v>
      </c>
      <c r="M148" s="18" t="s">
        <v>1095</v>
      </c>
      <c r="N148" s="16" t="s">
        <v>1095</v>
      </c>
      <c r="O148" s="18" t="s">
        <v>1095</v>
      </c>
      <c r="P148" s="18" t="s">
        <v>1095</v>
      </c>
      <c r="Q148" s="29" t="str" cm="1">
        <f t="array" ref="Q148">_xlfn.IFS(
A148="","",
AND(A148&lt;&gt;"",B148=""),"FALTA LANÇAMENTO",
AND(B148&lt;&gt;"",M148=""),"FALTA O PEDIDO",
AND(M148&lt;&gt;"",O148=""),"FALTA NF",
O148&lt;&gt;"","CONCLUÍDO")</f>
        <v>CONCLUÍDO</v>
      </c>
      <c r="R148" s="36"/>
    </row>
    <row r="149" spans="1:18" hidden="1">
      <c r="A149" s="16">
        <v>46037</v>
      </c>
      <c r="B149" s="16">
        <v>46042</v>
      </c>
      <c r="C149" s="21" t="s">
        <v>1134</v>
      </c>
      <c r="D149" s="16" t="str">
        <f>IFERROR(VLOOKUP(Tabela5[[#This Row],[PREFIXO ]],Tabela4[#All],2,0),"CENTRO DE CUSTO")</f>
        <v>CENTRO DE CUSTO</v>
      </c>
      <c r="E149" s="18" t="s">
        <v>284</v>
      </c>
      <c r="F149" s="21">
        <v>142310</v>
      </c>
      <c r="G149" s="22">
        <v>160</v>
      </c>
      <c r="H149" s="22">
        <v>212.79</v>
      </c>
      <c r="I149" s="22">
        <f t="shared" si="3"/>
        <v>372.78999999999996</v>
      </c>
      <c r="J149" s="18" t="s">
        <v>1085</v>
      </c>
      <c r="K149" s="18" t="s">
        <v>1095</v>
      </c>
      <c r="L149" s="18" t="s">
        <v>1095</v>
      </c>
      <c r="M149" s="18" t="s">
        <v>1095</v>
      </c>
      <c r="N149" s="16" t="s">
        <v>1095</v>
      </c>
      <c r="O149" s="18" t="s">
        <v>1095</v>
      </c>
      <c r="P149" s="18" t="s">
        <v>1095</v>
      </c>
      <c r="Q149" s="29" t="str" cm="1">
        <f t="array" ref="Q149">_xlfn.IFS(
A149="","",
AND(A149&lt;&gt;"",B149=""),"FALTA LANÇAMENTO",
AND(B149&lt;&gt;"",M149=""),"FALTA O PEDIDO",
AND(M149&lt;&gt;"",O149=""),"FALTA NF",
O149&lt;&gt;"","CONCLUÍDO")</f>
        <v>CONCLUÍDO</v>
      </c>
      <c r="R149" s="36"/>
    </row>
    <row r="150" spans="1:18" hidden="1">
      <c r="A150" s="16">
        <v>46037</v>
      </c>
      <c r="B150" s="16">
        <v>46045</v>
      </c>
      <c r="C150" s="21">
        <v>31521029</v>
      </c>
      <c r="D150" s="16" t="str">
        <f>IFERROR(VLOOKUP(Tabela5[[#This Row],[PREFIXO ]],Tabela4[#All],2,0),"CENTRO DE CUSTO")</f>
        <v>PULV AUTOPROP JACTO UNIPORT 3030</v>
      </c>
      <c r="E150" s="18" t="s">
        <v>49</v>
      </c>
      <c r="F150" s="21" t="s">
        <v>1296</v>
      </c>
      <c r="G150" s="22">
        <v>20820.599999999999</v>
      </c>
      <c r="H150" s="22"/>
      <c r="I150" s="22">
        <f t="shared" si="3"/>
        <v>20820.599999999999</v>
      </c>
      <c r="J150" s="18" t="s">
        <v>1080</v>
      </c>
      <c r="K150" s="18">
        <v>9744019</v>
      </c>
      <c r="L150" s="18">
        <v>846667</v>
      </c>
      <c r="M150" s="18" t="s">
        <v>1297</v>
      </c>
      <c r="N150" s="16" t="s">
        <v>1242</v>
      </c>
      <c r="O150" s="18" t="s">
        <v>1095</v>
      </c>
      <c r="P150" s="18" t="s">
        <v>1288</v>
      </c>
      <c r="Q150" s="29" t="str" cm="1">
        <f t="array" ref="Q150">_xlfn.IFS(
A150="","",
AND(A150&lt;&gt;"",B150=""),"FALTA LANÇAMENTO",
AND(B150&lt;&gt;"",M150=""),"FALTA O PEDIDO",
AND(M150&lt;&gt;"",O150=""),"FALTA NF",
O150&lt;&gt;"","CONCLUÍDO")</f>
        <v>CONCLUÍDO</v>
      </c>
      <c r="R150" s="36"/>
    </row>
    <row r="151" spans="1:18" hidden="1">
      <c r="A151" s="16">
        <v>46037</v>
      </c>
      <c r="B151" s="16">
        <v>46045</v>
      </c>
      <c r="C151" s="21">
        <v>31521029</v>
      </c>
      <c r="D151" s="16" t="str">
        <f>IFERROR(VLOOKUP(Tabela5[[#This Row],[PREFIXO ]],Tabela4[#All],2,0),"CENTRO DE CUSTO")</f>
        <v>PULV AUTOPROP JACTO UNIPORT 3030</v>
      </c>
      <c r="E151" s="18" t="s">
        <v>49</v>
      </c>
      <c r="F151" s="21" t="s">
        <v>1298</v>
      </c>
      <c r="G151" s="22">
        <v>4725</v>
      </c>
      <c r="H151" s="22"/>
      <c r="I151" s="22">
        <f t="shared" si="3"/>
        <v>4725</v>
      </c>
      <c r="J151" s="18" t="s">
        <v>1080</v>
      </c>
      <c r="K151" s="18">
        <v>9744063</v>
      </c>
      <c r="L151" s="18">
        <v>847365</v>
      </c>
      <c r="M151" s="18" t="s">
        <v>1299</v>
      </c>
      <c r="N151" s="16" t="s">
        <v>1293</v>
      </c>
      <c r="O151" s="18" t="s">
        <v>1095</v>
      </c>
      <c r="P151" s="18" t="s">
        <v>1242</v>
      </c>
      <c r="Q151" s="29" t="str" cm="1">
        <f t="array" ref="Q151">_xlfn.IFS(
A151="","",
AND(A151&lt;&gt;"",B151=""),"FALTA LANÇAMENTO",
AND(B151&lt;&gt;"",M151=""),"FALTA O PEDIDO",
AND(M151&lt;&gt;"",O151=""),"FALTA NF",
O151&lt;&gt;"","CONCLUÍDO")</f>
        <v>CONCLUÍDO</v>
      </c>
      <c r="R151" s="36"/>
    </row>
    <row r="152" spans="1:18" hidden="1">
      <c r="A152" s="16">
        <v>46037</v>
      </c>
      <c r="B152" s="16">
        <v>46045</v>
      </c>
      <c r="C152" s="21" t="s">
        <v>1134</v>
      </c>
      <c r="D152" s="16" t="str">
        <f>IFERROR(VLOOKUP(Tabela5[[#This Row],[PREFIXO ]],Tabela4[#All],2,0),"CENTRO DE CUSTO")</f>
        <v>CENTRO DE CUSTO</v>
      </c>
      <c r="E152" s="18" t="s">
        <v>49</v>
      </c>
      <c r="F152" s="21" t="s">
        <v>1300</v>
      </c>
      <c r="G152" s="22">
        <v>2790</v>
      </c>
      <c r="H152" s="22"/>
      <c r="I152" s="22">
        <f t="shared" si="3"/>
        <v>2790</v>
      </c>
      <c r="J152" s="18" t="s">
        <v>1080</v>
      </c>
      <c r="K152" s="18">
        <v>9744011</v>
      </c>
      <c r="L152" s="18">
        <v>847365</v>
      </c>
      <c r="M152" s="18" t="s">
        <v>1299</v>
      </c>
      <c r="N152" s="16" t="s">
        <v>1293</v>
      </c>
      <c r="O152" s="18" t="s">
        <v>1095</v>
      </c>
      <c r="P152" s="18" t="s">
        <v>1242</v>
      </c>
      <c r="Q152" s="29" t="str" cm="1">
        <f t="array" ref="Q152">_xlfn.IFS(
A152="","",
AND(A152&lt;&gt;"",B152=""),"FALTA LANÇAMENTO",
AND(B152&lt;&gt;"",M152=""),"FALTA O PEDIDO",
AND(M152&lt;&gt;"",O152=""),"FALTA NF",
O152&lt;&gt;"","CONCLUÍDO")</f>
        <v>CONCLUÍDO</v>
      </c>
      <c r="R152" s="36"/>
    </row>
    <row r="153" spans="1:18" hidden="1">
      <c r="A153" s="16">
        <v>46037</v>
      </c>
      <c r="B153" s="16">
        <v>46045</v>
      </c>
      <c r="C153" s="21">
        <v>13150003</v>
      </c>
      <c r="D153" s="16" t="str">
        <f>IFERROR(VLOOKUP(Tabela5[[#This Row],[PREFIXO ]],Tabela4[#All],2,0),"CENTRO DE CUSTO")</f>
        <v>CENTRO DE CUSTO</v>
      </c>
      <c r="E153" s="18" t="s">
        <v>49</v>
      </c>
      <c r="F153" s="21" t="s">
        <v>1301</v>
      </c>
      <c r="G153" s="22">
        <v>2040.3</v>
      </c>
      <c r="H153" s="22"/>
      <c r="I153" s="22">
        <f t="shared" si="3"/>
        <v>2040.3</v>
      </c>
      <c r="J153" s="18" t="s">
        <v>1080</v>
      </c>
      <c r="K153" s="18">
        <v>9743796</v>
      </c>
      <c r="L153" s="18">
        <v>846667</v>
      </c>
      <c r="M153" s="18" t="s">
        <v>1297</v>
      </c>
      <c r="N153" s="16" t="s">
        <v>1242</v>
      </c>
      <c r="O153" s="18" t="s">
        <v>1095</v>
      </c>
      <c r="P153" s="18" t="s">
        <v>1288</v>
      </c>
      <c r="Q153" s="29" t="str" cm="1">
        <f t="array" ref="Q153">_xlfn.IFS(
A153="","",
AND(A153&lt;&gt;"",B153=""),"FALTA LANÇAMENTO",
AND(B153&lt;&gt;"",M153=""),"FALTA O PEDIDO",
AND(M153&lt;&gt;"",O153=""),"FALTA NF",
O153&lt;&gt;"","CONCLUÍDO")</f>
        <v>CONCLUÍDO</v>
      </c>
      <c r="R153" s="36"/>
    </row>
    <row r="154" spans="1:18" hidden="1">
      <c r="A154" s="16">
        <v>46037</v>
      </c>
      <c r="B154" s="16">
        <v>46042</v>
      </c>
      <c r="C154" s="21">
        <v>31509020</v>
      </c>
      <c r="D154" s="16" t="str">
        <f>IFERROR(VLOOKUP(Tabela5[[#This Row],[PREFIXO ]],Tabela4[#All],2,0),"CENTRO DE CUSTO")</f>
        <v>CENTRO DE CUSTO</v>
      </c>
      <c r="E154" s="18" t="s">
        <v>49</v>
      </c>
      <c r="F154" s="21" t="s">
        <v>1302</v>
      </c>
      <c r="G154" s="22">
        <v>900</v>
      </c>
      <c r="H154" s="22"/>
      <c r="I154" s="22">
        <f t="shared" si="3"/>
        <v>900</v>
      </c>
      <c r="J154" s="18" t="s">
        <v>1113</v>
      </c>
      <c r="K154" s="18">
        <v>9737768</v>
      </c>
      <c r="L154" s="18">
        <v>844209</v>
      </c>
      <c r="M154" s="18" t="s">
        <v>1259</v>
      </c>
      <c r="N154" s="16" t="s">
        <v>1221</v>
      </c>
      <c r="O154" s="18" t="s">
        <v>1095</v>
      </c>
      <c r="P154" s="18" t="s">
        <v>1216</v>
      </c>
      <c r="Q154" s="29" t="str" cm="1">
        <f t="array" ref="Q154">_xlfn.IFS(
A154="","",
AND(A154&lt;&gt;"",B154=""),"FALTA LANÇAMENTO",
AND(B154&lt;&gt;"",M154=""),"FALTA O PEDIDO",
AND(M154&lt;&gt;"",O154=""),"FALTA NF",
O154&lt;&gt;"","CONCLUÍDO")</f>
        <v>CONCLUÍDO</v>
      </c>
      <c r="R154" s="36"/>
    </row>
    <row r="155" spans="1:18" hidden="1">
      <c r="A155" s="16">
        <v>46037</v>
      </c>
      <c r="B155" s="16">
        <v>46045</v>
      </c>
      <c r="C155" s="21">
        <v>31521031</v>
      </c>
      <c r="D155" s="16" t="str">
        <f>IFERROR(VLOOKUP(Tabela5[[#This Row],[PREFIXO ]],Tabela4[#All],2,0),"CENTRO DE CUSTO")</f>
        <v>PULV AUTOPROP JACTO UNIPORT 3030</v>
      </c>
      <c r="E155" s="18" t="s">
        <v>49</v>
      </c>
      <c r="F155" s="21" t="s">
        <v>1303</v>
      </c>
      <c r="G155" s="22">
        <v>758.16</v>
      </c>
      <c r="H155" s="22"/>
      <c r="I155" s="22">
        <f t="shared" si="3"/>
        <v>758.16</v>
      </c>
      <c r="J155" s="18" t="s">
        <v>1080</v>
      </c>
      <c r="K155" s="18">
        <v>9743793</v>
      </c>
      <c r="L155" s="18">
        <v>846667</v>
      </c>
      <c r="M155" s="18" t="s">
        <v>1297</v>
      </c>
      <c r="N155" s="16" t="s">
        <v>1242</v>
      </c>
      <c r="O155" s="18" t="s">
        <v>1095</v>
      </c>
      <c r="P155" s="18" t="s">
        <v>1288</v>
      </c>
      <c r="Q155" s="29" t="str" cm="1">
        <f t="array" ref="Q155">_xlfn.IFS(
A155="","",
AND(A155&lt;&gt;"",B155=""),"FALTA LANÇAMENTO",
AND(B155&lt;&gt;"",M155=""),"FALTA O PEDIDO",
AND(M155&lt;&gt;"",O155=""),"FALTA NF",
O155&lt;&gt;"","CONCLUÍDO")</f>
        <v>CONCLUÍDO</v>
      </c>
      <c r="R155" s="36"/>
    </row>
    <row r="156" spans="1:18" hidden="1">
      <c r="A156" s="16">
        <v>46037</v>
      </c>
      <c r="B156" s="16">
        <v>46045</v>
      </c>
      <c r="C156" s="21">
        <v>31521019</v>
      </c>
      <c r="D156" s="16" t="str">
        <f>IFERROR(VLOOKUP(Tabela5[[#This Row],[PREFIXO ]],Tabela4[#All],2,0),"CENTRO DE CUSTO")</f>
        <v>PULV AUTOPROP JACTO UNIPORT 3030</v>
      </c>
      <c r="E156" s="18" t="s">
        <v>49</v>
      </c>
      <c r="F156" s="21" t="s">
        <v>1304</v>
      </c>
      <c r="G156" s="22">
        <v>750.24</v>
      </c>
      <c r="H156" s="22"/>
      <c r="I156" s="22">
        <f t="shared" si="3"/>
        <v>750.24</v>
      </c>
      <c r="J156" s="18" t="s">
        <v>1080</v>
      </c>
      <c r="K156" s="18">
        <v>9743794</v>
      </c>
      <c r="L156" s="18">
        <v>846667</v>
      </c>
      <c r="M156" s="18" t="s">
        <v>1297</v>
      </c>
      <c r="N156" s="16" t="s">
        <v>1242</v>
      </c>
      <c r="O156" s="18" t="s">
        <v>1305</v>
      </c>
      <c r="P156" s="18" t="s">
        <v>1288</v>
      </c>
      <c r="Q156" s="29" t="str" cm="1">
        <f t="array" ref="Q156">_xlfn.IFS(
A156="","",
AND(A156&lt;&gt;"",B156=""),"FALTA LANÇAMENTO",
AND(B156&lt;&gt;"",M156=""),"FALTA O PEDIDO",
AND(M156&lt;&gt;"",O156=""),"FALTA NF",
O156&lt;&gt;"","CONCLUÍDO")</f>
        <v>CONCLUÍDO</v>
      </c>
      <c r="R156" s="36"/>
    </row>
    <row r="157" spans="1:18" hidden="1">
      <c r="A157" s="16">
        <v>46037</v>
      </c>
      <c r="B157" s="16">
        <v>46045</v>
      </c>
      <c r="C157" s="21">
        <v>35005014</v>
      </c>
      <c r="D157" s="16" t="str">
        <f>IFERROR(VLOOKUP(Tabela5[[#This Row],[PREFIXO ]],Tabela4[#All],2,0),"CENTRO DE CUSTO")</f>
        <v>PULV AUTOPROP JACTO UNIPORT 3030</v>
      </c>
      <c r="E157" s="18" t="s">
        <v>49</v>
      </c>
      <c r="F157" s="21" t="s">
        <v>1306</v>
      </c>
      <c r="G157" s="22">
        <v>720</v>
      </c>
      <c r="H157" s="22"/>
      <c r="I157" s="22">
        <f t="shared" si="3"/>
        <v>720</v>
      </c>
      <c r="J157" s="18" t="s">
        <v>1080</v>
      </c>
      <c r="K157" s="18">
        <v>9743192</v>
      </c>
      <c r="L157" s="18">
        <v>847365</v>
      </c>
      <c r="M157" s="18" t="s">
        <v>1299</v>
      </c>
      <c r="N157" s="16" t="s">
        <v>1293</v>
      </c>
      <c r="O157" s="18" t="s">
        <v>1307</v>
      </c>
      <c r="P157" s="18" t="s">
        <v>1242</v>
      </c>
      <c r="Q157" s="29" t="str" cm="1">
        <f t="array" ref="Q157">_xlfn.IFS(
A157="","",
AND(A157&lt;&gt;"",B157=""),"FALTA LANÇAMENTO",
AND(B157&lt;&gt;"",M157=""),"FALTA O PEDIDO",
AND(M157&lt;&gt;"",O157=""),"FALTA NF",
O157&lt;&gt;"","CONCLUÍDO")</f>
        <v>CONCLUÍDO</v>
      </c>
      <c r="R157" s="36"/>
    </row>
    <row r="158" spans="1:18" hidden="1">
      <c r="A158" s="16">
        <v>46037</v>
      </c>
      <c r="B158" s="16">
        <v>46045</v>
      </c>
      <c r="C158" s="21">
        <v>31521024</v>
      </c>
      <c r="D158" s="16" t="str">
        <f>IFERROR(VLOOKUP(Tabela5[[#This Row],[PREFIXO ]],Tabela4[#All],2,0),"CENTRO DE CUSTO")</f>
        <v>PULV AUTOPROP JACTO UNIPORT 3030</v>
      </c>
      <c r="E158" s="18" t="s">
        <v>49</v>
      </c>
      <c r="F158" s="21" t="s">
        <v>1308</v>
      </c>
      <c r="G158" s="22">
        <v>720</v>
      </c>
      <c r="H158" s="22"/>
      <c r="I158" s="22">
        <f t="shared" si="3"/>
        <v>720</v>
      </c>
      <c r="J158" s="18" t="s">
        <v>1080</v>
      </c>
      <c r="K158" s="18">
        <v>9743782</v>
      </c>
      <c r="L158" s="18">
        <v>847365</v>
      </c>
      <c r="M158" s="18" t="s">
        <v>1299</v>
      </c>
      <c r="N158" s="16" t="s">
        <v>1293</v>
      </c>
      <c r="O158" s="18" t="s">
        <v>1307</v>
      </c>
      <c r="P158" s="18" t="s">
        <v>1242</v>
      </c>
      <c r="Q158" s="29" t="str" cm="1">
        <f t="array" ref="Q158">_xlfn.IFS(
A158="","",
AND(A158&lt;&gt;"",B158=""),"FALTA LANÇAMENTO",
AND(B158&lt;&gt;"",M158=""),"FALTA O PEDIDO",
AND(M158&lt;&gt;"",O158=""),"FALTA NF",
O158&lt;&gt;"","CONCLUÍDO")</f>
        <v>CONCLUÍDO</v>
      </c>
      <c r="R158" s="36"/>
    </row>
    <row r="159" spans="1:18" hidden="1">
      <c r="A159" s="16">
        <v>46037</v>
      </c>
      <c r="B159" s="16">
        <v>46045</v>
      </c>
      <c r="C159" s="21">
        <v>31521046</v>
      </c>
      <c r="D159" s="16" t="str">
        <f>IFERROR(VLOOKUP(Tabela5[[#This Row],[PREFIXO ]],Tabela4[#All],2,0),"CENTRO DE CUSTO")</f>
        <v>PULV AUTOPROP JACTO UNIPORT 3030</v>
      </c>
      <c r="E159" s="18" t="s">
        <v>49</v>
      </c>
      <c r="F159" s="21" t="s">
        <v>1100</v>
      </c>
      <c r="G159" s="22">
        <v>408.78</v>
      </c>
      <c r="H159" s="22"/>
      <c r="I159" s="22">
        <f t="shared" si="3"/>
        <v>408.78</v>
      </c>
      <c r="J159" s="18" t="s">
        <v>1080</v>
      </c>
      <c r="K159" s="18">
        <v>9743787</v>
      </c>
      <c r="L159" s="18">
        <v>846667</v>
      </c>
      <c r="M159" s="18" t="s">
        <v>1297</v>
      </c>
      <c r="N159" s="16" t="s">
        <v>1242</v>
      </c>
      <c r="O159" s="18" t="s">
        <v>1305</v>
      </c>
      <c r="P159" s="18" t="s">
        <v>1288</v>
      </c>
      <c r="Q159" s="29" t="str" cm="1">
        <f t="array" ref="Q159">_xlfn.IFS(
A159="","",
AND(A159&lt;&gt;"",B159=""),"FALTA LANÇAMENTO",
AND(B159&lt;&gt;"",M159=""),"FALTA O PEDIDO",
AND(M159&lt;&gt;"",O159=""),"FALTA NF",
O159&lt;&gt;"","CONCLUÍDO")</f>
        <v>CONCLUÍDO</v>
      </c>
      <c r="R159" s="36"/>
    </row>
    <row r="160" spans="1:18" hidden="1">
      <c r="A160" s="16">
        <v>46037</v>
      </c>
      <c r="B160" s="16">
        <v>46045</v>
      </c>
      <c r="C160" s="21">
        <v>35005015</v>
      </c>
      <c r="D160" s="16" t="str">
        <f>IFERROR(VLOOKUP(Tabela5[[#This Row],[PREFIXO ]],Tabela4[#All],2,0),"CENTRO DE CUSTO")</f>
        <v>PULV AUTOPROP JACTO UNIPORT 3030</v>
      </c>
      <c r="E160" s="18" t="s">
        <v>49</v>
      </c>
      <c r="F160" s="21" t="s">
        <v>1309</v>
      </c>
      <c r="G160" s="22">
        <v>375</v>
      </c>
      <c r="H160" s="22"/>
      <c r="I160" s="22">
        <f t="shared" si="3"/>
        <v>375</v>
      </c>
      <c r="J160" s="18" t="s">
        <v>1080</v>
      </c>
      <c r="K160" s="18">
        <v>9743193</v>
      </c>
      <c r="L160" s="18">
        <v>847365</v>
      </c>
      <c r="M160" s="18" t="s">
        <v>1299</v>
      </c>
      <c r="N160" s="16" t="s">
        <v>1293</v>
      </c>
      <c r="O160" s="18" t="s">
        <v>1307</v>
      </c>
      <c r="P160" s="18" t="s">
        <v>1242</v>
      </c>
      <c r="Q160" s="29" t="str" cm="1">
        <f t="array" ref="Q160">_xlfn.IFS(
A160="","",
AND(A160&lt;&gt;"",B160=""),"FALTA LANÇAMENTO",
AND(B160&lt;&gt;"",M160=""),"FALTA O PEDIDO",
AND(M160&lt;&gt;"",O160=""),"FALTA NF",
O160&lt;&gt;"","CONCLUÍDO")</f>
        <v>CONCLUÍDO</v>
      </c>
      <c r="R160" s="36"/>
    </row>
    <row r="161" spans="1:18" hidden="1">
      <c r="A161" s="16">
        <v>46037</v>
      </c>
      <c r="B161" s="16">
        <v>46045</v>
      </c>
      <c r="C161" s="21">
        <v>31521027</v>
      </c>
      <c r="D161" s="16" t="str">
        <f>IFERROR(VLOOKUP(Tabela5[[#This Row],[PREFIXO ]],Tabela4[#All],2,0),"CENTRO DE CUSTO")</f>
        <v>PULV AUTOPROP JACTO UNIPORT 3030</v>
      </c>
      <c r="E161" s="18" t="s">
        <v>49</v>
      </c>
      <c r="F161" s="21" t="s">
        <v>1310</v>
      </c>
      <c r="G161" s="22">
        <v>337.5</v>
      </c>
      <c r="H161" s="22"/>
      <c r="I161" s="22">
        <f t="shared" si="3"/>
        <v>337.5</v>
      </c>
      <c r="J161" s="18" t="s">
        <v>1080</v>
      </c>
      <c r="K161" s="18">
        <v>9743757</v>
      </c>
      <c r="L161" s="18">
        <v>847365</v>
      </c>
      <c r="M161" s="18" t="s">
        <v>1299</v>
      </c>
      <c r="N161" s="16" t="s">
        <v>1293</v>
      </c>
      <c r="O161" s="18" t="s">
        <v>1307</v>
      </c>
      <c r="P161" s="18" t="s">
        <v>1242</v>
      </c>
      <c r="Q161" s="29" t="str" cm="1">
        <f t="array" ref="Q161">_xlfn.IFS(
A161="","",
AND(A161&lt;&gt;"",B161=""),"FALTA LANÇAMENTO",
AND(B161&lt;&gt;"",M161=""),"FALTA O PEDIDO",
AND(M161&lt;&gt;"",O161=""),"FALTA NF",
O161&lt;&gt;"","CONCLUÍDO")</f>
        <v>CONCLUÍDO</v>
      </c>
      <c r="R161" s="36"/>
    </row>
    <row r="162" spans="1:18" hidden="1">
      <c r="A162" s="16">
        <v>46037</v>
      </c>
      <c r="B162" s="16">
        <v>46045</v>
      </c>
      <c r="C162" s="21">
        <v>35005016</v>
      </c>
      <c r="D162" s="16" t="str">
        <f>IFERROR(VLOOKUP(Tabela5[[#This Row],[PREFIXO ]],Tabela4[#All],2,0),"CENTRO DE CUSTO")</f>
        <v>PULV AUTOPROP JACTO UNIPORT 3030</v>
      </c>
      <c r="E162" s="18" t="s">
        <v>49</v>
      </c>
      <c r="F162" s="21" t="s">
        <v>1311</v>
      </c>
      <c r="G162" s="22">
        <v>280.44</v>
      </c>
      <c r="H162" s="22"/>
      <c r="I162" s="22">
        <f t="shared" si="3"/>
        <v>280.44</v>
      </c>
      <c r="J162" s="18" t="s">
        <v>1080</v>
      </c>
      <c r="K162" s="18">
        <v>9743751</v>
      </c>
      <c r="L162" s="18">
        <v>846667</v>
      </c>
      <c r="M162" s="18" t="s">
        <v>1297</v>
      </c>
      <c r="N162" s="16" t="s">
        <v>1242</v>
      </c>
      <c r="O162" s="18" t="s">
        <v>1305</v>
      </c>
      <c r="P162" s="18" t="s">
        <v>1288</v>
      </c>
      <c r="Q162" s="29" t="str" cm="1">
        <f t="array" ref="Q162">_xlfn.IFS(
A162="","",
AND(A162&lt;&gt;"",B162=""),"FALTA LANÇAMENTO",
AND(B162&lt;&gt;"",M162=""),"FALTA O PEDIDO",
AND(M162&lt;&gt;"",O162=""),"FALTA NF",
O162&lt;&gt;"","CONCLUÍDO")</f>
        <v>CONCLUÍDO</v>
      </c>
      <c r="R162" s="36"/>
    </row>
    <row r="163" spans="1:18" hidden="1">
      <c r="A163" s="16">
        <v>46037</v>
      </c>
      <c r="B163" s="16">
        <v>46038</v>
      </c>
      <c r="C163" s="21">
        <v>500580349</v>
      </c>
      <c r="D163" s="16" t="str">
        <f>IFERROR(VLOOKUP(Tabela5[[#This Row],[PREFIXO ]],Tabela4[#All],2,0),"CENTRO DE CUSTO")</f>
        <v>ADUBADORES AUTOPROPE</v>
      </c>
      <c r="E163" s="18" t="s">
        <v>51</v>
      </c>
      <c r="F163" s="21">
        <v>341</v>
      </c>
      <c r="G163" s="22">
        <v>29000</v>
      </c>
      <c r="H163" s="22"/>
      <c r="I163" s="22">
        <f t="shared" si="3"/>
        <v>29000</v>
      </c>
      <c r="J163" s="18" t="s">
        <v>1080</v>
      </c>
      <c r="K163" s="18">
        <v>5018910</v>
      </c>
      <c r="L163" s="18">
        <v>841208</v>
      </c>
      <c r="M163" s="18" t="s">
        <v>1312</v>
      </c>
      <c r="N163" s="16" t="s">
        <v>1177</v>
      </c>
      <c r="O163" s="18" t="s">
        <v>1105</v>
      </c>
      <c r="P163" s="18" t="s">
        <v>1177</v>
      </c>
      <c r="Q163" s="29" t="str" cm="1">
        <f t="array" ref="Q163">_xlfn.IFS(
A163="","",
AND(A163&lt;&gt;"",B163=""),"FALTA LANÇAMENTO",
AND(B163&lt;&gt;"",M163=""),"FALTA O PEDIDO",
AND(M163&lt;&gt;"",O163=""),"FALTA NF",
O163&lt;&gt;"","CONCLUÍDO")</f>
        <v>CONCLUÍDO</v>
      </c>
      <c r="R163" s="36"/>
    </row>
    <row r="164" spans="1:18" hidden="1">
      <c r="A164" s="16">
        <v>46037</v>
      </c>
      <c r="B164" s="16">
        <v>46038</v>
      </c>
      <c r="C164" s="21">
        <v>31521015</v>
      </c>
      <c r="D164" s="16" t="str">
        <f>IFERROR(VLOOKUP(Tabela5[[#This Row],[PREFIXO ]],Tabela4[#All],2,0),"CENTRO DE CUSTO")</f>
        <v>PULV AUTOPROP JACTO UNIPORT 3030</v>
      </c>
      <c r="E164" s="18" t="s">
        <v>66</v>
      </c>
      <c r="F164" s="21">
        <v>8423</v>
      </c>
      <c r="G164" s="22">
        <v>52500</v>
      </c>
      <c r="H164" s="22"/>
      <c r="I164" s="22">
        <f t="shared" si="3"/>
        <v>52500</v>
      </c>
      <c r="J164" s="18" t="s">
        <v>1080</v>
      </c>
      <c r="K164" s="18">
        <v>5018838</v>
      </c>
      <c r="L164" s="18">
        <v>841175</v>
      </c>
      <c r="M164" s="18" t="s">
        <v>1313</v>
      </c>
      <c r="N164" s="16" t="s">
        <v>1177</v>
      </c>
      <c r="O164" s="18" t="s">
        <v>1314</v>
      </c>
      <c r="P164" s="18" t="s">
        <v>1221</v>
      </c>
      <c r="Q164" s="29" t="str" cm="1">
        <f t="array" ref="Q164">_xlfn.IFS(
A164="","",
AND(A164&lt;&gt;"",B164=""),"FALTA LANÇAMENTO",
AND(B164&lt;&gt;"",M164=""),"FALTA O PEDIDO",
AND(M164&lt;&gt;"",O164=""),"FALTA NF",
O164&lt;&gt;"","CONCLUÍDO")</f>
        <v>CONCLUÍDO</v>
      </c>
      <c r="R164" s="36"/>
    </row>
    <row r="165" spans="1:18" hidden="1">
      <c r="A165" s="16">
        <v>46037</v>
      </c>
      <c r="B165" s="16">
        <v>46048</v>
      </c>
      <c r="C165" s="21">
        <v>13150004</v>
      </c>
      <c r="D165" s="16" t="str">
        <f>IFERROR(VLOOKUP(Tabela5[[#This Row],[PREFIXO ]],Tabela4[#All],2,0),"CENTRO DE CUSTO")</f>
        <v>ADUB AUTOPROP JACTO UNIPORT 8030NPK</v>
      </c>
      <c r="E165" s="18" t="s">
        <v>66</v>
      </c>
      <c r="F165" s="21">
        <v>8511</v>
      </c>
      <c r="G165" s="22">
        <v>500</v>
      </c>
      <c r="H165" s="22">
        <v>22865.279999999999</v>
      </c>
      <c r="I165" s="22">
        <f t="shared" si="3"/>
        <v>23365.279999999999</v>
      </c>
      <c r="J165" s="18" t="s">
        <v>1080</v>
      </c>
      <c r="K165" s="18">
        <v>9744115</v>
      </c>
      <c r="L165" s="18">
        <v>848309</v>
      </c>
      <c r="M165" s="18" t="s">
        <v>1315</v>
      </c>
      <c r="N165" s="16" t="s">
        <v>1316</v>
      </c>
      <c r="O165" s="18" t="s">
        <v>1317</v>
      </c>
      <c r="P165" s="18" t="s">
        <v>1318</v>
      </c>
      <c r="Q165" s="29" t="str" cm="1">
        <f t="array" ref="Q165">_xlfn.IFS(
A165="","",
AND(A165&lt;&gt;"",B165=""),"FALTA LANÇAMENTO",
AND(B165&lt;&gt;"",M165=""),"FALTA O PEDIDO",
AND(M165&lt;&gt;"",O165=""),"FALTA NF",
O165&lt;&gt;"","CONCLUÍDO")</f>
        <v>CONCLUÍDO</v>
      </c>
      <c r="R165" s="36"/>
    </row>
    <row r="166" spans="1:18" hidden="1">
      <c r="A166" s="16">
        <v>46037</v>
      </c>
      <c r="B166" s="16">
        <v>46048</v>
      </c>
      <c r="C166" s="21" t="s">
        <v>1319</v>
      </c>
      <c r="D166" s="16" t="str">
        <f>IFERROR(VLOOKUP(Tabela5[[#This Row],[PREFIXO ]],Tabela4[#All],2,0),"CENTRO DE CUSTO")</f>
        <v>CENTRO DE CUSTO</v>
      </c>
      <c r="E166" s="18" t="s">
        <v>66</v>
      </c>
      <c r="F166" s="21">
        <v>47643</v>
      </c>
      <c r="G166" s="22"/>
      <c r="H166" s="22">
        <v>15255.03</v>
      </c>
      <c r="I166" s="22">
        <f t="shared" si="3"/>
        <v>15255.03</v>
      </c>
      <c r="J166" s="18" t="s">
        <v>1080</v>
      </c>
      <c r="K166" s="18" t="s">
        <v>1320</v>
      </c>
      <c r="L166" s="18">
        <v>848427</v>
      </c>
      <c r="M166" s="18" t="s">
        <v>1321</v>
      </c>
      <c r="N166" s="16" t="s">
        <v>1284</v>
      </c>
      <c r="O166" s="18" t="s">
        <v>1322</v>
      </c>
      <c r="P166" s="18" t="s">
        <v>1323</v>
      </c>
      <c r="Q166" s="29" t="str" cm="1">
        <f t="array" ref="Q166">_xlfn.IFS(
A166="","",
AND(A166&lt;&gt;"",B166=""),"FALTA LANÇAMENTO",
AND(B166&lt;&gt;"",M166=""),"FALTA O PEDIDO",
AND(M166&lt;&gt;"",O166=""),"FALTA NF",
O166&lt;&gt;"","CONCLUÍDO")</f>
        <v>CONCLUÍDO</v>
      </c>
      <c r="R166" s="36"/>
    </row>
    <row r="167" spans="1:18" hidden="1">
      <c r="A167" s="16">
        <v>46037</v>
      </c>
      <c r="B167" s="16">
        <v>46048</v>
      </c>
      <c r="C167" s="21" t="s">
        <v>1324</v>
      </c>
      <c r="D167" s="16" t="str">
        <f>IFERROR(VLOOKUP(Tabela5[[#This Row],[PREFIXO ]],Tabela4[#All],2,0),"CENTRO DE CUSTO")</f>
        <v>CENTRO DE CUSTO</v>
      </c>
      <c r="E167" s="18" t="s">
        <v>66</v>
      </c>
      <c r="F167" s="21">
        <v>48425</v>
      </c>
      <c r="G167" s="22"/>
      <c r="H167" s="22">
        <v>10693.85</v>
      </c>
      <c r="I167" s="22">
        <f t="shared" si="3"/>
        <v>10693.85</v>
      </c>
      <c r="J167" s="18" t="s">
        <v>1080</v>
      </c>
      <c r="K167" s="18" t="s">
        <v>1325</v>
      </c>
      <c r="L167" s="18">
        <v>848368</v>
      </c>
      <c r="M167" s="18" t="s">
        <v>1326</v>
      </c>
      <c r="N167" s="16" t="s">
        <v>1316</v>
      </c>
      <c r="O167" s="18" t="s">
        <v>1327</v>
      </c>
      <c r="P167" s="18" t="s">
        <v>1328</v>
      </c>
      <c r="Q167" s="29" t="str" cm="1">
        <f t="array" ref="Q167">_xlfn.IFS(
A167="","",
AND(A167&lt;&gt;"",B167=""),"FALTA LANÇAMENTO",
AND(B167&lt;&gt;"",M167=""),"FALTA O PEDIDO",
AND(M167&lt;&gt;"",O167=""),"FALTA NF",
O167&lt;&gt;"","CONCLUÍDO")</f>
        <v>CONCLUÍDO</v>
      </c>
      <c r="R167" s="36"/>
    </row>
    <row r="168" spans="1:18" hidden="1">
      <c r="A168" s="16">
        <v>46037</v>
      </c>
      <c r="B168" s="16">
        <v>46043</v>
      </c>
      <c r="C168" s="21">
        <v>31521009</v>
      </c>
      <c r="D168" s="16" t="str">
        <f>IFERROR(VLOOKUP(Tabela5[[#This Row],[PREFIXO ]],Tabela4[#All],2,0),"CENTRO DE CUSTO")</f>
        <v>PULV AUTOPROP JACTO UNIPORT 3030</v>
      </c>
      <c r="E168" s="18" t="s">
        <v>66</v>
      </c>
      <c r="F168" s="21">
        <v>8488</v>
      </c>
      <c r="G168" s="22">
        <v>500</v>
      </c>
      <c r="H168" s="22">
        <v>3239.36</v>
      </c>
      <c r="I168" s="22">
        <f t="shared" si="3"/>
        <v>3739.36</v>
      </c>
      <c r="J168" s="18" t="s">
        <v>1080</v>
      </c>
      <c r="K168" s="18">
        <v>9737082</v>
      </c>
      <c r="L168" s="18">
        <v>845262</v>
      </c>
      <c r="M168" s="18" t="s">
        <v>1329</v>
      </c>
      <c r="N168" s="16" t="s">
        <v>1216</v>
      </c>
      <c r="O168" s="18" t="s">
        <v>1330</v>
      </c>
      <c r="P168" s="18" t="s">
        <v>1331</v>
      </c>
      <c r="Q168" s="29" t="str" cm="1">
        <f t="array" ref="Q168">_xlfn.IFS(
A168="","",
AND(A168&lt;&gt;"",B168=""),"FALTA LANÇAMENTO",
AND(B168&lt;&gt;"",M168=""),"FALTA O PEDIDO",
AND(M168&lt;&gt;"",O168=""),"FALTA NF",
O168&lt;&gt;"","CONCLUÍDO")</f>
        <v>CONCLUÍDO</v>
      </c>
      <c r="R168" s="36"/>
    </row>
    <row r="169" spans="1:18" hidden="1">
      <c r="A169" s="16">
        <v>46037</v>
      </c>
      <c r="B169" s="16">
        <v>46048</v>
      </c>
      <c r="C169" s="21" t="s">
        <v>1324</v>
      </c>
      <c r="D169" s="16" t="str">
        <f>IFERROR(VLOOKUP(Tabela5[[#This Row],[PREFIXO ]],Tabela4[#All],2,0),"CENTRO DE CUSTO")</f>
        <v>CENTRO DE CUSTO</v>
      </c>
      <c r="E169" s="18" t="s">
        <v>66</v>
      </c>
      <c r="F169" s="21">
        <v>8503</v>
      </c>
      <c r="G169" s="22">
        <v>150</v>
      </c>
      <c r="H169" s="22"/>
      <c r="I169" s="22">
        <f t="shared" si="3"/>
        <v>150</v>
      </c>
      <c r="J169" s="18" t="s">
        <v>1080</v>
      </c>
      <c r="K169" s="18" t="s">
        <v>1325</v>
      </c>
      <c r="L169" s="18">
        <v>848368</v>
      </c>
      <c r="M169" s="18" t="s">
        <v>1326</v>
      </c>
      <c r="N169" s="16" t="s">
        <v>1316</v>
      </c>
      <c r="O169" s="18" t="s">
        <v>1327</v>
      </c>
      <c r="P169" s="18" t="s">
        <v>1328</v>
      </c>
      <c r="Q169" s="29" t="str" cm="1">
        <f t="array" ref="Q169">_xlfn.IFS(
A169="","",
AND(A169&lt;&gt;"",B169=""),"FALTA LANÇAMENTO",
AND(B169&lt;&gt;"",M169=""),"FALTA O PEDIDO",
AND(M169&lt;&gt;"",O169=""),"FALTA NF",
O169&lt;&gt;"","CONCLUÍDO")</f>
        <v>CONCLUÍDO</v>
      </c>
      <c r="R169" s="36"/>
    </row>
    <row r="170" spans="1:18" hidden="1">
      <c r="A170" s="16">
        <v>46037</v>
      </c>
      <c r="B170" s="16">
        <v>46048</v>
      </c>
      <c r="C170" s="21" t="s">
        <v>1319</v>
      </c>
      <c r="D170" s="16" t="str">
        <f>IFERROR(VLOOKUP(Tabela5[[#This Row],[PREFIXO ]],Tabela4[#All],2,0),"CENTRO DE CUSTO")</f>
        <v>CENTRO DE CUSTO</v>
      </c>
      <c r="E170" s="18" t="s">
        <v>66</v>
      </c>
      <c r="F170" s="21">
        <v>8502</v>
      </c>
      <c r="G170" s="22">
        <v>150</v>
      </c>
      <c r="H170" s="22"/>
      <c r="I170" s="22">
        <f t="shared" si="3"/>
        <v>150</v>
      </c>
      <c r="J170" s="18" t="s">
        <v>1080</v>
      </c>
      <c r="K170" s="18" t="s">
        <v>1332</v>
      </c>
      <c r="L170" s="18">
        <v>848427</v>
      </c>
      <c r="M170" s="18" t="s">
        <v>1321</v>
      </c>
      <c r="N170" s="16" t="s">
        <v>1284</v>
      </c>
      <c r="O170" s="18" t="s">
        <v>1322</v>
      </c>
      <c r="P170" s="18" t="s">
        <v>1323</v>
      </c>
      <c r="Q170" s="29" t="str" cm="1">
        <f t="array" ref="Q170">_xlfn.IFS(
A170="","",
AND(A170&lt;&gt;"",B170=""),"FALTA LANÇAMENTO",
AND(B170&lt;&gt;"",M170=""),"FALTA O PEDIDO",
AND(M170&lt;&gt;"",O170=""),"FALTA NF",
O170&lt;&gt;"","CONCLUÍDO")</f>
        <v>CONCLUÍDO</v>
      </c>
      <c r="R170" s="36"/>
    </row>
    <row r="171" spans="1:18" hidden="1">
      <c r="A171" s="16">
        <v>46037</v>
      </c>
      <c r="B171" s="16">
        <v>46045</v>
      </c>
      <c r="C171" s="21">
        <v>31521014</v>
      </c>
      <c r="D171" s="16" t="str">
        <f>IFERROR(VLOOKUP(Tabela5[[#This Row],[PREFIXO ]],Tabela4[#All],2,0),"CENTRO DE CUSTO")</f>
        <v>PULV AUTOPROP JACTO UNIPORT 3030</v>
      </c>
      <c r="E171" s="18" t="s">
        <v>67</v>
      </c>
      <c r="F171" s="21">
        <v>56</v>
      </c>
      <c r="G171" s="22">
        <v>21000</v>
      </c>
      <c r="H171" s="22"/>
      <c r="I171" s="22">
        <f t="shared" si="3"/>
        <v>21000</v>
      </c>
      <c r="J171" s="18" t="s">
        <v>1080</v>
      </c>
      <c r="K171" s="18">
        <v>9743950</v>
      </c>
      <c r="L171" s="18">
        <v>847260</v>
      </c>
      <c r="M171" s="18" t="s">
        <v>1333</v>
      </c>
      <c r="N171" s="16" t="s">
        <v>1242</v>
      </c>
      <c r="O171" s="18" t="s">
        <v>1334</v>
      </c>
      <c r="P171" s="18" t="s">
        <v>1092</v>
      </c>
      <c r="Q171" s="29" t="str" cm="1">
        <f t="array" ref="Q171">_xlfn.IFS(
A171="","",
AND(A171&lt;&gt;"",B171=""),"FALTA LANÇAMENTO",
AND(B171&lt;&gt;"",M171=""),"FALTA O PEDIDO",
AND(M171&lt;&gt;"",O171=""),"FALTA NF",
O171&lt;&gt;"","CONCLUÍDO")</f>
        <v>CONCLUÍDO</v>
      </c>
      <c r="R171" s="36"/>
    </row>
    <row r="172" spans="1:18" hidden="1">
      <c r="A172" s="16">
        <v>46037</v>
      </c>
      <c r="B172" s="16">
        <v>46052</v>
      </c>
      <c r="C172" s="21">
        <v>500580263</v>
      </c>
      <c r="D172" s="16" t="str">
        <f>IFERROR(VLOOKUP(Tabela5[[#This Row],[PREFIXO ]],Tabela4[#All],2,0),"CENTRO DE CUSTO")</f>
        <v>Colheit. Grãos-Axial</v>
      </c>
      <c r="E172" s="18" t="s">
        <v>67</v>
      </c>
      <c r="F172" s="21">
        <v>76</v>
      </c>
      <c r="G172" s="22">
        <v>15656</v>
      </c>
      <c r="H172" s="22"/>
      <c r="I172" s="22">
        <f t="shared" si="3"/>
        <v>15656</v>
      </c>
      <c r="J172" s="18" t="s">
        <v>1113</v>
      </c>
      <c r="K172" s="18">
        <v>5019191</v>
      </c>
      <c r="L172" s="18">
        <v>852761</v>
      </c>
      <c r="M172" s="18" t="s">
        <v>1335</v>
      </c>
      <c r="N172" s="16" t="s">
        <v>1284</v>
      </c>
      <c r="O172" s="18" t="s">
        <v>1336</v>
      </c>
      <c r="P172" s="18" t="s">
        <v>1092</v>
      </c>
      <c r="Q172" s="29" t="str" cm="1">
        <f t="array" ref="Q172">_xlfn.IFS(
A172="","",
AND(A172&lt;&gt;"",B172=""),"FALTA LANÇAMENTO",
AND(B172&lt;&gt;"",M172=""),"FALTA O PEDIDO",
AND(M172&lt;&gt;"",O172=""),"FALTA NF",
O172&lt;&gt;"","CONCLUÍDO")</f>
        <v>CONCLUÍDO</v>
      </c>
      <c r="R172" s="36"/>
    </row>
    <row r="173" spans="1:18" hidden="1">
      <c r="A173" s="16">
        <v>46037</v>
      </c>
      <c r="B173" s="16">
        <v>46048</v>
      </c>
      <c r="C173" s="21">
        <v>8151908</v>
      </c>
      <c r="D173" s="16" t="str">
        <f>IFERROR(VLOOKUP(Tabela5[[#This Row],[PREFIXO ]],Tabela4[#All],2,0),"CENTRO DE CUSTO")</f>
        <v>PLATAF COLHEITA N.HOLLAND DRAPER 8645P</v>
      </c>
      <c r="E173" s="18" t="s">
        <v>67</v>
      </c>
      <c r="F173" s="21">
        <v>62</v>
      </c>
      <c r="G173" s="22">
        <v>2000</v>
      </c>
      <c r="H173" s="22">
        <v>3920</v>
      </c>
      <c r="I173" s="22">
        <f t="shared" si="3"/>
        <v>5920</v>
      </c>
      <c r="J173" s="18" t="s">
        <v>1113</v>
      </c>
      <c r="K173" s="18">
        <v>9743901</v>
      </c>
      <c r="L173" s="18">
        <v>848919</v>
      </c>
      <c r="M173" s="18" t="s">
        <v>1337</v>
      </c>
      <c r="N173" s="16" t="s">
        <v>1316</v>
      </c>
      <c r="O173" s="18" t="s">
        <v>1338</v>
      </c>
      <c r="P173" s="18" t="s">
        <v>1339</v>
      </c>
      <c r="Q173" s="29" t="str" cm="1">
        <f t="array" ref="Q173">_xlfn.IFS(
A173="","",
AND(A173&lt;&gt;"",B173=""),"FALTA LANÇAMENTO",
AND(B173&lt;&gt;"",M173=""),"FALTA O PEDIDO",
AND(M173&lt;&gt;"",O173=""),"FALTA NF",
O173&lt;&gt;"","CONCLUÍDO")</f>
        <v>CONCLUÍDO</v>
      </c>
      <c r="R173" s="36"/>
    </row>
    <row r="174" spans="1:18" hidden="1">
      <c r="A174" s="16">
        <v>46037</v>
      </c>
      <c r="B174" s="16">
        <v>46045</v>
      </c>
      <c r="C174" s="21" t="s">
        <v>1134</v>
      </c>
      <c r="D174" s="16" t="str">
        <f>IFERROR(VLOOKUP(Tabela5[[#This Row],[PREFIXO ]],Tabela4[#All],2,0),"CENTRO DE CUSTO")</f>
        <v>CENTRO DE CUSTO</v>
      </c>
      <c r="E174" s="18" t="s">
        <v>67</v>
      </c>
      <c r="F174" s="21">
        <v>72</v>
      </c>
      <c r="G174" s="22">
        <v>4400</v>
      </c>
      <c r="H174" s="22"/>
      <c r="I174" s="22">
        <f t="shared" si="3"/>
        <v>4400</v>
      </c>
      <c r="J174" s="18" t="s">
        <v>1080</v>
      </c>
      <c r="K174" s="18">
        <v>5019013</v>
      </c>
      <c r="L174" s="18">
        <v>847260</v>
      </c>
      <c r="M174" s="18" t="s">
        <v>1333</v>
      </c>
      <c r="N174" s="16" t="s">
        <v>1242</v>
      </c>
      <c r="O174" s="18" t="s">
        <v>1334</v>
      </c>
      <c r="P174" s="18" t="s">
        <v>1092</v>
      </c>
      <c r="Q174" s="29" t="str" cm="1">
        <f t="array" ref="Q174">_xlfn.IFS(
A174="","",
AND(A174&lt;&gt;"",B174=""),"FALTA LANÇAMENTO",
AND(B174&lt;&gt;"",M174=""),"FALTA O PEDIDO",
AND(M174&lt;&gt;"",O174=""),"FALTA NF",
O174&lt;&gt;"","CONCLUÍDO")</f>
        <v>CONCLUÍDO</v>
      </c>
      <c r="R174" s="36"/>
    </row>
    <row r="175" spans="1:18" hidden="1">
      <c r="A175" s="16">
        <v>46037</v>
      </c>
      <c r="B175" s="16">
        <v>46045</v>
      </c>
      <c r="C175" s="21" t="s">
        <v>1134</v>
      </c>
      <c r="D175" s="16" t="str">
        <f>IFERROR(VLOOKUP(Tabela5[[#This Row],[PREFIXO ]],Tabela4[#All],2,0),"CENTRO DE CUSTO")</f>
        <v>CENTRO DE CUSTO</v>
      </c>
      <c r="E175" s="18" t="s">
        <v>67</v>
      </c>
      <c r="F175" s="21">
        <v>74</v>
      </c>
      <c r="G175" s="22">
        <v>3800</v>
      </c>
      <c r="H175" s="22"/>
      <c r="I175" s="22">
        <f t="shared" si="3"/>
        <v>3800</v>
      </c>
      <c r="J175" s="18" t="s">
        <v>1080</v>
      </c>
      <c r="K175" s="18">
        <v>9744176</v>
      </c>
      <c r="L175" s="18">
        <v>847260</v>
      </c>
      <c r="M175" s="18" t="s">
        <v>1333</v>
      </c>
      <c r="N175" s="16" t="s">
        <v>1242</v>
      </c>
      <c r="O175" s="18" t="s">
        <v>1334</v>
      </c>
      <c r="P175" s="18" t="s">
        <v>1092</v>
      </c>
      <c r="Q175" s="29" t="str" cm="1">
        <f t="array" ref="Q175">_xlfn.IFS(
A175="","",
AND(A175&lt;&gt;"",B175=""),"FALTA LANÇAMENTO",
AND(B175&lt;&gt;"",M175=""),"FALTA O PEDIDO",
AND(M175&lt;&gt;"",O175=""),"FALTA NF",
O175&lt;&gt;"","CONCLUÍDO")</f>
        <v>CONCLUÍDO</v>
      </c>
      <c r="R175" s="36"/>
    </row>
    <row r="176" spans="1:18" hidden="1">
      <c r="A176" s="16">
        <v>46037</v>
      </c>
      <c r="B176" s="16">
        <v>46045</v>
      </c>
      <c r="C176" s="21">
        <v>31521014</v>
      </c>
      <c r="D176" s="16" t="str">
        <f>IFERROR(VLOOKUP(Tabela5[[#This Row],[PREFIXO ]],Tabela4[#All],2,0),"CENTRO DE CUSTO")</f>
        <v>PULV AUTOPROP JACTO UNIPORT 3030</v>
      </c>
      <c r="E176" s="18" t="s">
        <v>67</v>
      </c>
      <c r="F176" s="21">
        <v>73</v>
      </c>
      <c r="G176" s="22">
        <v>3600</v>
      </c>
      <c r="H176" s="22"/>
      <c r="I176" s="22">
        <f t="shared" si="3"/>
        <v>3600</v>
      </c>
      <c r="J176" s="18" t="s">
        <v>1080</v>
      </c>
      <c r="K176" s="18">
        <v>9744000</v>
      </c>
      <c r="L176" s="18">
        <v>847260</v>
      </c>
      <c r="M176" s="18" t="s">
        <v>1333</v>
      </c>
      <c r="N176" s="16" t="s">
        <v>1242</v>
      </c>
      <c r="O176" s="18" t="s">
        <v>1334</v>
      </c>
      <c r="P176" s="18" t="s">
        <v>1092</v>
      </c>
      <c r="Q176" s="29" t="str" cm="1">
        <f t="array" ref="Q176">_xlfn.IFS(
A176="","",
AND(A176&lt;&gt;"",B176=""),"FALTA LANÇAMENTO",
AND(B176&lt;&gt;"",M176=""),"FALTA O PEDIDO",
AND(M176&lt;&gt;"",O176=""),"FALTA NF",
O176&lt;&gt;"","CONCLUÍDO")</f>
        <v>CONCLUÍDO</v>
      </c>
      <c r="R176" s="36"/>
    </row>
    <row r="177" spans="1:18" hidden="1">
      <c r="A177" s="16">
        <v>46037</v>
      </c>
      <c r="B177" s="16">
        <v>46048</v>
      </c>
      <c r="C177" s="21">
        <v>81521372</v>
      </c>
      <c r="D177" s="16" t="str">
        <f>IFERROR(VLOOKUP(Tabela5[[#This Row],[PREFIXO ]],Tabela4[#All],2,0),"CENTRO DE CUSTO")</f>
        <v>PLATAF COLHEITA N.HOLLAND DRAPER 8645P</v>
      </c>
      <c r="E177" s="18" t="s">
        <v>67</v>
      </c>
      <c r="F177" s="21">
        <v>66</v>
      </c>
      <c r="G177" s="22">
        <v>3420</v>
      </c>
      <c r="H177" s="22"/>
      <c r="I177" s="22">
        <f t="shared" si="3"/>
        <v>3420</v>
      </c>
      <c r="J177" s="18" t="s">
        <v>1113</v>
      </c>
      <c r="K177" s="18">
        <v>9743903</v>
      </c>
      <c r="L177" s="18">
        <v>848556</v>
      </c>
      <c r="M177" s="18" t="s">
        <v>1340</v>
      </c>
      <c r="N177" s="16" t="s">
        <v>1341</v>
      </c>
      <c r="O177" s="18" t="s">
        <v>1342</v>
      </c>
      <c r="P177" s="18" t="s">
        <v>1343</v>
      </c>
      <c r="Q177" s="29" t="str" cm="1">
        <f t="array" ref="Q177">_xlfn.IFS(
A177="","",
AND(A177&lt;&gt;"",B177=""),"FALTA LANÇAMENTO",
AND(B177&lt;&gt;"",M177=""),"FALTA O PEDIDO",
AND(M177&lt;&gt;"",O177=""),"FALTA NF",
O177&lt;&gt;"","CONCLUÍDO")</f>
        <v>CONCLUÍDO</v>
      </c>
      <c r="R177" s="36"/>
    </row>
    <row r="178" spans="1:18" hidden="1">
      <c r="A178" s="16">
        <v>46037</v>
      </c>
      <c r="B178" s="16">
        <v>46045</v>
      </c>
      <c r="C178" s="21" t="s">
        <v>1344</v>
      </c>
      <c r="D178" s="16" t="str">
        <f>IFERROR(VLOOKUP(Tabela5[[#This Row],[PREFIXO ]],Tabela4[#All],2,0),"CENTRO DE CUSTO")</f>
        <v>CENTRO DE CUSTO</v>
      </c>
      <c r="E178" s="18" t="s">
        <v>67</v>
      </c>
      <c r="F178" s="21">
        <v>65</v>
      </c>
      <c r="G178" s="22">
        <v>2176</v>
      </c>
      <c r="H178" s="22"/>
      <c r="I178" s="22">
        <f t="shared" si="3"/>
        <v>2176</v>
      </c>
      <c r="J178" s="18" t="s">
        <v>1113</v>
      </c>
      <c r="K178" s="18" t="s">
        <v>1345</v>
      </c>
      <c r="L178" s="18">
        <v>847303</v>
      </c>
      <c r="M178" s="18" t="s">
        <v>1346</v>
      </c>
      <c r="N178" s="16" t="s">
        <v>1293</v>
      </c>
      <c r="O178" s="18" t="s">
        <v>1347</v>
      </c>
      <c r="P178" s="18" t="s">
        <v>1092</v>
      </c>
      <c r="Q178" s="29" t="str" cm="1">
        <f t="array" ref="Q178">_xlfn.IFS(
A178="","",
AND(A178&lt;&gt;"",B178=""),"FALTA LANÇAMENTO",
AND(B178&lt;&gt;"",M178=""),"FALTA O PEDIDO",
AND(M178&lt;&gt;"",O178=""),"FALTA NF",
O178&lt;&gt;"","CONCLUÍDO")</f>
        <v>CONCLUÍDO</v>
      </c>
      <c r="R178" s="36"/>
    </row>
    <row r="179" spans="1:18" hidden="1">
      <c r="A179" s="16">
        <v>46037</v>
      </c>
      <c r="B179" s="16">
        <v>46045</v>
      </c>
      <c r="C179" s="21">
        <v>81521440</v>
      </c>
      <c r="D179" s="16" t="str">
        <f>IFERROR(VLOOKUP(Tabela5[[#This Row],[PREFIXO ]],Tabela4[#All],2,0),"CENTRO DE CUSTO")</f>
        <v>CENTRO DE CUSTO</v>
      </c>
      <c r="E179" s="18" t="s">
        <v>67</v>
      </c>
      <c r="F179" s="21">
        <v>70</v>
      </c>
      <c r="G179" s="22">
        <v>2000</v>
      </c>
      <c r="H179" s="22"/>
      <c r="I179" s="22">
        <f t="shared" si="3"/>
        <v>2000</v>
      </c>
      <c r="J179" s="18" t="s">
        <v>1080</v>
      </c>
      <c r="K179" s="18">
        <v>9743977</v>
      </c>
      <c r="L179" s="18">
        <v>847260</v>
      </c>
      <c r="M179" s="18" t="s">
        <v>1333</v>
      </c>
      <c r="N179" s="16" t="s">
        <v>1242</v>
      </c>
      <c r="O179" s="18" t="s">
        <v>1334</v>
      </c>
      <c r="P179" s="18" t="s">
        <v>1092</v>
      </c>
      <c r="Q179" s="29" t="str" cm="1">
        <f t="array" ref="Q179">_xlfn.IFS(
A179="","",
AND(A179&lt;&gt;"",B179=""),"FALTA LANÇAMENTO",
AND(B179&lt;&gt;"",M179=""),"FALTA O PEDIDO",
AND(M179&lt;&gt;"",O179=""),"FALTA NF",
O179&lt;&gt;"","CONCLUÍDO")</f>
        <v>CONCLUÍDO</v>
      </c>
      <c r="R179" s="36"/>
    </row>
    <row r="180" spans="1:18" hidden="1">
      <c r="A180" s="16">
        <v>46037</v>
      </c>
      <c r="B180" s="16">
        <v>46045</v>
      </c>
      <c r="C180" s="21">
        <v>23120019</v>
      </c>
      <c r="D180" s="16" t="str">
        <f>IFERROR(VLOOKUP(Tabela5[[#This Row],[PREFIXO ]],Tabela4[#All],2,0),"CENTRO DE CUSTO")</f>
        <v>EMPILHA COMBUST TOYOTA 8FGU30</v>
      </c>
      <c r="E180" s="18" t="s">
        <v>67</v>
      </c>
      <c r="F180" s="21">
        <v>57</v>
      </c>
      <c r="G180" s="22">
        <v>1800</v>
      </c>
      <c r="H180" s="22"/>
      <c r="I180" s="22">
        <f t="shared" si="3"/>
        <v>1800</v>
      </c>
      <c r="J180" s="18" t="s">
        <v>1113</v>
      </c>
      <c r="K180" s="18">
        <v>9743911</v>
      </c>
      <c r="L180" s="18">
        <v>847260</v>
      </c>
      <c r="M180" s="18" t="s">
        <v>1333</v>
      </c>
      <c r="N180" s="16" t="s">
        <v>1242</v>
      </c>
      <c r="O180" s="18" t="s">
        <v>1334</v>
      </c>
      <c r="P180" s="18" t="s">
        <v>1092</v>
      </c>
      <c r="Q180" s="29" t="str" cm="1">
        <f t="array" ref="Q180">_xlfn.IFS(
A180="","",
AND(A180&lt;&gt;"",B180=""),"FALTA LANÇAMENTO",
AND(B180&lt;&gt;"",M180=""),"FALTA O PEDIDO",
AND(M180&lt;&gt;"",O180=""),"FALTA NF",
O180&lt;&gt;"","CONCLUÍDO")</f>
        <v>CONCLUÍDO</v>
      </c>
      <c r="R180" s="36"/>
    </row>
    <row r="181" spans="1:18" hidden="1">
      <c r="A181" s="16">
        <v>46037</v>
      </c>
      <c r="B181" s="16">
        <v>46052</v>
      </c>
      <c r="C181" s="21">
        <v>500580263</v>
      </c>
      <c r="D181" s="16" t="str">
        <f>IFERROR(VLOOKUP(Tabela5[[#This Row],[PREFIXO ]],Tabela4[#All],2,0),"CENTRO DE CUSTO")</f>
        <v>Colheit. Grãos-Axial</v>
      </c>
      <c r="E181" s="18" t="s">
        <v>67</v>
      </c>
      <c r="F181" s="21">
        <v>75</v>
      </c>
      <c r="G181" s="22">
        <v>1765.8</v>
      </c>
      <c r="H181" s="22"/>
      <c r="I181" s="22">
        <f t="shared" si="3"/>
        <v>1765.8</v>
      </c>
      <c r="J181" s="18" t="s">
        <v>1113</v>
      </c>
      <c r="K181" s="18">
        <v>5019192</v>
      </c>
      <c r="L181" s="18">
        <v>852761</v>
      </c>
      <c r="M181" s="18" t="s">
        <v>1335</v>
      </c>
      <c r="N181" s="16" t="s">
        <v>1284</v>
      </c>
      <c r="O181" s="18" t="s">
        <v>1336</v>
      </c>
      <c r="P181" s="18" t="s">
        <v>1092</v>
      </c>
      <c r="Q181" s="29" t="str" cm="1">
        <f t="array" ref="Q181">_xlfn.IFS(
A181="","",
AND(A181&lt;&gt;"",B181=""),"FALTA LANÇAMENTO",
AND(B181&lt;&gt;"",M181=""),"FALTA O PEDIDO",
AND(M181&lt;&gt;"",O181=""),"FALTA NF",
O181&lt;&gt;"","CONCLUÍDO")</f>
        <v>CONCLUÍDO</v>
      </c>
      <c r="R181" s="36"/>
    </row>
    <row r="182" spans="1:18" hidden="1">
      <c r="A182" s="16">
        <v>46037</v>
      </c>
      <c r="B182" s="16">
        <v>46045</v>
      </c>
      <c r="C182" s="21" t="s">
        <v>1348</v>
      </c>
      <c r="D182" s="16" t="str">
        <f>IFERROR(VLOOKUP(Tabela5[[#This Row],[PREFIXO ]],Tabela4[#All],2,0),"CENTRO DE CUSTO")</f>
        <v>CENTRO DE CUSTO</v>
      </c>
      <c r="E182" s="18" t="s">
        <v>67</v>
      </c>
      <c r="F182" s="21">
        <v>64</v>
      </c>
      <c r="G182" s="22">
        <v>1429.89</v>
      </c>
      <c r="H182" s="22"/>
      <c r="I182" s="22">
        <f t="shared" si="3"/>
        <v>1429.89</v>
      </c>
      <c r="J182" s="18" t="s">
        <v>1097</v>
      </c>
      <c r="K182" s="18" t="s">
        <v>1349</v>
      </c>
      <c r="L182" s="18">
        <v>847303</v>
      </c>
      <c r="M182" s="18" t="s">
        <v>1346</v>
      </c>
      <c r="N182" s="16" t="s">
        <v>1293</v>
      </c>
      <c r="O182" s="18" t="s">
        <v>1347</v>
      </c>
      <c r="P182" s="18" t="s">
        <v>1092</v>
      </c>
      <c r="Q182" s="29" t="str" cm="1">
        <f t="array" ref="Q182">_xlfn.IFS(
A182="","",
AND(A182&lt;&gt;"",B182=""),"FALTA LANÇAMENTO",
AND(B182&lt;&gt;"",M182=""),"FALTA O PEDIDO",
AND(M182&lt;&gt;"",O182=""),"FALTA NF",
O182&lt;&gt;"","CONCLUÍDO")</f>
        <v>CONCLUÍDO</v>
      </c>
      <c r="R182" s="36"/>
    </row>
    <row r="183" spans="1:18" hidden="1">
      <c r="A183" s="16">
        <v>46037</v>
      </c>
      <c r="B183" s="16">
        <v>46045</v>
      </c>
      <c r="C183" s="21">
        <v>51521099</v>
      </c>
      <c r="D183" s="16" t="str">
        <f>IFERROR(VLOOKUP(Tabela5[[#This Row],[PREFIXO ]],Tabela4[#All],2,0),"CENTRO DE CUSTO")</f>
        <v>COLHEIT DE GRÃOS N.HOLLAND CR 8.90</v>
      </c>
      <c r="E183" s="18" t="s">
        <v>67</v>
      </c>
      <c r="F183" s="21">
        <v>60</v>
      </c>
      <c r="G183" s="22">
        <v>1162.5</v>
      </c>
      <c r="H183" s="22"/>
      <c r="I183" s="22">
        <f t="shared" si="3"/>
        <v>1162.5</v>
      </c>
      <c r="J183" s="18" t="s">
        <v>1113</v>
      </c>
      <c r="K183" s="18">
        <v>9743874</v>
      </c>
      <c r="L183" s="18">
        <v>847260</v>
      </c>
      <c r="M183" s="18" t="s">
        <v>1333</v>
      </c>
      <c r="N183" s="16" t="s">
        <v>1242</v>
      </c>
      <c r="O183" s="18" t="s">
        <v>1334</v>
      </c>
      <c r="P183" s="18" t="s">
        <v>1092</v>
      </c>
      <c r="Q183" s="29" t="str" cm="1">
        <f t="array" ref="Q183">_xlfn.IFS(
A183="","",
AND(A183&lt;&gt;"",B183=""),"FALTA LANÇAMENTO",
AND(B183&lt;&gt;"",M183=""),"FALTA O PEDIDO",
AND(M183&lt;&gt;"",O183=""),"FALTA NF",
O183&lt;&gt;"","CONCLUÍDO")</f>
        <v>CONCLUÍDO</v>
      </c>
      <c r="R183" s="36"/>
    </row>
    <row r="184" spans="1:18" hidden="1">
      <c r="A184" s="16">
        <v>46037</v>
      </c>
      <c r="B184" s="16">
        <v>46048</v>
      </c>
      <c r="C184" s="21">
        <v>51521084</v>
      </c>
      <c r="D184" s="16" t="str">
        <f>IFERROR(VLOOKUP(Tabela5[[#This Row],[PREFIXO ]],Tabela4[#All],2,0),"CENTRO DE CUSTO")</f>
        <v>COLHEIT DE GRÃOS N.HOLLAND CR 8.90</v>
      </c>
      <c r="E184" s="18" t="s">
        <v>67</v>
      </c>
      <c r="F184" s="21">
        <v>67</v>
      </c>
      <c r="G184" s="22">
        <v>1098.8</v>
      </c>
      <c r="H184" s="22"/>
      <c r="I184" s="22">
        <f t="shared" si="3"/>
        <v>1098.8</v>
      </c>
      <c r="J184" s="18" t="s">
        <v>1113</v>
      </c>
      <c r="K184" s="18">
        <v>9743909</v>
      </c>
      <c r="L184" s="18">
        <v>848807</v>
      </c>
      <c r="M184" s="18" t="s">
        <v>1350</v>
      </c>
      <c r="N184" s="16" t="s">
        <v>1341</v>
      </c>
      <c r="O184" s="18" t="s">
        <v>1351</v>
      </c>
      <c r="P184" s="18" t="s">
        <v>1343</v>
      </c>
      <c r="Q184" s="29" t="str" cm="1">
        <f t="array" ref="Q184">_xlfn.IFS(
A184="","",
AND(A184&lt;&gt;"",B184=""),"FALTA LANÇAMENTO",
AND(B184&lt;&gt;"",M184=""),"FALTA O PEDIDO",
AND(M184&lt;&gt;"",O184=""),"FALTA NF",
O184&lt;&gt;"","CONCLUÍDO")</f>
        <v>CONCLUÍDO</v>
      </c>
      <c r="R184" s="36"/>
    </row>
    <row r="185" spans="1:18" hidden="1">
      <c r="A185" s="16">
        <v>46037</v>
      </c>
      <c r="B185" s="16">
        <v>46045</v>
      </c>
      <c r="C185" s="21">
        <v>81521375</v>
      </c>
      <c r="D185" s="16" t="str">
        <f>IFERROR(VLOOKUP(Tabela5[[#This Row],[PREFIXO ]],Tabela4[#All],2,0),"CENTRO DE CUSTO")</f>
        <v>PLATAF COLHEITA N.HOLLAND DRAPER 8645P</v>
      </c>
      <c r="E185" s="18" t="s">
        <v>67</v>
      </c>
      <c r="F185" s="21">
        <v>61</v>
      </c>
      <c r="G185" s="22">
        <v>1000</v>
      </c>
      <c r="H185" s="22"/>
      <c r="I185" s="22">
        <f t="shared" si="3"/>
        <v>1000</v>
      </c>
      <c r="J185" s="18" t="s">
        <v>1113</v>
      </c>
      <c r="K185" s="18">
        <v>9743878</v>
      </c>
      <c r="L185" s="18">
        <v>847260</v>
      </c>
      <c r="M185" s="18" t="s">
        <v>1333</v>
      </c>
      <c r="N185" s="16" t="s">
        <v>1242</v>
      </c>
      <c r="O185" s="18" t="s">
        <v>1334</v>
      </c>
      <c r="P185" s="18" t="s">
        <v>1092</v>
      </c>
      <c r="Q185" s="29" t="str" cm="1">
        <f t="array" ref="Q185">_xlfn.IFS(
A185="","",
AND(A185&lt;&gt;"",B185=""),"FALTA LANÇAMENTO",
AND(B185&lt;&gt;"",M185=""),"FALTA O PEDIDO",
AND(M185&lt;&gt;"",O185=""),"FALTA NF",
O185&lt;&gt;"","CONCLUÍDO")</f>
        <v>CONCLUÍDO</v>
      </c>
      <c r="R185" s="36"/>
    </row>
    <row r="186" spans="1:18" hidden="1">
      <c r="A186" s="16">
        <v>46037</v>
      </c>
      <c r="B186" s="16">
        <v>46045</v>
      </c>
      <c r="C186" s="21">
        <v>31521010</v>
      </c>
      <c r="D186" s="16" t="str">
        <f>IFERROR(VLOOKUP(Tabela5[[#This Row],[PREFIXO ]],Tabela4[#All],2,0),"CENTRO DE CUSTO")</f>
        <v>PULV AUTOPROP JACTO UNIPORT 3030</v>
      </c>
      <c r="E186" s="18" t="s">
        <v>67</v>
      </c>
      <c r="F186" s="21">
        <v>58</v>
      </c>
      <c r="G186" s="22">
        <v>850</v>
      </c>
      <c r="H186" s="22"/>
      <c r="I186" s="22">
        <f t="shared" si="3"/>
        <v>850</v>
      </c>
      <c r="J186" s="18" t="s">
        <v>1080</v>
      </c>
      <c r="K186" s="18">
        <v>9743959</v>
      </c>
      <c r="L186" s="18">
        <v>847303</v>
      </c>
      <c r="M186" s="18" t="s">
        <v>1346</v>
      </c>
      <c r="N186" s="16" t="s">
        <v>1293</v>
      </c>
      <c r="O186" s="18" t="s">
        <v>1347</v>
      </c>
      <c r="P186" s="18" t="s">
        <v>1092</v>
      </c>
      <c r="Q186" s="29" t="str" cm="1">
        <f t="array" ref="Q186">_xlfn.IFS(
A186="","",
AND(A186&lt;&gt;"",B186=""),"FALTA LANÇAMENTO",
AND(B186&lt;&gt;"",M186=""),"FALTA O PEDIDO",
AND(M186&lt;&gt;"",O186=""),"FALTA NF",
O186&lt;&gt;"","CONCLUÍDO")</f>
        <v>CONCLUÍDO</v>
      </c>
      <c r="R186" s="36"/>
    </row>
    <row r="187" spans="1:18" hidden="1">
      <c r="A187" s="16">
        <v>46037</v>
      </c>
      <c r="B187" s="16">
        <v>46045</v>
      </c>
      <c r="C187" s="21">
        <v>81521334</v>
      </c>
      <c r="D187" s="16" t="str">
        <f>IFERROR(VLOOKUP(Tabela5[[#This Row],[PREFIXO ]],Tabela4[#All],2,0),"CENTRO DE CUSTO")</f>
        <v>PLANT GRÃOS N.HOLLAND PL7000 60 LINHAS</v>
      </c>
      <c r="E187" s="18" t="s">
        <v>67</v>
      </c>
      <c r="F187" s="21">
        <v>71</v>
      </c>
      <c r="G187" s="22">
        <v>811.6</v>
      </c>
      <c r="H187" s="22"/>
      <c r="I187" s="22">
        <f t="shared" si="3"/>
        <v>811.6</v>
      </c>
      <c r="J187" s="18" t="s">
        <v>1199</v>
      </c>
      <c r="K187" s="18">
        <v>9744004</v>
      </c>
      <c r="L187" s="18">
        <v>847303</v>
      </c>
      <c r="M187" s="18" t="s">
        <v>1346</v>
      </c>
      <c r="N187" s="16" t="s">
        <v>1293</v>
      </c>
      <c r="O187" s="18" t="s">
        <v>1347</v>
      </c>
      <c r="P187" s="18" t="s">
        <v>1092</v>
      </c>
      <c r="Q187" s="29" t="str" cm="1">
        <f t="array" ref="Q187">_xlfn.IFS(
A187="","",
AND(A187&lt;&gt;"",B187=""),"FALTA LANÇAMENTO",
AND(B187&lt;&gt;"",M187=""),"FALTA O PEDIDO",
AND(M187&lt;&gt;"",O187=""),"FALTA NF",
O187&lt;&gt;"","CONCLUÍDO")</f>
        <v>CONCLUÍDO</v>
      </c>
      <c r="R187" s="36"/>
    </row>
    <row r="188" spans="1:18" hidden="1">
      <c r="A188" s="16">
        <v>46037</v>
      </c>
      <c r="B188" s="16">
        <v>46048</v>
      </c>
      <c r="C188" s="21">
        <v>81521297</v>
      </c>
      <c r="D188" s="16" t="str">
        <f>IFERROR(VLOOKUP(Tabela5[[#This Row],[PREFIXO ]],Tabela4[#All],2,0),"CENTRO DE CUSTO")</f>
        <v>PLANT GRÃOS CASE FAST RISER 60 LINHAS</v>
      </c>
      <c r="E188" s="18" t="s">
        <v>67</v>
      </c>
      <c r="F188" s="21">
        <v>63</v>
      </c>
      <c r="G188" s="22">
        <v>250</v>
      </c>
      <c r="H188" s="22">
        <v>395.5</v>
      </c>
      <c r="I188" s="22">
        <f t="shared" si="3"/>
        <v>645.5</v>
      </c>
      <c r="J188" s="18" t="s">
        <v>1199</v>
      </c>
      <c r="K188" s="18">
        <v>9744003</v>
      </c>
      <c r="L188" s="18">
        <v>848897</v>
      </c>
      <c r="M188" s="18" t="s">
        <v>1352</v>
      </c>
      <c r="N188" s="16" t="s">
        <v>1341</v>
      </c>
      <c r="O188" s="18" t="s">
        <v>1353</v>
      </c>
      <c r="P188" s="18" t="s">
        <v>1343</v>
      </c>
      <c r="Q188" s="29" t="str" cm="1">
        <f t="array" ref="Q188">_xlfn.IFS(
A188="","",
AND(A188&lt;&gt;"",B188=""),"FALTA LANÇAMENTO",
AND(B188&lt;&gt;"",M188=""),"FALTA O PEDIDO",
AND(M188&lt;&gt;"",O188=""),"FALTA NF",
O188&lt;&gt;"","CONCLUÍDO")</f>
        <v>CONCLUÍDO</v>
      </c>
      <c r="R188" s="36"/>
    </row>
    <row r="189" spans="1:18" hidden="1">
      <c r="A189" s="16">
        <v>46037</v>
      </c>
      <c r="B189" s="16">
        <v>46045</v>
      </c>
      <c r="C189" s="21">
        <v>31521010</v>
      </c>
      <c r="D189" s="16" t="str">
        <f>IFERROR(VLOOKUP(Tabela5[[#This Row],[PREFIXO ]],Tabela4[#All],2,0),"CENTRO DE CUSTO")</f>
        <v>PULV AUTOPROP JACTO UNIPORT 3030</v>
      </c>
      <c r="E189" s="18" t="s">
        <v>67</v>
      </c>
      <c r="F189" s="21">
        <v>59</v>
      </c>
      <c r="G189" s="22">
        <v>574.79999999999995</v>
      </c>
      <c r="H189" s="22"/>
      <c r="I189" s="22">
        <f t="shared" si="3"/>
        <v>574.79999999999995</v>
      </c>
      <c r="J189" s="18" t="s">
        <v>1080</v>
      </c>
      <c r="K189" s="18">
        <v>9743967</v>
      </c>
      <c r="L189" s="18">
        <v>847303</v>
      </c>
      <c r="M189" s="18" t="s">
        <v>1346</v>
      </c>
      <c r="N189" s="16" t="s">
        <v>1293</v>
      </c>
      <c r="O189" s="18" t="s">
        <v>1347</v>
      </c>
      <c r="P189" s="18" t="s">
        <v>1092</v>
      </c>
      <c r="Q189" s="29" t="str" cm="1">
        <f t="array" ref="Q189">_xlfn.IFS(
A189="","",
AND(A189&lt;&gt;"",B189=""),"FALTA LANÇAMENTO",
AND(B189&lt;&gt;"",M189=""),"FALTA O PEDIDO",
AND(M189&lt;&gt;"",O189=""),"FALTA NF",
O189&lt;&gt;"","CONCLUÍDO")</f>
        <v>CONCLUÍDO</v>
      </c>
      <c r="R189" s="36"/>
    </row>
    <row r="190" spans="1:18" hidden="1">
      <c r="A190" s="16">
        <v>46037</v>
      </c>
      <c r="B190" s="16">
        <v>46038</v>
      </c>
      <c r="C190" s="21">
        <v>61521091</v>
      </c>
      <c r="D190" s="16" t="str">
        <f>IFERROR(VLOOKUP(Tabela5[[#This Row],[PREFIXO ]],Tabela4[#All],2,0),"CENTRO DE CUSTO")</f>
        <v>PA CARREGADEIRA JOHN DEERE 524 K II</v>
      </c>
      <c r="E190" s="18" t="s">
        <v>67</v>
      </c>
      <c r="F190" s="21">
        <v>68</v>
      </c>
      <c r="G190" s="22">
        <v>500</v>
      </c>
      <c r="H190" s="22"/>
      <c r="I190" s="22">
        <f t="shared" si="3"/>
        <v>500</v>
      </c>
      <c r="J190" s="18" t="s">
        <v>1080</v>
      </c>
      <c r="K190" s="18">
        <v>9743973</v>
      </c>
      <c r="L190" s="18">
        <v>847260</v>
      </c>
      <c r="M190" s="18" t="s">
        <v>1333</v>
      </c>
      <c r="N190" s="16" t="s">
        <v>1242</v>
      </c>
      <c r="O190" s="18" t="s">
        <v>1334</v>
      </c>
      <c r="P190" s="18" t="s">
        <v>1092</v>
      </c>
      <c r="Q190" s="29" t="str" cm="1">
        <f t="array" ref="Q190">_xlfn.IFS(
A190="","",
AND(A190&lt;&gt;"",B190=""),"FALTA LANÇAMENTO",
AND(B190&lt;&gt;"",M190=""),"FALTA O PEDIDO",
AND(M190&lt;&gt;"",O190=""),"FALTA NF",
O190&lt;&gt;"","CONCLUÍDO")</f>
        <v>CONCLUÍDO</v>
      </c>
      <c r="R190" s="36"/>
    </row>
    <row r="191" spans="1:18" hidden="1">
      <c r="A191" s="16">
        <v>46037</v>
      </c>
      <c r="B191" s="16">
        <v>46045</v>
      </c>
      <c r="C191" s="21">
        <v>1173007</v>
      </c>
      <c r="D191" s="16" t="str">
        <f>IFERROR(VLOOKUP(Tabela5[[#This Row],[PREFIXO ]],Tabela4[#All],2,0),"CENTRO DE CUSTO")</f>
        <v>TRAT PN LEVE M FERGUSON MF 290</v>
      </c>
      <c r="E191" s="18" t="s">
        <v>67</v>
      </c>
      <c r="F191" s="21">
        <v>69</v>
      </c>
      <c r="G191" s="22">
        <v>500</v>
      </c>
      <c r="H191" s="22"/>
      <c r="I191" s="22">
        <f t="shared" si="3"/>
        <v>500</v>
      </c>
      <c r="J191" s="18" t="s">
        <v>1199</v>
      </c>
      <c r="K191" s="18">
        <v>9744007</v>
      </c>
      <c r="L191" s="18">
        <v>847260</v>
      </c>
      <c r="M191" s="18" t="s">
        <v>1333</v>
      </c>
      <c r="N191" s="16" t="s">
        <v>1242</v>
      </c>
      <c r="O191" s="18" t="s">
        <v>1334</v>
      </c>
      <c r="P191" s="18" t="s">
        <v>1092</v>
      </c>
      <c r="Q191" s="29" t="str" cm="1">
        <f t="array" ref="Q191">_xlfn.IFS(
A191="","",
AND(A191&lt;&gt;"",B191=""),"FALTA LANÇAMENTO",
AND(B191&lt;&gt;"",M191=""),"FALTA O PEDIDO",
AND(M191&lt;&gt;"",O191=""),"FALTA NF",
O191&lt;&gt;"","CONCLUÍDO")</f>
        <v>CONCLUÍDO</v>
      </c>
      <c r="R191" s="36"/>
    </row>
    <row r="192" spans="1:18" hidden="1">
      <c r="A192" s="16">
        <v>46037</v>
      </c>
      <c r="B192" s="16">
        <v>46044</v>
      </c>
      <c r="C192" s="21">
        <v>61521074</v>
      </c>
      <c r="D192" s="16" t="str">
        <f>IFERROR(VLOOKUP(Tabela5[[#This Row],[PREFIXO ]],Tabela4[#All],2,0),"CENTRO DE CUSTO")</f>
        <v>CAV MEC PES VOLVO VM 220</v>
      </c>
      <c r="E192" s="18" t="s">
        <v>173</v>
      </c>
      <c r="F192" s="21">
        <v>295</v>
      </c>
      <c r="G192" s="22">
        <v>1066.8</v>
      </c>
      <c r="H192" s="22">
        <v>2088.27</v>
      </c>
      <c r="I192" s="22">
        <f t="shared" ref="I192:I255" si="4">G192+H192</f>
        <v>3155.0699999999997</v>
      </c>
      <c r="J192" s="18" t="s">
        <v>1257</v>
      </c>
      <c r="K192" s="18">
        <v>9737599</v>
      </c>
      <c r="L192" s="18">
        <v>846505</v>
      </c>
      <c r="M192" s="18" t="s">
        <v>1354</v>
      </c>
      <c r="N192" s="16" t="s">
        <v>1293</v>
      </c>
      <c r="O192" s="18" t="s">
        <v>1355</v>
      </c>
      <c r="P192" s="18" t="s">
        <v>1228</v>
      </c>
      <c r="Q192" s="29" t="str" cm="1">
        <f t="array" ref="Q192">_xlfn.IFS(
A192="","",
AND(A192&lt;&gt;"",B192=""),"FALTA LANÇAMENTO",
AND(B192&lt;&gt;"",M192=""),"FALTA O PEDIDO",
AND(M192&lt;&gt;"",O192=""),"FALTA NF",
O192&lt;&gt;"","CONCLUÍDO")</f>
        <v>CONCLUÍDO</v>
      </c>
      <c r="R192" s="36"/>
    </row>
    <row r="193" spans="1:18" hidden="1">
      <c r="A193" s="16">
        <v>46037</v>
      </c>
      <c r="B193" s="16">
        <v>46049</v>
      </c>
      <c r="C193" s="21">
        <v>15190027</v>
      </c>
      <c r="D193" s="16" t="str">
        <f>IFERROR(VLOOKUP(Tabela5[[#This Row],[PREFIXO ]],Tabela4[#All],2,0),"CENTRO DE CUSTO")</f>
        <v>SUBSOLADOR CROCODILO S1010 - 1T</v>
      </c>
      <c r="E193" s="18" t="s">
        <v>96</v>
      </c>
      <c r="F193" s="21">
        <v>13674</v>
      </c>
      <c r="G193" s="22"/>
      <c r="H193" s="22">
        <v>658.87</v>
      </c>
      <c r="I193" s="22">
        <f t="shared" si="4"/>
        <v>658.87</v>
      </c>
      <c r="J193" s="18" t="s">
        <v>1199</v>
      </c>
      <c r="K193" s="18">
        <v>9743139</v>
      </c>
      <c r="L193" s="18">
        <v>849233</v>
      </c>
      <c r="M193" s="18" t="s">
        <v>1356</v>
      </c>
      <c r="N193" s="16" t="s">
        <v>1316</v>
      </c>
      <c r="O193" s="18" t="s">
        <v>1357</v>
      </c>
      <c r="P193" s="18" t="s">
        <v>1268</v>
      </c>
      <c r="Q193" s="29" t="str" cm="1">
        <f t="array" ref="Q193">_xlfn.IFS(
A193="","",
AND(A193&lt;&gt;"",B193=""),"FALTA LANÇAMENTO",
AND(B193&lt;&gt;"",M193=""),"FALTA O PEDIDO",
AND(M193&lt;&gt;"",O193=""),"FALTA NF",
O193&lt;&gt;"","CONCLUÍDO")</f>
        <v>CONCLUÍDO</v>
      </c>
      <c r="R193" s="36"/>
    </row>
    <row r="194" spans="1:18" hidden="1">
      <c r="A194" s="16">
        <v>46037</v>
      </c>
      <c r="B194" s="16">
        <v>46049</v>
      </c>
      <c r="C194" s="21">
        <v>15190027</v>
      </c>
      <c r="D194" s="16" t="str">
        <f>IFERROR(VLOOKUP(Tabela5[[#This Row],[PREFIXO ]],Tabela4[#All],2,0),"CENTRO DE CUSTO")</f>
        <v>SUBSOLADOR CROCODILO S1010 - 1T</v>
      </c>
      <c r="E194" s="18" t="s">
        <v>96</v>
      </c>
      <c r="F194" s="21">
        <v>3988</v>
      </c>
      <c r="G194" s="22">
        <v>592.41999999999996</v>
      </c>
      <c r="H194" s="22"/>
      <c r="I194" s="22">
        <f t="shared" si="4"/>
        <v>592.41999999999996</v>
      </c>
      <c r="J194" s="18" t="s">
        <v>1199</v>
      </c>
      <c r="K194" s="18">
        <v>9743139</v>
      </c>
      <c r="L194" s="18">
        <v>849233</v>
      </c>
      <c r="M194" s="18" t="s">
        <v>1356</v>
      </c>
      <c r="N194" s="16" t="s">
        <v>1316</v>
      </c>
      <c r="O194" s="18" t="s">
        <v>1357</v>
      </c>
      <c r="P194" s="18" t="s">
        <v>1268</v>
      </c>
      <c r="Q194" s="29" t="str" cm="1">
        <f t="array" ref="Q194">_xlfn.IFS(
A194="","",
AND(A194&lt;&gt;"",B194=""),"FALTA LANÇAMENTO",
AND(B194&lt;&gt;"",M194=""),"FALTA O PEDIDO",
AND(M194&lt;&gt;"",O194=""),"FALTA NF",
O194&lt;&gt;"","CONCLUÍDO")</f>
        <v>CONCLUÍDO</v>
      </c>
      <c r="R194" s="36"/>
    </row>
    <row r="195" spans="1:18" hidden="1">
      <c r="A195" s="16">
        <v>46037</v>
      </c>
      <c r="B195" s="16">
        <v>46048</v>
      </c>
      <c r="C195" s="21">
        <v>1732414</v>
      </c>
      <c r="D195" s="16" t="str">
        <f>IFERROR(VLOOKUP(Tabela5[[#This Row],[PREFIXO ]],Tabela4[#All],2,0),"CENTRO DE CUSTO")</f>
        <v>MOTONIVELADORA JOHN DEERE 770 G</v>
      </c>
      <c r="E195" s="18" t="s">
        <v>340</v>
      </c>
      <c r="F195" s="21">
        <v>239</v>
      </c>
      <c r="G195" s="22">
        <v>2844.5</v>
      </c>
      <c r="H195" s="22"/>
      <c r="I195" s="22">
        <f t="shared" si="4"/>
        <v>2844.5</v>
      </c>
      <c r="J195" s="18" t="s">
        <v>1265</v>
      </c>
      <c r="K195" s="18">
        <v>9747185</v>
      </c>
      <c r="L195" s="18">
        <v>846593</v>
      </c>
      <c r="M195" s="18" t="s">
        <v>1358</v>
      </c>
      <c r="N195" s="16" t="s">
        <v>1341</v>
      </c>
      <c r="O195" s="18" t="s">
        <v>1359</v>
      </c>
      <c r="P195" s="18" t="s">
        <v>1288</v>
      </c>
      <c r="Q195" s="29" t="str" cm="1">
        <f t="array" ref="Q195">_xlfn.IFS(
A195="","",
AND(A195&lt;&gt;"",B195=""),"FALTA LANÇAMENTO",
AND(B195&lt;&gt;"",M195=""),"FALTA O PEDIDO",
AND(M195&lt;&gt;"",O195=""),"FALTA NF",
O195&lt;&gt;"","CONCLUÍDO")</f>
        <v>CONCLUÍDO</v>
      </c>
      <c r="R195" s="36"/>
    </row>
    <row r="196" spans="1:18" hidden="1">
      <c r="A196" s="16">
        <v>46037</v>
      </c>
      <c r="B196" s="16">
        <v>46038</v>
      </c>
      <c r="C196" s="21">
        <v>500580090</v>
      </c>
      <c r="D196" s="16" t="str">
        <f>IFERROR(VLOOKUP(Tabela5[[#This Row],[PREFIXO ]],Tabela4[#All],2,0),"CENTRO DE CUSTO")</f>
        <v>Plantadeiras</v>
      </c>
      <c r="E196" s="18" t="s">
        <v>160</v>
      </c>
      <c r="F196" s="21">
        <v>65</v>
      </c>
      <c r="G196" s="22">
        <v>1200</v>
      </c>
      <c r="H196" s="22"/>
      <c r="I196" s="22">
        <f t="shared" si="4"/>
        <v>1200</v>
      </c>
      <c r="J196" s="18" t="s">
        <v>1199</v>
      </c>
      <c r="K196" s="18">
        <v>5018858</v>
      </c>
      <c r="L196" s="18">
        <v>841166</v>
      </c>
      <c r="M196" s="18" t="s">
        <v>1360</v>
      </c>
      <c r="N196" s="16" t="s">
        <v>1177</v>
      </c>
      <c r="O196" s="18" t="s">
        <v>1309</v>
      </c>
      <c r="P196" s="18" t="s">
        <v>1177</v>
      </c>
      <c r="Q196" s="29" t="str" cm="1">
        <f t="array" ref="Q196">_xlfn.IFS(
A196="","",
AND(A196&lt;&gt;"",B196=""),"FALTA LANÇAMENTO",
AND(B196&lt;&gt;"",M196=""),"FALTA O PEDIDO",
AND(M196&lt;&gt;"",O196=""),"FALTA NF",
O196&lt;&gt;"","CONCLUÍDO")</f>
        <v>CONCLUÍDO</v>
      </c>
      <c r="R196" s="36"/>
    </row>
    <row r="197" spans="1:18" hidden="1">
      <c r="A197" s="16">
        <v>46037</v>
      </c>
      <c r="B197" s="16">
        <v>46038</v>
      </c>
      <c r="C197" s="21">
        <v>500580090</v>
      </c>
      <c r="D197" s="16" t="str">
        <f>IFERROR(VLOOKUP(Tabela5[[#This Row],[PREFIXO ]],Tabela4[#All],2,0),"CENTRO DE CUSTO")</f>
        <v>Plantadeiras</v>
      </c>
      <c r="E197" s="18" t="s">
        <v>160</v>
      </c>
      <c r="F197" s="21">
        <v>68</v>
      </c>
      <c r="G197" s="22">
        <v>1200</v>
      </c>
      <c r="H197" s="22"/>
      <c r="I197" s="22">
        <f t="shared" si="4"/>
        <v>1200</v>
      </c>
      <c r="J197" s="18" t="s">
        <v>1199</v>
      </c>
      <c r="K197" s="18">
        <v>5018858</v>
      </c>
      <c r="L197" s="18">
        <v>841166</v>
      </c>
      <c r="M197" s="18" t="s">
        <v>1360</v>
      </c>
      <c r="N197" s="16" t="s">
        <v>1177</v>
      </c>
      <c r="O197" s="18" t="s">
        <v>1309</v>
      </c>
      <c r="P197" s="18" t="s">
        <v>1177</v>
      </c>
      <c r="Q197" s="29" t="str" cm="1">
        <f t="array" ref="Q197">_xlfn.IFS(
A197="","",
AND(A197&lt;&gt;"",B197=""),"FALTA LANÇAMENTO",
AND(B197&lt;&gt;"",M197=""),"FALTA O PEDIDO",
AND(M197&lt;&gt;"",O197=""),"FALTA NF",
O197&lt;&gt;"","CONCLUÍDO")</f>
        <v>CONCLUÍDO</v>
      </c>
      <c r="R197" s="36"/>
    </row>
    <row r="198" spans="1:18" hidden="1">
      <c r="A198" s="16">
        <v>46037</v>
      </c>
      <c r="B198" s="16">
        <v>46044</v>
      </c>
      <c r="C198" s="21">
        <v>61521011</v>
      </c>
      <c r="D198" s="16" t="str">
        <f>IFERROR(VLOOKUP(Tabela5[[#This Row],[PREFIXO ]],Tabela4[#All],2,0),"CENTRO DE CUSTO")</f>
        <v>CAM COMBOIO MERC BENZ ATRON 2729</v>
      </c>
      <c r="E198" s="18" t="s">
        <v>121</v>
      </c>
      <c r="F198" s="21">
        <v>60</v>
      </c>
      <c r="G198" s="22">
        <v>2280</v>
      </c>
      <c r="H198" s="22">
        <v>3362.95</v>
      </c>
      <c r="I198" s="22">
        <f t="shared" si="4"/>
        <v>5642.95</v>
      </c>
      <c r="J198" s="18" t="s">
        <v>1085</v>
      </c>
      <c r="K198" s="18">
        <v>9737722</v>
      </c>
      <c r="L198" s="18">
        <v>846263</v>
      </c>
      <c r="M198" s="18" t="s">
        <v>1361</v>
      </c>
      <c r="N198" s="16" t="s">
        <v>1293</v>
      </c>
      <c r="O198" s="18" t="s">
        <v>1362</v>
      </c>
      <c r="P198" s="18" t="s">
        <v>1363</v>
      </c>
      <c r="Q198" s="29" t="str" cm="1">
        <f t="array" ref="Q198">_xlfn.IFS(
A198="","",
AND(A198&lt;&gt;"",B198=""),"FALTA LANÇAMENTO",
AND(B198&lt;&gt;"",M198=""),"FALTA O PEDIDO",
AND(M198&lt;&gt;"",O198=""),"FALTA NF",
O198&lt;&gt;"","CONCLUÍDO")</f>
        <v>CONCLUÍDO</v>
      </c>
      <c r="R198" s="36"/>
    </row>
    <row r="199" spans="1:18" hidden="1">
      <c r="A199" s="16">
        <v>46037</v>
      </c>
      <c r="B199" s="16">
        <v>46044</v>
      </c>
      <c r="C199" s="21">
        <v>61521012</v>
      </c>
      <c r="D199" s="16" t="str">
        <f>IFERROR(VLOOKUP(Tabela5[[#This Row],[PREFIXO ]],Tabela4[#All],2,0),"CENTRO DE CUSTO")</f>
        <v>CAM COMBOIO MERC BENZ ATRON 2729</v>
      </c>
      <c r="E199" s="18" t="s">
        <v>121</v>
      </c>
      <c r="F199" s="21">
        <v>61</v>
      </c>
      <c r="G199" s="22">
        <v>1100</v>
      </c>
      <c r="H199" s="22">
        <v>820.59</v>
      </c>
      <c r="I199" s="22">
        <f t="shared" si="4"/>
        <v>1920.5900000000001</v>
      </c>
      <c r="J199" s="18" t="s">
        <v>1085</v>
      </c>
      <c r="K199" s="18">
        <v>9737725</v>
      </c>
      <c r="L199" s="18">
        <v>846339</v>
      </c>
      <c r="M199" s="18" t="s">
        <v>1364</v>
      </c>
      <c r="N199" s="16" t="s">
        <v>1293</v>
      </c>
      <c r="O199" s="18" t="s">
        <v>1365</v>
      </c>
      <c r="P199" s="18" t="s">
        <v>1366</v>
      </c>
      <c r="Q199" s="29" t="str" cm="1">
        <f t="array" ref="Q199">_xlfn.IFS(
A199="","",
AND(A199&lt;&gt;"",B199=""),"FALTA LANÇAMENTO",
AND(B199&lt;&gt;"",M199=""),"FALTA O PEDIDO",
AND(M199&lt;&gt;"",O199=""),"FALTA NF",
O199&lt;&gt;"","CONCLUÍDO")</f>
        <v>CONCLUÍDO</v>
      </c>
      <c r="R199" s="36"/>
    </row>
    <row r="200" spans="1:18" hidden="1">
      <c r="A200" s="16">
        <v>46037</v>
      </c>
      <c r="B200" s="16">
        <v>46043</v>
      </c>
      <c r="C200" s="21">
        <v>500580090</v>
      </c>
      <c r="D200" s="16" t="str">
        <f>IFERROR(VLOOKUP(Tabela5[[#This Row],[PREFIXO ]],Tabela4[#All],2,0),"CENTRO DE CUSTO")</f>
        <v>Plantadeiras</v>
      </c>
      <c r="E200" s="18" t="s">
        <v>179</v>
      </c>
      <c r="F200" s="21">
        <v>2201</v>
      </c>
      <c r="G200" s="22">
        <v>100</v>
      </c>
      <c r="H200" s="22">
        <v>846.08</v>
      </c>
      <c r="I200" s="22">
        <f t="shared" si="4"/>
        <v>946.08</v>
      </c>
      <c r="J200" s="18" t="s">
        <v>1199</v>
      </c>
      <c r="K200" s="18">
        <v>5018911</v>
      </c>
      <c r="L200" s="18">
        <v>844378</v>
      </c>
      <c r="M200" s="18" t="s">
        <v>1367</v>
      </c>
      <c r="N200" s="16" t="s">
        <v>1216</v>
      </c>
      <c r="O200" s="18" t="s">
        <v>1368</v>
      </c>
      <c r="P200" s="18" t="s">
        <v>1228</v>
      </c>
      <c r="Q200" s="29" t="str" cm="1">
        <f t="array" ref="Q200">_xlfn.IFS(
A200="","",
AND(A200&lt;&gt;"",B200=""),"FALTA LANÇAMENTO",
AND(B200&lt;&gt;"",M200=""),"FALTA O PEDIDO",
AND(M200&lt;&gt;"",O200=""),"FALTA NF",
O200&lt;&gt;"","CONCLUÍDO")</f>
        <v>CONCLUÍDO</v>
      </c>
      <c r="R200" s="36"/>
    </row>
    <row r="201" spans="1:18" hidden="1">
      <c r="A201" s="16">
        <v>46037</v>
      </c>
      <c r="B201" s="16">
        <v>46042</v>
      </c>
      <c r="C201" s="21" t="s">
        <v>1369</v>
      </c>
      <c r="D201" s="16" t="str">
        <f>IFERROR(VLOOKUP(Tabela5[[#This Row],[PREFIXO ]],Tabela4[#All],2,0),"CENTRO DE CUSTO")</f>
        <v>CENTRO DE CUSTO</v>
      </c>
      <c r="E201" s="18" t="s">
        <v>308</v>
      </c>
      <c r="F201" s="21" t="s">
        <v>1370</v>
      </c>
      <c r="G201" s="22">
        <v>8877</v>
      </c>
      <c r="H201" s="22"/>
      <c r="I201" s="22">
        <f t="shared" si="4"/>
        <v>8877</v>
      </c>
      <c r="J201" s="18" t="s">
        <v>1123</v>
      </c>
      <c r="K201" s="18">
        <v>5018907</v>
      </c>
      <c r="L201" s="18">
        <v>844028</v>
      </c>
      <c r="M201" s="18" t="s">
        <v>1371</v>
      </c>
      <c r="N201" s="16" t="s">
        <v>1221</v>
      </c>
      <c r="O201" s="18" t="s">
        <v>1372</v>
      </c>
      <c r="P201" s="18" t="s">
        <v>1216</v>
      </c>
      <c r="Q201" s="29" t="str" cm="1">
        <f t="array" ref="Q201">_xlfn.IFS(
A201="","",
AND(A201&lt;&gt;"",B201=""),"FALTA LANÇAMENTO",
AND(B201&lt;&gt;"",M201=""),"FALTA O PEDIDO",
AND(M201&lt;&gt;"",O201=""),"FALTA NF",
O201&lt;&gt;"","CONCLUÍDO")</f>
        <v>CONCLUÍDO</v>
      </c>
      <c r="R201" s="36"/>
    </row>
    <row r="202" spans="1:18" hidden="1">
      <c r="A202" s="16">
        <v>46037</v>
      </c>
      <c r="B202" s="16">
        <v>46042</v>
      </c>
      <c r="C202" s="21" t="s">
        <v>1373</v>
      </c>
      <c r="D202" s="16" t="str">
        <f>IFERROR(VLOOKUP(Tabela5[[#This Row],[PREFIXO ]],Tabela4[#All],2,0),"CENTRO DE CUSTO")</f>
        <v>CENTRO DE CUSTO</v>
      </c>
      <c r="E202" s="18" t="s">
        <v>308</v>
      </c>
      <c r="F202" s="21" t="s">
        <v>1105</v>
      </c>
      <c r="G202" s="22">
        <v>2092</v>
      </c>
      <c r="H202" s="22"/>
      <c r="I202" s="22">
        <f t="shared" si="4"/>
        <v>2092</v>
      </c>
      <c r="J202" s="18" t="s">
        <v>1123</v>
      </c>
      <c r="K202" s="18">
        <v>5018909</v>
      </c>
      <c r="L202" s="18">
        <v>844028</v>
      </c>
      <c r="M202" s="18" t="s">
        <v>1371</v>
      </c>
      <c r="N202" s="16" t="s">
        <v>1221</v>
      </c>
      <c r="O202" s="18" t="s">
        <v>1372</v>
      </c>
      <c r="P202" s="18" t="s">
        <v>1216</v>
      </c>
      <c r="Q202" s="29" t="str" cm="1">
        <f t="array" ref="Q202">_xlfn.IFS(
A202="","",
AND(A202&lt;&gt;"",B202=""),"FALTA LANÇAMENTO",
AND(B202&lt;&gt;"",M202=""),"FALTA O PEDIDO",
AND(M202&lt;&gt;"",O202=""),"FALTA NF",
O202&lt;&gt;"","CONCLUÍDO")</f>
        <v>CONCLUÍDO</v>
      </c>
      <c r="R202" s="36"/>
    </row>
    <row r="203" spans="1:18" hidden="1">
      <c r="A203" s="16">
        <v>46037</v>
      </c>
      <c r="B203" s="16">
        <v>46045</v>
      </c>
      <c r="C203" s="21">
        <v>16170019</v>
      </c>
      <c r="D203" s="16" t="str">
        <f>IFERROR(VLOOKUP(Tabela5[[#This Row],[PREFIXO ]],Tabela4[#All],2,0),"CENTRO DE CUSTO")</f>
        <v>CENTRO DE CUSTO</v>
      </c>
      <c r="E203" s="18" t="s">
        <v>352</v>
      </c>
      <c r="F203" s="21">
        <v>26003</v>
      </c>
      <c r="G203" s="22">
        <v>7000</v>
      </c>
      <c r="H203" s="22">
        <v>70000</v>
      </c>
      <c r="I203" s="22">
        <f t="shared" si="4"/>
        <v>77000</v>
      </c>
      <c r="J203" s="18" t="s">
        <v>1199</v>
      </c>
      <c r="K203" s="18">
        <v>9737766</v>
      </c>
      <c r="L203" s="18">
        <v>847521</v>
      </c>
      <c r="M203" s="18" t="s">
        <v>1374</v>
      </c>
      <c r="N203" s="16" t="s">
        <v>1242</v>
      </c>
      <c r="O203" s="18" t="s">
        <v>1375</v>
      </c>
      <c r="P203" s="18" t="s">
        <v>1376</v>
      </c>
      <c r="Q203" s="29" t="str" cm="1">
        <f t="array" ref="Q203">_xlfn.IFS(
A203="","",
AND(A203&lt;&gt;"",B203=""),"FALTA LANÇAMENTO",
AND(B203&lt;&gt;"",M203=""),"FALTA O PEDIDO",
AND(M203&lt;&gt;"",O203=""),"FALTA NF",
O203&lt;&gt;"","CONCLUÍDO")</f>
        <v>CONCLUÍDO</v>
      </c>
      <c r="R203" s="36"/>
    </row>
    <row r="204" spans="1:18" hidden="1">
      <c r="A204" s="16">
        <v>46037</v>
      </c>
      <c r="B204" s="16">
        <v>46045</v>
      </c>
      <c r="C204" s="21">
        <v>16170023</v>
      </c>
      <c r="D204" s="16" t="str">
        <f>IFERROR(VLOOKUP(Tabela5[[#This Row],[PREFIXO ]],Tabela4[#All],2,0),"CENTRO DE CUSTO")</f>
        <v>CENTRO DE CUSTO</v>
      </c>
      <c r="E204" s="18" t="s">
        <v>352</v>
      </c>
      <c r="F204" s="21">
        <v>26002</v>
      </c>
      <c r="G204" s="22">
        <v>7000</v>
      </c>
      <c r="H204" s="22">
        <v>70000</v>
      </c>
      <c r="I204" s="22">
        <f t="shared" si="4"/>
        <v>77000</v>
      </c>
      <c r="J204" s="18" t="s">
        <v>1199</v>
      </c>
      <c r="K204" s="18">
        <v>9737778</v>
      </c>
      <c r="L204" s="18">
        <v>841227</v>
      </c>
      <c r="M204" s="18" t="s">
        <v>1377</v>
      </c>
      <c r="N204" s="16" t="s">
        <v>1275</v>
      </c>
      <c r="O204" s="18" t="s">
        <v>1378</v>
      </c>
      <c r="P204" s="18" t="s">
        <v>1379</v>
      </c>
      <c r="Q204" s="29" t="str" cm="1">
        <f t="array" ref="Q204">_xlfn.IFS(
A204="","",
AND(A204&lt;&gt;"",B204=""),"FALTA LANÇAMENTO",
AND(B204&lt;&gt;"",M204=""),"FALTA O PEDIDO",
AND(M204&lt;&gt;"",O204=""),"FALTA NF",
O204&lt;&gt;"","CONCLUÍDO")</f>
        <v>CONCLUÍDO</v>
      </c>
      <c r="R204" s="36"/>
    </row>
    <row r="205" spans="1:18" hidden="1">
      <c r="A205" s="16">
        <v>46037</v>
      </c>
      <c r="B205" s="16">
        <v>46048</v>
      </c>
      <c r="C205" s="21">
        <v>500580218</v>
      </c>
      <c r="D205" s="16" t="str">
        <f>IFERROR(VLOOKUP(Tabela5[[#This Row],[PREFIXO ]],Tabela4[#All],2,0),"CENTRO DE CUSTO")</f>
        <v>Plataf. Colher Soja</v>
      </c>
      <c r="E205" s="18" t="s">
        <v>71</v>
      </c>
      <c r="F205" s="21">
        <v>7645</v>
      </c>
      <c r="G205" s="22">
        <v>21259.74</v>
      </c>
      <c r="H205" s="22"/>
      <c r="I205" s="22">
        <f t="shared" si="4"/>
        <v>21259.74</v>
      </c>
      <c r="J205" s="18" t="s">
        <v>1123</v>
      </c>
      <c r="K205" s="18">
        <v>5018953</v>
      </c>
      <c r="L205" s="18">
        <v>844251</v>
      </c>
      <c r="M205" s="18" t="s">
        <v>1380</v>
      </c>
      <c r="N205" s="16" t="s">
        <v>1316</v>
      </c>
      <c r="O205" s="18" t="s">
        <v>1381</v>
      </c>
      <c r="P205" s="18" t="s">
        <v>1275</v>
      </c>
      <c r="Q205" s="29" t="str" cm="1">
        <f t="array" ref="Q205">_xlfn.IFS(
A205="","",
AND(A205&lt;&gt;"",B205=""),"FALTA LANÇAMENTO",
AND(B205&lt;&gt;"",M205=""),"FALTA O PEDIDO",
AND(M205&lt;&gt;"",O205=""),"FALTA NF",
O205&lt;&gt;"","CONCLUÍDO")</f>
        <v>CONCLUÍDO</v>
      </c>
      <c r="R205" s="36"/>
    </row>
    <row r="206" spans="1:18" hidden="1">
      <c r="A206" s="16">
        <v>46037</v>
      </c>
      <c r="B206" s="16">
        <v>46044</v>
      </c>
      <c r="C206" s="21" t="s">
        <v>1382</v>
      </c>
      <c r="D206" s="16" t="str">
        <f>IFERROR(VLOOKUP(Tabela5[[#This Row],[PREFIXO ]],Tabela4[#All],2,0),"CENTRO DE CUSTO")</f>
        <v>CENTRO DE CUSTO</v>
      </c>
      <c r="E206" s="18" t="s">
        <v>71</v>
      </c>
      <c r="F206" s="21">
        <v>7639</v>
      </c>
      <c r="G206" s="22">
        <v>560</v>
      </c>
      <c r="H206" s="22">
        <v>12396</v>
      </c>
      <c r="I206" s="22">
        <f t="shared" si="4"/>
        <v>12956</v>
      </c>
      <c r="J206" s="18" t="s">
        <v>1123</v>
      </c>
      <c r="K206" s="18" t="s">
        <v>1383</v>
      </c>
      <c r="L206" s="18">
        <v>846603</v>
      </c>
      <c r="M206" s="18" t="s">
        <v>1384</v>
      </c>
      <c r="N206" s="16" t="s">
        <v>1293</v>
      </c>
      <c r="O206" s="18" t="s">
        <v>1385</v>
      </c>
      <c r="P206" s="18" t="s">
        <v>1268</v>
      </c>
      <c r="Q206" s="29" t="str" cm="1">
        <f t="array" ref="Q206">_xlfn.IFS(
A206="","",
AND(A206&lt;&gt;"",B206=""),"FALTA LANÇAMENTO",
AND(B206&lt;&gt;"",M206=""),"FALTA O PEDIDO",
AND(M206&lt;&gt;"",O206=""),"FALTA NF",
O206&lt;&gt;"","CONCLUÍDO")</f>
        <v>CONCLUÍDO</v>
      </c>
      <c r="R206" s="36"/>
    </row>
    <row r="207" spans="1:18" hidden="1">
      <c r="A207" s="16">
        <v>46037</v>
      </c>
      <c r="B207" s="16">
        <v>46043</v>
      </c>
      <c r="C207" s="21">
        <v>51521031</v>
      </c>
      <c r="D207" s="16" t="str">
        <f>IFERROR(VLOOKUP(Tabela5[[#This Row],[PREFIXO ]],Tabela4[#All],2,0),"CENTRO DE CUSTO")</f>
        <v>COLHEIT DE GRÃOS JOHN DEERE S 680</v>
      </c>
      <c r="E207" s="18" t="s">
        <v>71</v>
      </c>
      <c r="F207" s="21">
        <v>7641</v>
      </c>
      <c r="G207" s="22">
        <v>9800</v>
      </c>
      <c r="H207" s="22">
        <v>3135.77</v>
      </c>
      <c r="I207" s="22">
        <f t="shared" si="4"/>
        <v>12935.77</v>
      </c>
      <c r="J207" s="18" t="s">
        <v>1123</v>
      </c>
      <c r="K207" s="18">
        <v>9737687</v>
      </c>
      <c r="L207" s="18">
        <v>844660</v>
      </c>
      <c r="M207" s="18" t="s">
        <v>1386</v>
      </c>
      <c r="N207" s="16" t="s">
        <v>1216</v>
      </c>
      <c r="O207" s="18" t="s">
        <v>1387</v>
      </c>
      <c r="P207" s="18" t="s">
        <v>1222</v>
      </c>
      <c r="Q207" s="29" t="str" cm="1">
        <f t="array" ref="Q207">_xlfn.IFS(
A207="","",
AND(A207&lt;&gt;"",B207=""),"FALTA LANÇAMENTO",
AND(B207&lt;&gt;"",M207=""),"FALTA O PEDIDO",
AND(M207&lt;&gt;"",O207=""),"FALTA NF",
O207&lt;&gt;"","CONCLUÍDO")</f>
        <v>CONCLUÍDO</v>
      </c>
      <c r="R207" s="36"/>
    </row>
    <row r="208" spans="1:18" hidden="1">
      <c r="A208" s="16">
        <v>46037</v>
      </c>
      <c r="B208" s="16">
        <v>46048</v>
      </c>
      <c r="C208" s="21">
        <v>51519031</v>
      </c>
      <c r="D208" s="16" t="str">
        <f>IFERROR(VLOOKUP(Tabela5[[#This Row],[PREFIXO ]],Tabela4[#All],2,0),"CENTRO DE CUSTO")</f>
        <v>COLHEIT DE GRÃOS N.HOLLAND CR 8.90</v>
      </c>
      <c r="E208" s="18" t="s">
        <v>71</v>
      </c>
      <c r="F208" s="21">
        <v>7628</v>
      </c>
      <c r="G208" s="22">
        <v>9940</v>
      </c>
      <c r="H208" s="22">
        <v>1920.33</v>
      </c>
      <c r="I208" s="22">
        <f t="shared" si="4"/>
        <v>11860.33</v>
      </c>
      <c r="J208" s="18" t="s">
        <v>1123</v>
      </c>
      <c r="K208" s="18">
        <v>9745881</v>
      </c>
      <c r="L208" s="18">
        <v>846390</v>
      </c>
      <c r="M208" s="18" t="s">
        <v>1388</v>
      </c>
      <c r="N208" s="16" t="s">
        <v>1316</v>
      </c>
      <c r="O208" s="18" t="s">
        <v>1389</v>
      </c>
      <c r="P208" s="18" t="s">
        <v>1268</v>
      </c>
      <c r="Q208" s="29" t="str" cm="1">
        <f t="array" ref="Q208">_xlfn.IFS(
A208="","",
AND(A208&lt;&gt;"",B208=""),"FALTA LANÇAMENTO",
AND(B208&lt;&gt;"",M208=""),"FALTA O PEDIDO",
AND(M208&lt;&gt;"",O208=""),"FALTA NF",
O208&lt;&gt;"","CONCLUÍDO")</f>
        <v>CONCLUÍDO</v>
      </c>
      <c r="R208" s="36"/>
    </row>
    <row r="209" spans="1:18" hidden="1">
      <c r="A209" s="16">
        <v>46037</v>
      </c>
      <c r="B209" s="16">
        <v>46043</v>
      </c>
      <c r="C209" s="21">
        <v>51519037</v>
      </c>
      <c r="D209" s="16" t="str">
        <f>IFERROR(VLOOKUP(Tabela5[[#This Row],[PREFIXO ]],Tabela4[#All],2,0),"CENTRO DE CUSTO")</f>
        <v>COLHEIT DE GRÃOS N.HOLLAND CR 8.90</v>
      </c>
      <c r="E209" s="18" t="s">
        <v>71</v>
      </c>
      <c r="F209" s="21">
        <v>7644</v>
      </c>
      <c r="G209" s="22">
        <v>560</v>
      </c>
      <c r="H209" s="22">
        <v>6198</v>
      </c>
      <c r="I209" s="22">
        <f t="shared" si="4"/>
        <v>6758</v>
      </c>
      <c r="J209" s="18" t="s">
        <v>1123</v>
      </c>
      <c r="K209" s="18">
        <v>9737683</v>
      </c>
      <c r="L209" s="18">
        <v>844830</v>
      </c>
      <c r="M209" s="18" t="s">
        <v>1390</v>
      </c>
      <c r="N209" s="16" t="s">
        <v>1216</v>
      </c>
      <c r="O209" s="18" t="s">
        <v>1391</v>
      </c>
      <c r="P209" s="18" t="s">
        <v>1222</v>
      </c>
      <c r="Q209" s="29" t="str" cm="1">
        <f t="array" ref="Q209">_xlfn.IFS(
A209="","",
AND(A209&lt;&gt;"",B209=""),"FALTA LANÇAMENTO",
AND(B209&lt;&gt;"",M209=""),"FALTA O PEDIDO",
AND(M209&lt;&gt;"",O209=""),"FALTA NF",
O209&lt;&gt;"","CONCLUÍDO")</f>
        <v>CONCLUÍDO</v>
      </c>
      <c r="R209" s="36"/>
    </row>
    <row r="210" spans="1:18" hidden="1">
      <c r="A210" s="16">
        <v>46037</v>
      </c>
      <c r="B210" s="16">
        <v>46049</v>
      </c>
      <c r="C210" s="21">
        <v>13070001</v>
      </c>
      <c r="D210" s="16" t="str">
        <f>IFERROR(VLOOKUP(Tabela5[[#This Row],[PREFIXO ]],Tabela4[#All],2,0),"CENTRO DE CUSTO")</f>
        <v>CENTRO DE CUSTO</v>
      </c>
      <c r="E210" s="18" t="s">
        <v>71</v>
      </c>
      <c r="F210" s="21">
        <v>7657</v>
      </c>
      <c r="G210" s="22">
        <v>3450</v>
      </c>
      <c r="H210" s="22">
        <v>1177.02</v>
      </c>
      <c r="I210" s="22">
        <f t="shared" si="4"/>
        <v>4627.0200000000004</v>
      </c>
      <c r="J210" s="18" t="s">
        <v>1265</v>
      </c>
      <c r="K210" s="18">
        <v>9749717</v>
      </c>
      <c r="L210" s="18">
        <v>849444</v>
      </c>
      <c r="M210" s="18" t="s">
        <v>1392</v>
      </c>
      <c r="N210" s="16" t="s">
        <v>1316</v>
      </c>
      <c r="O210" s="18" t="s">
        <v>1393</v>
      </c>
      <c r="P210" s="18" t="s">
        <v>1268</v>
      </c>
      <c r="Q210" s="29" t="str" cm="1">
        <f t="array" ref="Q210">_xlfn.IFS(
A210="","",
AND(A210&lt;&gt;"",B210=""),"FALTA LANÇAMENTO",
AND(B210&lt;&gt;"",M210=""),"FALTA O PEDIDO",
AND(M210&lt;&gt;"",O210=""),"FALTA NF",
O210&lt;&gt;"","CONCLUÍDO")</f>
        <v>CONCLUÍDO</v>
      </c>
      <c r="R210" s="36"/>
    </row>
    <row r="211" spans="1:18" hidden="1">
      <c r="A211" s="16">
        <v>46037</v>
      </c>
      <c r="B211" s="16">
        <v>46044</v>
      </c>
      <c r="C211" s="21">
        <v>22030153</v>
      </c>
      <c r="D211" s="16" t="str">
        <f>IFERROR(VLOOKUP(Tabela5[[#This Row],[PREFIXO ]],Tabela4[#All],2,0),"CENTRO DE CUSTO")</f>
        <v>CENTRO DE CUSTO</v>
      </c>
      <c r="E211" s="18" t="s">
        <v>209</v>
      </c>
      <c r="F211" s="21">
        <v>369</v>
      </c>
      <c r="G211" s="22">
        <v>360</v>
      </c>
      <c r="H211" s="22"/>
      <c r="I211" s="22">
        <f t="shared" si="4"/>
        <v>360</v>
      </c>
      <c r="J211" s="18" t="s">
        <v>1085</v>
      </c>
      <c r="K211" s="18">
        <v>9743132</v>
      </c>
      <c r="L211" s="18" t="s">
        <v>1095</v>
      </c>
      <c r="M211" s="18" t="s">
        <v>1095</v>
      </c>
      <c r="N211" s="16" t="s">
        <v>1095</v>
      </c>
      <c r="O211" s="18" t="s">
        <v>1095</v>
      </c>
      <c r="P211" s="18" t="s">
        <v>1095</v>
      </c>
      <c r="Q211" s="29" t="str" cm="1">
        <f t="array" ref="Q211">_xlfn.IFS(
A211="","",
AND(A211&lt;&gt;"",B211=""),"FALTA LANÇAMENTO",
AND(B211&lt;&gt;"",M211=""),"FALTA O PEDIDO",
AND(M211&lt;&gt;"",O211=""),"FALTA NF",
O211&lt;&gt;"","CONCLUÍDO")</f>
        <v>CONCLUÍDO</v>
      </c>
      <c r="R211" s="36"/>
    </row>
    <row r="212" spans="1:18" hidden="1">
      <c r="A212" s="16">
        <v>46037</v>
      </c>
      <c r="B212" s="16">
        <v>46052</v>
      </c>
      <c r="C212" s="21">
        <v>500580579</v>
      </c>
      <c r="D212" s="16" t="str">
        <f>IFERROR(VLOOKUP(Tabela5[[#This Row],[PREFIXO ]],Tabela4[#All],2,0),"CENTRO DE CUSTO")</f>
        <v>Pátio de Vendas</v>
      </c>
      <c r="E212" s="18" t="s">
        <v>224</v>
      </c>
      <c r="F212" s="21">
        <v>1632</v>
      </c>
      <c r="G212" s="22">
        <v>4175</v>
      </c>
      <c r="H212" s="22"/>
      <c r="I212" s="22">
        <f t="shared" si="4"/>
        <v>4175</v>
      </c>
      <c r="J212" s="18" t="s">
        <v>1199</v>
      </c>
      <c r="K212" s="18">
        <v>5019007</v>
      </c>
      <c r="L212" s="18" t="s">
        <v>1095</v>
      </c>
      <c r="M212" s="18" t="s">
        <v>1095</v>
      </c>
      <c r="N212" s="16" t="s">
        <v>1095</v>
      </c>
      <c r="O212" s="18" t="s">
        <v>1095</v>
      </c>
      <c r="P212" s="18" t="s">
        <v>1095</v>
      </c>
      <c r="Q212" s="29" t="str" cm="1">
        <f t="array" ref="Q212">_xlfn.IFS(
A212="","",
AND(A212&lt;&gt;"",B212=""),"FALTA LANÇAMENTO",
AND(B212&lt;&gt;"",M212=""),"FALTA O PEDIDO",
AND(M212&lt;&gt;"",O212=""),"FALTA NF",
O212&lt;&gt;"","CONCLUÍDO")</f>
        <v>CONCLUÍDO</v>
      </c>
      <c r="R212" s="36"/>
    </row>
    <row r="213" spans="1:18" hidden="1">
      <c r="A213" s="16">
        <v>46037</v>
      </c>
      <c r="B213" s="16">
        <v>46043</v>
      </c>
      <c r="C213" s="21">
        <v>500580579</v>
      </c>
      <c r="D213" s="16" t="str">
        <f>IFERROR(VLOOKUP(Tabela5[[#This Row],[PREFIXO ]],Tabela4[#All],2,0),"CENTRO DE CUSTO")</f>
        <v>Pátio de Vendas</v>
      </c>
      <c r="E213" s="18" t="s">
        <v>224</v>
      </c>
      <c r="F213" s="21">
        <v>2339</v>
      </c>
      <c r="G213" s="22">
        <v>2600</v>
      </c>
      <c r="H213" s="22"/>
      <c r="I213" s="22">
        <f t="shared" si="4"/>
        <v>2600</v>
      </c>
      <c r="J213" s="18" t="s">
        <v>1251</v>
      </c>
      <c r="K213" s="18">
        <v>5018904</v>
      </c>
      <c r="L213" s="18" t="s">
        <v>1095</v>
      </c>
      <c r="M213" s="18" t="s">
        <v>1095</v>
      </c>
      <c r="N213" s="16" t="s">
        <v>1095</v>
      </c>
      <c r="O213" s="18" t="s">
        <v>1095</v>
      </c>
      <c r="P213" s="18" t="s">
        <v>1095</v>
      </c>
      <c r="Q213" s="29" t="str" cm="1">
        <f t="array" ref="Q213">_xlfn.IFS(
A213="","",
AND(A213&lt;&gt;"",B213=""),"FALTA LANÇAMENTO",
AND(B213&lt;&gt;"",M213=""),"FALTA O PEDIDO",
AND(M213&lt;&gt;"",O213=""),"FALTA NF",
O213&lt;&gt;"","CONCLUÍDO")</f>
        <v>CONCLUÍDO</v>
      </c>
      <c r="R213" s="36"/>
    </row>
    <row r="214" spans="1:18" hidden="1">
      <c r="A214" s="16">
        <v>46037</v>
      </c>
      <c r="B214" s="16">
        <v>46052</v>
      </c>
      <c r="C214" s="21">
        <v>500580579</v>
      </c>
      <c r="D214" s="16" t="str">
        <f>IFERROR(VLOOKUP(Tabela5[[#This Row],[PREFIXO ]],Tabela4[#All],2,0),"CENTRO DE CUSTO")</f>
        <v>Pátio de Vendas</v>
      </c>
      <c r="E214" s="18" t="s">
        <v>224</v>
      </c>
      <c r="F214" s="21">
        <v>1631</v>
      </c>
      <c r="G214" s="22">
        <v>2600</v>
      </c>
      <c r="H214" s="22"/>
      <c r="I214" s="22">
        <f t="shared" si="4"/>
        <v>2600</v>
      </c>
      <c r="J214" s="18" t="s">
        <v>1199</v>
      </c>
      <c r="K214" s="18">
        <v>5019009</v>
      </c>
      <c r="L214" s="18" t="s">
        <v>1095</v>
      </c>
      <c r="M214" s="18" t="s">
        <v>1095</v>
      </c>
      <c r="N214" s="16" t="s">
        <v>1095</v>
      </c>
      <c r="O214" s="18" t="s">
        <v>1095</v>
      </c>
      <c r="P214" s="18" t="s">
        <v>1095</v>
      </c>
      <c r="Q214" s="29" t="str" cm="1">
        <f t="array" ref="Q214">_xlfn.IFS(
A214="","",
AND(A214&lt;&gt;"",B214=""),"FALTA LANÇAMENTO",
AND(B214&lt;&gt;"",M214=""),"FALTA O PEDIDO",
AND(M214&lt;&gt;"",O214=""),"FALTA NF",
O214&lt;&gt;"","CONCLUÍDO")</f>
        <v>CONCLUÍDO</v>
      </c>
      <c r="R214" s="36"/>
    </row>
    <row r="215" spans="1:18" hidden="1">
      <c r="A215" s="16">
        <v>46037</v>
      </c>
      <c r="B215" s="16">
        <v>46043</v>
      </c>
      <c r="C215" s="21">
        <v>500580579</v>
      </c>
      <c r="D215" s="16" t="str">
        <f>IFERROR(VLOOKUP(Tabela5[[#This Row],[PREFIXO ]],Tabela4[#All],2,0),"CENTRO DE CUSTO")</f>
        <v>Pátio de Vendas</v>
      </c>
      <c r="E215" s="18" t="s">
        <v>224</v>
      </c>
      <c r="F215" s="21">
        <v>1628</v>
      </c>
      <c r="G215" s="22">
        <v>2250</v>
      </c>
      <c r="H215" s="22"/>
      <c r="I215" s="22">
        <f t="shared" si="4"/>
        <v>2250</v>
      </c>
      <c r="J215" s="18" t="s">
        <v>1251</v>
      </c>
      <c r="K215" s="18">
        <v>5018904</v>
      </c>
      <c r="L215" s="18" t="s">
        <v>1095</v>
      </c>
      <c r="M215" s="18" t="s">
        <v>1095</v>
      </c>
      <c r="N215" s="16" t="s">
        <v>1095</v>
      </c>
      <c r="O215" s="18" t="s">
        <v>1095</v>
      </c>
      <c r="P215" s="18" t="s">
        <v>1095</v>
      </c>
      <c r="Q215" s="29" t="str" cm="1">
        <f t="array" ref="Q215">_xlfn.IFS(
A215="","",
AND(A215&lt;&gt;"",B215=""),"FALTA LANÇAMENTO",
AND(B215&lt;&gt;"",M215=""),"FALTA O PEDIDO",
AND(M215&lt;&gt;"",O215=""),"FALTA NF",
O215&lt;&gt;"","CONCLUÍDO")</f>
        <v>CONCLUÍDO</v>
      </c>
      <c r="R215" s="36"/>
    </row>
    <row r="216" spans="1:18" hidden="1">
      <c r="A216" s="16">
        <v>46037</v>
      </c>
      <c r="B216" s="16">
        <v>46052</v>
      </c>
      <c r="C216" s="21">
        <v>500580579</v>
      </c>
      <c r="D216" s="16" t="str">
        <f>IFERROR(VLOOKUP(Tabela5[[#This Row],[PREFIXO ]],Tabela4[#All],2,0),"CENTRO DE CUSTO")</f>
        <v>Pátio de Vendas</v>
      </c>
      <c r="E216" s="18" t="s">
        <v>224</v>
      </c>
      <c r="F216" s="21">
        <v>1630</v>
      </c>
      <c r="G216" s="22">
        <v>2250</v>
      </c>
      <c r="H216" s="22"/>
      <c r="I216" s="22">
        <f t="shared" si="4"/>
        <v>2250</v>
      </c>
      <c r="J216" s="18" t="s">
        <v>1199</v>
      </c>
      <c r="K216" s="18">
        <v>5019008</v>
      </c>
      <c r="L216" s="18" t="s">
        <v>1095</v>
      </c>
      <c r="M216" s="18" t="s">
        <v>1095</v>
      </c>
      <c r="N216" s="16" t="s">
        <v>1095</v>
      </c>
      <c r="O216" s="18" t="s">
        <v>1095</v>
      </c>
      <c r="P216" s="18" t="s">
        <v>1095</v>
      </c>
      <c r="Q216" s="29" t="str" cm="1">
        <f t="array" ref="Q216">_xlfn.IFS(
A216="","",
AND(A216&lt;&gt;"",B216=""),"FALTA LANÇAMENTO",
AND(B216&lt;&gt;"",M216=""),"FALTA O PEDIDO",
AND(M216&lt;&gt;"",O216=""),"FALTA NF",
O216&lt;&gt;"","CONCLUÍDO")</f>
        <v>CONCLUÍDO</v>
      </c>
      <c r="R216" s="36"/>
    </row>
    <row r="217" spans="1:18" hidden="1">
      <c r="A217" s="16">
        <v>46037</v>
      </c>
      <c r="B217" s="16">
        <v>46044</v>
      </c>
      <c r="C217" s="21">
        <v>61521012</v>
      </c>
      <c r="D217" s="16" t="str">
        <f>IFERROR(VLOOKUP(Tabela5[[#This Row],[PREFIXO ]],Tabela4[#All],2,0),"CENTRO DE CUSTO")</f>
        <v>CAM COMBOIO MERC BENZ ATRON 2729</v>
      </c>
      <c r="E217" s="18" t="s">
        <v>235</v>
      </c>
      <c r="F217" s="21">
        <v>2710</v>
      </c>
      <c r="G217" s="22">
        <v>6546</v>
      </c>
      <c r="H217" s="22">
        <v>3424</v>
      </c>
      <c r="I217" s="22">
        <f t="shared" si="4"/>
        <v>9970</v>
      </c>
      <c r="J217" s="18" t="s">
        <v>1085</v>
      </c>
      <c r="K217" s="18">
        <v>9737606</v>
      </c>
      <c r="L217" s="18">
        <v>846076</v>
      </c>
      <c r="M217" s="18" t="s">
        <v>1394</v>
      </c>
      <c r="N217" s="16" t="s">
        <v>1227</v>
      </c>
      <c r="O217" s="18" t="s">
        <v>1395</v>
      </c>
      <c r="P217" s="18" t="s">
        <v>1228</v>
      </c>
      <c r="Q217" s="29" t="str" cm="1">
        <f t="array" ref="Q217">_xlfn.IFS(
A217="","",
AND(A217&lt;&gt;"",B217=""),"FALTA LANÇAMENTO",
AND(B217&lt;&gt;"",M217=""),"FALTA O PEDIDO",
AND(M217&lt;&gt;"",O217=""),"FALTA NF",
O217&lt;&gt;"","CONCLUÍDO")</f>
        <v>CONCLUÍDO</v>
      </c>
      <c r="R217" s="36"/>
    </row>
    <row r="218" spans="1:18" hidden="1">
      <c r="A218" s="16">
        <v>46037</v>
      </c>
      <c r="B218" s="16">
        <v>46048</v>
      </c>
      <c r="C218" s="21">
        <v>61521071</v>
      </c>
      <c r="D218" s="16" t="str">
        <f>IFERROR(VLOOKUP(Tabela5[[#This Row],[PREFIXO ]],Tabela4[#All],2,0),"CENTRO DE CUSTO")</f>
        <v>PA CARREGADEIRA CAT 920 K</v>
      </c>
      <c r="E218" s="18" t="s">
        <v>235</v>
      </c>
      <c r="F218" s="21">
        <v>2717</v>
      </c>
      <c r="G218" s="22">
        <v>3000</v>
      </c>
      <c r="H218" s="22">
        <v>1169</v>
      </c>
      <c r="I218" s="22">
        <f t="shared" si="4"/>
        <v>4169</v>
      </c>
      <c r="J218" s="18" t="s">
        <v>1265</v>
      </c>
      <c r="K218" s="18">
        <v>9743858</v>
      </c>
      <c r="L218" s="18">
        <v>848536</v>
      </c>
      <c r="M218" s="18" t="s">
        <v>1396</v>
      </c>
      <c r="N218" s="16" t="s">
        <v>1316</v>
      </c>
      <c r="O218" s="18" t="s">
        <v>1397</v>
      </c>
      <c r="P218" s="18" t="s">
        <v>1398</v>
      </c>
      <c r="Q218" s="29" t="str" cm="1">
        <f t="array" ref="Q218">_xlfn.IFS(
A218="","",
AND(A218&lt;&gt;"",B218=""),"FALTA LANÇAMENTO",
AND(B218&lt;&gt;"",M218=""),"FALTA O PEDIDO",
AND(M218&lt;&gt;"",O218=""),"FALTA NF",
O218&lt;&gt;"","CONCLUÍDO")</f>
        <v>CONCLUÍDO</v>
      </c>
      <c r="R218" s="36"/>
    </row>
    <row r="219" spans="1:18" hidden="1">
      <c r="A219" s="16">
        <v>46037</v>
      </c>
      <c r="B219" s="16">
        <v>46043</v>
      </c>
      <c r="C219" s="21">
        <v>61521012</v>
      </c>
      <c r="D219" s="16" t="str">
        <f>IFERROR(VLOOKUP(Tabela5[[#This Row],[PREFIXO ]],Tabela4[#All],2,0),"CENTRO DE CUSTO")</f>
        <v>CAM COMBOIO MERC BENZ ATRON 2729</v>
      </c>
      <c r="E219" s="18" t="s">
        <v>235</v>
      </c>
      <c r="F219" s="21">
        <v>2711</v>
      </c>
      <c r="G219" s="22">
        <v>480</v>
      </c>
      <c r="H219" s="22">
        <v>3300</v>
      </c>
      <c r="I219" s="22">
        <f t="shared" si="4"/>
        <v>3780</v>
      </c>
      <c r="J219" s="18" t="s">
        <v>1085</v>
      </c>
      <c r="K219" s="18">
        <v>9737607</v>
      </c>
      <c r="L219" s="18">
        <v>845245</v>
      </c>
      <c r="M219" s="18" t="s">
        <v>1399</v>
      </c>
      <c r="N219" s="16" t="s">
        <v>1216</v>
      </c>
      <c r="O219" s="18" t="s">
        <v>1400</v>
      </c>
      <c r="P219" s="18" t="s">
        <v>1228</v>
      </c>
      <c r="Q219" s="29" t="str" cm="1">
        <f t="array" ref="Q219">_xlfn.IFS(
A219="","",
AND(A219&lt;&gt;"",B219=""),"FALTA LANÇAMENTO",
AND(B219&lt;&gt;"",M219=""),"FALTA O PEDIDO",
AND(M219&lt;&gt;"",O219=""),"FALTA NF",
O219&lt;&gt;"","CONCLUÍDO")</f>
        <v>CONCLUÍDO</v>
      </c>
      <c r="R219" s="36"/>
    </row>
    <row r="220" spans="1:18" hidden="1">
      <c r="A220" s="16">
        <v>46037</v>
      </c>
      <c r="B220" s="16">
        <v>46043</v>
      </c>
      <c r="C220" s="21">
        <v>61521061</v>
      </c>
      <c r="D220" s="16" t="str">
        <f>IFERROR(VLOOKUP(Tabela5[[#This Row],[PREFIXO ]],Tabela4[#All],2,0),"CENTRO DE CUSTO")</f>
        <v>ONIB RODOVIÁRIO MERC BENZ MARCOPOLO TORI</v>
      </c>
      <c r="E220" s="18" t="s">
        <v>235</v>
      </c>
      <c r="F220" s="21">
        <v>2712</v>
      </c>
      <c r="G220" s="22">
        <v>350</v>
      </c>
      <c r="H220" s="22">
        <v>2550</v>
      </c>
      <c r="I220" s="22">
        <f t="shared" si="4"/>
        <v>2900</v>
      </c>
      <c r="J220" s="18" t="s">
        <v>1085</v>
      </c>
      <c r="K220" s="18">
        <v>9737609</v>
      </c>
      <c r="L220" s="18">
        <v>845226</v>
      </c>
      <c r="M220" s="18" t="s">
        <v>1401</v>
      </c>
      <c r="N220" s="16" t="s">
        <v>1216</v>
      </c>
      <c r="O220" s="18" t="s">
        <v>1402</v>
      </c>
      <c r="P220" s="18" t="s">
        <v>1228</v>
      </c>
      <c r="Q220" s="29" t="str" cm="1">
        <f t="array" ref="Q220">_xlfn.IFS(
A220="","",
AND(A220&lt;&gt;"",B220=""),"FALTA LANÇAMENTO",
AND(B220&lt;&gt;"",M220=""),"FALTA O PEDIDO",
AND(M220&lt;&gt;"",O220=""),"FALTA NF",
O220&lt;&gt;"","CONCLUÍDO")</f>
        <v>CONCLUÍDO</v>
      </c>
      <c r="R220" s="36"/>
    </row>
    <row r="221" spans="1:18" hidden="1">
      <c r="A221" s="16">
        <v>46037</v>
      </c>
      <c r="B221" s="16">
        <v>46043</v>
      </c>
      <c r="C221" s="21">
        <v>31521019</v>
      </c>
      <c r="D221" s="16" t="str">
        <f>IFERROR(VLOOKUP(Tabela5[[#This Row],[PREFIXO ]],Tabela4[#All],2,0),"CENTRO DE CUSTO")</f>
        <v>PULV AUTOPROP JACTO UNIPORT 3030</v>
      </c>
      <c r="E221" s="18" t="s">
        <v>68</v>
      </c>
      <c r="F221" s="21">
        <v>1705</v>
      </c>
      <c r="G221" s="22">
        <v>2060</v>
      </c>
      <c r="H221" s="22">
        <v>675</v>
      </c>
      <c r="I221" s="22">
        <f t="shared" si="4"/>
        <v>2735</v>
      </c>
      <c r="J221" s="18" t="s">
        <v>1080</v>
      </c>
      <c r="K221" s="18">
        <v>9737721</v>
      </c>
      <c r="L221" s="18">
        <v>844631</v>
      </c>
      <c r="M221" s="18" t="s">
        <v>1403</v>
      </c>
      <c r="N221" s="16" t="s">
        <v>1216</v>
      </c>
      <c r="O221" s="18" t="s">
        <v>1404</v>
      </c>
      <c r="P221" s="18" t="s">
        <v>1405</v>
      </c>
      <c r="Q221" s="29" t="str" cm="1">
        <f t="array" ref="Q221">_xlfn.IFS(
A221="","",
AND(A221&lt;&gt;"",B221=""),"FALTA LANÇAMENTO",
AND(B221&lt;&gt;"",M221=""),"FALTA O PEDIDO",
AND(M221&lt;&gt;"",O221=""),"FALTA NF",
O221&lt;&gt;"","CONCLUÍDO")</f>
        <v>CONCLUÍDO</v>
      </c>
      <c r="R221" s="36"/>
    </row>
    <row r="222" spans="1:18" hidden="1">
      <c r="A222" s="16">
        <v>46037</v>
      </c>
      <c r="B222" s="16">
        <v>46044</v>
      </c>
      <c r="C222" s="21">
        <v>85048065</v>
      </c>
      <c r="D222" s="16" t="str">
        <f>IFERROR(VLOOKUP(Tabela5[[#This Row],[PREFIXO ]],Tabela4[#All],2,0),"CENTRO DE CUSTO")</f>
        <v>SUBSOLADOR GTS TERRUS DUO 15H</v>
      </c>
      <c r="E222" s="18" t="s">
        <v>68</v>
      </c>
      <c r="F222" s="21">
        <v>396</v>
      </c>
      <c r="G222" s="22">
        <v>900</v>
      </c>
      <c r="H222" s="22"/>
      <c r="I222" s="22">
        <f t="shared" si="4"/>
        <v>900</v>
      </c>
      <c r="J222" s="18" t="s">
        <v>1097</v>
      </c>
      <c r="K222" s="18">
        <v>9743861</v>
      </c>
      <c r="L222" s="18">
        <v>846585</v>
      </c>
      <c r="M222" s="18" t="s">
        <v>1406</v>
      </c>
      <c r="N222" s="16" t="s">
        <v>1293</v>
      </c>
      <c r="O222" s="18" t="s">
        <v>1407</v>
      </c>
      <c r="P222" s="18" t="s">
        <v>1242</v>
      </c>
      <c r="Q222" s="29" t="str" cm="1">
        <f t="array" ref="Q222">_xlfn.IFS(
A222="","",
AND(A222&lt;&gt;"",B222=""),"FALTA LANÇAMENTO",
AND(B222&lt;&gt;"",M222=""),"FALTA O PEDIDO",
AND(M222&lt;&gt;"",O222=""),"FALTA NF",
O222&lt;&gt;"","CONCLUÍDO")</f>
        <v>CONCLUÍDO</v>
      </c>
      <c r="R222" s="36"/>
    </row>
    <row r="223" spans="1:18" hidden="1">
      <c r="A223" s="16">
        <v>46037</v>
      </c>
      <c r="B223" s="16">
        <v>46042</v>
      </c>
      <c r="C223" s="21">
        <v>81521062</v>
      </c>
      <c r="D223" s="16" t="str">
        <f>IFERROR(VLOOKUP(Tabela5[[#This Row],[PREFIXO ]],Tabela4[#All],2,0),"CENTRO DE CUSTO")</f>
        <v>CACAMBA AGRIC BASCULANTE IMAVI</v>
      </c>
      <c r="E223" s="18" t="s">
        <v>246</v>
      </c>
      <c r="F223" s="21" t="s">
        <v>1134</v>
      </c>
      <c r="G223" s="22">
        <v>6800</v>
      </c>
      <c r="H223" s="22"/>
      <c r="I223" s="22">
        <f t="shared" si="4"/>
        <v>6800</v>
      </c>
      <c r="J223" s="18" t="s">
        <v>1257</v>
      </c>
      <c r="K223" s="18">
        <v>9737601</v>
      </c>
      <c r="L223" s="18">
        <v>843974</v>
      </c>
      <c r="M223" s="18" t="s">
        <v>1408</v>
      </c>
      <c r="N223" s="16" t="s">
        <v>1221</v>
      </c>
      <c r="O223" s="18" t="s">
        <v>1409</v>
      </c>
      <c r="P223" s="18" t="s">
        <v>1216</v>
      </c>
      <c r="Q223" s="29" t="str" cm="1">
        <f t="array" ref="Q223">_xlfn.IFS(
A223="","",
AND(A223&lt;&gt;"",B223=""),"FALTA LANÇAMENTO",
AND(B223&lt;&gt;"",M223=""),"FALTA O PEDIDO",
AND(M223&lt;&gt;"",O223=""),"FALTA NF",
O223&lt;&gt;"","CONCLUÍDO")</f>
        <v>CONCLUÍDO</v>
      </c>
      <c r="R223" s="36"/>
    </row>
    <row r="224" spans="1:18" hidden="1">
      <c r="A224" s="16">
        <v>46037</v>
      </c>
      <c r="B224" s="16">
        <v>46044</v>
      </c>
      <c r="C224" s="21">
        <v>31521036</v>
      </c>
      <c r="D224" s="16" t="str">
        <f>IFERROR(VLOOKUP(Tabela5[[#This Row],[PREFIXO ]],Tabela4[#All],2,0),"CENTRO DE CUSTO")</f>
        <v>ADUB AUTOPROP KUHN ACCURA ST 7000</v>
      </c>
      <c r="E224" s="18" t="s">
        <v>247</v>
      </c>
      <c r="F224" s="21">
        <v>81422</v>
      </c>
      <c r="G224" s="22">
        <v>1650</v>
      </c>
      <c r="H224" s="22">
        <v>3545.01</v>
      </c>
      <c r="I224" s="22">
        <f t="shared" si="4"/>
        <v>5195.01</v>
      </c>
      <c r="J224" s="18" t="s">
        <v>1080</v>
      </c>
      <c r="K224" s="18">
        <v>9737680</v>
      </c>
      <c r="L224" s="18">
        <v>845956</v>
      </c>
      <c r="M224" s="18" t="s">
        <v>1410</v>
      </c>
      <c r="N224" s="16" t="s">
        <v>1227</v>
      </c>
      <c r="O224" s="18" t="s">
        <v>1411</v>
      </c>
      <c r="P224" s="18" t="s">
        <v>1412</v>
      </c>
      <c r="Q224" s="29" t="str" cm="1">
        <f t="array" ref="Q224">_xlfn.IFS(
A224="","",
AND(A224&lt;&gt;"",B224=""),"FALTA LANÇAMENTO",
AND(B224&lt;&gt;"",M224=""),"FALTA O PEDIDO",
AND(M224&lt;&gt;"",O224=""),"FALTA NF",
O224&lt;&gt;"","CONCLUÍDO")</f>
        <v>CONCLUÍDO</v>
      </c>
      <c r="R224" s="36"/>
    </row>
    <row r="225" spans="1:18" hidden="1">
      <c r="A225" s="16">
        <v>46037</v>
      </c>
      <c r="B225" s="16">
        <v>46037</v>
      </c>
      <c r="C225" s="21">
        <v>500580069</v>
      </c>
      <c r="D225" s="16" t="str">
        <f>IFERROR(VLOOKUP(Tabela5[[#This Row],[PREFIXO ]],Tabela4[#All],2,0),"CENTRO DE CUSTO")</f>
        <v>Oficina Mecânica</v>
      </c>
      <c r="E225" s="18" t="s">
        <v>249</v>
      </c>
      <c r="F225" s="21">
        <v>219</v>
      </c>
      <c r="G225" s="22">
        <v>3111.75</v>
      </c>
      <c r="H225" s="22"/>
      <c r="I225" s="22">
        <f t="shared" si="4"/>
        <v>3111.75</v>
      </c>
      <c r="J225" s="18" t="s">
        <v>1199</v>
      </c>
      <c r="K225" s="18"/>
      <c r="L225" s="18" t="s">
        <v>1095</v>
      </c>
      <c r="M225" s="18" t="s">
        <v>1095</v>
      </c>
      <c r="N225" s="16" t="s">
        <v>1095</v>
      </c>
      <c r="O225" s="18" t="s">
        <v>1095</v>
      </c>
      <c r="P225" s="18" t="s">
        <v>1095</v>
      </c>
      <c r="Q225" s="29" t="str" cm="1">
        <f t="array" ref="Q225">_xlfn.IFS(
A225="","",
AND(A225&lt;&gt;"",B225=""),"FALTA LANÇAMENTO",
AND(B225&lt;&gt;"",M225=""),"FALTA O PEDIDO",
AND(M225&lt;&gt;"",O225=""),"FALTA NF",
O225&lt;&gt;"","CONCLUÍDO")</f>
        <v>CONCLUÍDO</v>
      </c>
      <c r="R225" s="36"/>
    </row>
    <row r="226" spans="1:18" hidden="1">
      <c r="A226" s="16">
        <v>46037</v>
      </c>
      <c r="B226" s="16">
        <v>46037</v>
      </c>
      <c r="C226" s="21">
        <v>500580579</v>
      </c>
      <c r="D226" s="16" t="str">
        <f>IFERROR(VLOOKUP(Tabela5[[#This Row],[PREFIXO ]],Tabela4[#All],2,0),"CENTRO DE CUSTO")</f>
        <v>Pátio de Vendas</v>
      </c>
      <c r="E226" s="18" t="s">
        <v>249</v>
      </c>
      <c r="F226" s="21">
        <v>220</v>
      </c>
      <c r="G226" s="22">
        <v>2800</v>
      </c>
      <c r="H226" s="22"/>
      <c r="I226" s="22">
        <f t="shared" si="4"/>
        <v>2800</v>
      </c>
      <c r="J226" s="18" t="s">
        <v>1199</v>
      </c>
      <c r="K226" s="18">
        <v>5018855</v>
      </c>
      <c r="L226" s="18" t="s">
        <v>1095</v>
      </c>
      <c r="M226" s="18" t="s">
        <v>1095</v>
      </c>
      <c r="N226" s="16" t="s">
        <v>1095</v>
      </c>
      <c r="O226" s="18" t="s">
        <v>1095</v>
      </c>
      <c r="P226" s="18" t="s">
        <v>1095</v>
      </c>
      <c r="Q226" s="29" t="str" cm="1">
        <f t="array" ref="Q226">_xlfn.IFS(
A226="","",
AND(A226&lt;&gt;"",B226=""),"FALTA LANÇAMENTO",
AND(B226&lt;&gt;"",M226=""),"FALTA O PEDIDO",
AND(M226&lt;&gt;"",O226=""),"FALTA NF",
O226&lt;&gt;"","CONCLUÍDO")</f>
        <v>CONCLUÍDO</v>
      </c>
      <c r="R226" s="36"/>
    </row>
    <row r="227" spans="1:18" hidden="1">
      <c r="A227" s="16">
        <v>46037</v>
      </c>
      <c r="B227" s="16">
        <v>46045</v>
      </c>
      <c r="C227" s="21">
        <v>8173079</v>
      </c>
      <c r="D227" s="16" t="str">
        <f>IFERROR(VLOOKUP(Tabela5[[#This Row],[PREFIXO ]],Tabela4[#All],2,0),"CENTRO DE CUSTO")</f>
        <v>GRADE NIVELADORA CIVEMASA 28X22''</v>
      </c>
      <c r="E227" s="18" t="s">
        <v>255</v>
      </c>
      <c r="F227" s="21">
        <v>830</v>
      </c>
      <c r="G227" s="22">
        <v>3200</v>
      </c>
      <c r="H227" s="22"/>
      <c r="I227" s="22">
        <f t="shared" si="4"/>
        <v>3200</v>
      </c>
      <c r="J227" s="18" t="s">
        <v>1199</v>
      </c>
      <c r="K227" s="18">
        <v>9742899</v>
      </c>
      <c r="L227" s="18">
        <v>847438</v>
      </c>
      <c r="M227" s="18" t="s">
        <v>1413</v>
      </c>
      <c r="N227" s="16" t="s">
        <v>1293</v>
      </c>
      <c r="O227" s="18" t="s">
        <v>1336</v>
      </c>
      <c r="P227" s="18" t="s">
        <v>1242</v>
      </c>
      <c r="Q227" s="29" t="str" cm="1">
        <f t="array" ref="Q227">_xlfn.IFS(
A227="","",
AND(A227&lt;&gt;"",B227=""),"FALTA LANÇAMENTO",
AND(B227&lt;&gt;"",M227=""),"FALTA O PEDIDO",
AND(M227&lt;&gt;"",O227=""),"FALTA NF",
O227&lt;&gt;"","CONCLUÍDO")</f>
        <v>CONCLUÍDO</v>
      </c>
      <c r="R227" s="36"/>
    </row>
    <row r="228" spans="1:18" hidden="1">
      <c r="A228" s="16">
        <v>46037</v>
      </c>
      <c r="B228" s="16">
        <v>46045</v>
      </c>
      <c r="C228" s="21">
        <v>51521043</v>
      </c>
      <c r="D228" s="16" t="str">
        <f>IFERROR(VLOOKUP(Tabela5[[#This Row],[PREFIXO ]],Tabela4[#All],2,0),"CENTRO DE CUSTO")</f>
        <v>COLHED ALGODÃO JOHN DEERE CP 690</v>
      </c>
      <c r="E228" s="18" t="s">
        <v>255</v>
      </c>
      <c r="F228" s="21">
        <v>832</v>
      </c>
      <c r="G228" s="22">
        <v>1500</v>
      </c>
      <c r="H228" s="22"/>
      <c r="I228" s="22">
        <f t="shared" si="4"/>
        <v>1500</v>
      </c>
      <c r="J228" s="18" t="s">
        <v>1113</v>
      </c>
      <c r="K228" s="18">
        <v>9742948</v>
      </c>
      <c r="L228" s="18">
        <v>847438</v>
      </c>
      <c r="M228" s="18" t="s">
        <v>1413</v>
      </c>
      <c r="N228" s="16" t="s">
        <v>1293</v>
      </c>
      <c r="O228" s="18" t="s">
        <v>1336</v>
      </c>
      <c r="P228" s="18" t="s">
        <v>1242</v>
      </c>
      <c r="Q228" s="29" t="str" cm="1">
        <f t="array" ref="Q228">_xlfn.IFS(
A228="","",
AND(A228&lt;&gt;"",B228=""),"FALTA LANÇAMENTO",
AND(B228&lt;&gt;"",M228=""),"FALTA O PEDIDO",
AND(M228&lt;&gt;"",O228=""),"FALTA NF",
O228&lt;&gt;"","CONCLUÍDO")</f>
        <v>CONCLUÍDO</v>
      </c>
      <c r="R228" s="36"/>
    </row>
    <row r="229" spans="1:18" hidden="1">
      <c r="A229" s="16">
        <v>46037</v>
      </c>
      <c r="B229" s="16">
        <v>46045</v>
      </c>
      <c r="C229" s="21">
        <v>51521054</v>
      </c>
      <c r="D229" s="16" t="str">
        <f>IFERROR(VLOOKUP(Tabela5[[#This Row],[PREFIXO ]],Tabela4[#All],2,0),"CENTRO DE CUSTO")</f>
        <v>COLHED ALGODÃO JOHN DEERE CP 690</v>
      </c>
      <c r="E229" s="18" t="s">
        <v>255</v>
      </c>
      <c r="F229" s="21">
        <v>828</v>
      </c>
      <c r="G229" s="22">
        <v>1500</v>
      </c>
      <c r="H229" s="22"/>
      <c r="I229" s="22">
        <f t="shared" si="4"/>
        <v>1500</v>
      </c>
      <c r="J229" s="18" t="s">
        <v>1113</v>
      </c>
      <c r="K229" s="18">
        <v>9742953</v>
      </c>
      <c r="L229" s="18">
        <v>847438</v>
      </c>
      <c r="M229" s="18" t="s">
        <v>1413</v>
      </c>
      <c r="N229" s="16" t="s">
        <v>1293</v>
      </c>
      <c r="O229" s="18" t="s">
        <v>1336</v>
      </c>
      <c r="P229" s="18" t="s">
        <v>1242</v>
      </c>
      <c r="Q229" s="29" t="str" cm="1">
        <f t="array" ref="Q229">_xlfn.IFS(
A229="","",
AND(A229&lt;&gt;"",B229=""),"FALTA LANÇAMENTO",
AND(B229&lt;&gt;"",M229=""),"FALTA O PEDIDO",
AND(M229&lt;&gt;"",O229=""),"FALTA NF",
O229&lt;&gt;"","CONCLUÍDO")</f>
        <v>CONCLUÍDO</v>
      </c>
      <c r="R229" s="36"/>
    </row>
    <row r="230" spans="1:18" hidden="1">
      <c r="A230" s="16">
        <v>46037</v>
      </c>
      <c r="B230" s="16">
        <v>46045</v>
      </c>
      <c r="C230" s="21">
        <v>51521053</v>
      </c>
      <c r="D230" s="16" t="str">
        <f>IFERROR(VLOOKUP(Tabela5[[#This Row],[PREFIXO ]],Tabela4[#All],2,0),"CENTRO DE CUSTO")</f>
        <v>COLHED ALGODÃO JOHN DEERE CP 690</v>
      </c>
      <c r="E230" s="18" t="s">
        <v>255</v>
      </c>
      <c r="F230" s="21">
        <v>827</v>
      </c>
      <c r="G230" s="22">
        <v>1307.45</v>
      </c>
      <c r="H230" s="22"/>
      <c r="I230" s="22">
        <f t="shared" si="4"/>
        <v>1307.45</v>
      </c>
      <c r="J230" s="18" t="s">
        <v>1113</v>
      </c>
      <c r="K230" s="18">
        <v>9743041</v>
      </c>
      <c r="L230" s="18">
        <v>847438</v>
      </c>
      <c r="M230" s="18" t="s">
        <v>1413</v>
      </c>
      <c r="N230" s="16" t="s">
        <v>1293</v>
      </c>
      <c r="O230" s="18" t="s">
        <v>1336</v>
      </c>
      <c r="P230" s="18" t="s">
        <v>1242</v>
      </c>
      <c r="Q230" s="29" t="str" cm="1">
        <f t="array" ref="Q230">_xlfn.IFS(
A230="","",
AND(A230&lt;&gt;"",B230=""),"FALTA LANÇAMENTO",
AND(B230&lt;&gt;"",M230=""),"FALTA O PEDIDO",
AND(M230&lt;&gt;"",O230=""),"FALTA NF",
O230&lt;&gt;"","CONCLUÍDO")</f>
        <v>CONCLUÍDO</v>
      </c>
      <c r="R230" s="36"/>
    </row>
    <row r="231" spans="1:18" hidden="1">
      <c r="A231" s="16">
        <v>46037</v>
      </c>
      <c r="B231" s="16">
        <v>46045</v>
      </c>
      <c r="C231" s="21">
        <v>1173059</v>
      </c>
      <c r="D231" s="16" t="str">
        <f>IFERROR(VLOOKUP(Tabela5[[#This Row],[PREFIXO ]],Tabela4[#All],2,0),"CENTRO DE CUSTO")</f>
        <v>TRAT PN MED M FERGUSON MF 297</v>
      </c>
      <c r="E231" s="18" t="s">
        <v>255</v>
      </c>
      <c r="F231" s="21">
        <v>829</v>
      </c>
      <c r="G231" s="22">
        <v>1300</v>
      </c>
      <c r="H231" s="22"/>
      <c r="I231" s="22">
        <f t="shared" si="4"/>
        <v>1300</v>
      </c>
      <c r="J231" s="18" t="s">
        <v>1199</v>
      </c>
      <c r="K231" s="18" t="s">
        <v>1414</v>
      </c>
      <c r="L231" s="18">
        <v>847438</v>
      </c>
      <c r="M231" s="18" t="s">
        <v>1413</v>
      </c>
      <c r="N231" s="16" t="s">
        <v>1293</v>
      </c>
      <c r="O231" s="18" t="s">
        <v>1336</v>
      </c>
      <c r="P231" s="18" t="s">
        <v>1242</v>
      </c>
      <c r="Q231" s="29" t="str" cm="1">
        <f t="array" ref="Q231">_xlfn.IFS(
A231="","",
AND(A231&lt;&gt;"",B231=""),"FALTA LANÇAMENTO",
AND(B231&lt;&gt;"",M231=""),"FALTA O PEDIDO",
AND(M231&lt;&gt;"",O231=""),"FALTA NF",
O231&lt;&gt;"","CONCLUÍDO")</f>
        <v>CONCLUÍDO</v>
      </c>
      <c r="R231" s="36"/>
    </row>
    <row r="232" spans="1:18" hidden="1">
      <c r="A232" s="16">
        <v>46037</v>
      </c>
      <c r="B232" s="16">
        <v>46045</v>
      </c>
      <c r="C232" s="21">
        <v>8173169</v>
      </c>
      <c r="D232" s="16" t="str">
        <f>IFERROR(VLOOKUP(Tabela5[[#This Row],[PREFIXO ]],Tabela4[#All],2,0),"CENTRO DE CUSTO")</f>
        <v>PLANT GRÃOS JOHN DEERE 9200 PI 12 LINHAS</v>
      </c>
      <c r="E232" s="18" t="s">
        <v>255</v>
      </c>
      <c r="F232" s="21">
        <v>826</v>
      </c>
      <c r="G232" s="22">
        <v>1000</v>
      </c>
      <c r="H232" s="22"/>
      <c r="I232" s="22">
        <f t="shared" si="4"/>
        <v>1000</v>
      </c>
      <c r="J232" s="18" t="s">
        <v>1113</v>
      </c>
      <c r="K232" s="18">
        <v>9742958</v>
      </c>
      <c r="L232" s="18">
        <v>847438</v>
      </c>
      <c r="M232" s="18" t="s">
        <v>1413</v>
      </c>
      <c r="N232" s="16" t="s">
        <v>1293</v>
      </c>
      <c r="O232" s="18" t="s">
        <v>1336</v>
      </c>
      <c r="P232" s="18" t="s">
        <v>1242</v>
      </c>
      <c r="Q232" s="29" t="str" cm="1">
        <f t="array" ref="Q232">_xlfn.IFS(
A232="","",
AND(A232&lt;&gt;"",B232=""),"FALTA LANÇAMENTO",
AND(B232&lt;&gt;"",M232=""),"FALTA O PEDIDO",
AND(M232&lt;&gt;"",O232=""),"FALTA NF",
O232&lt;&gt;"","CONCLUÍDO")</f>
        <v>CONCLUÍDO</v>
      </c>
      <c r="R232" s="36"/>
    </row>
    <row r="233" spans="1:18" hidden="1">
      <c r="A233" s="16">
        <v>46037</v>
      </c>
      <c r="B233" s="16">
        <v>46045</v>
      </c>
      <c r="C233" s="21" t="s">
        <v>1415</v>
      </c>
      <c r="D233" s="16" t="str">
        <f>IFERROR(VLOOKUP(Tabela5[[#This Row],[PREFIXO ]],Tabela4[#All],2,0),"CENTRO DE CUSTO")</f>
        <v>CENTRO DE CUSTO</v>
      </c>
      <c r="E233" s="18" t="s">
        <v>255</v>
      </c>
      <c r="F233" s="21">
        <v>831</v>
      </c>
      <c r="G233" s="22">
        <v>800</v>
      </c>
      <c r="H233" s="22"/>
      <c r="I233" s="22">
        <f t="shared" si="4"/>
        <v>800</v>
      </c>
      <c r="J233" s="18" t="s">
        <v>1113</v>
      </c>
      <c r="K233" s="18" t="s">
        <v>1416</v>
      </c>
      <c r="L233" s="18">
        <v>847438</v>
      </c>
      <c r="M233" s="18" t="s">
        <v>1413</v>
      </c>
      <c r="N233" s="16" t="s">
        <v>1293</v>
      </c>
      <c r="O233" s="18" t="s">
        <v>1336</v>
      </c>
      <c r="P233" s="18" t="s">
        <v>1242</v>
      </c>
      <c r="Q233" s="29" t="str" cm="1">
        <f t="array" ref="Q233">_xlfn.IFS(
A233="","",
AND(A233&lt;&gt;"",B233=""),"FALTA LANÇAMENTO",
AND(B233&lt;&gt;"",M233=""),"FALTA O PEDIDO",
AND(M233&lt;&gt;"",O233=""),"FALTA NF",
O233&lt;&gt;"","CONCLUÍDO")</f>
        <v>CONCLUÍDO</v>
      </c>
      <c r="R233" s="36"/>
    </row>
    <row r="234" spans="1:18" hidden="1">
      <c r="A234" s="16">
        <v>46037</v>
      </c>
      <c r="B234" s="16">
        <v>46057</v>
      </c>
      <c r="C234" s="21">
        <v>61521080</v>
      </c>
      <c r="D234" s="16" t="str">
        <f>IFERROR(VLOOKUP(Tabela5[[#This Row],[PREFIXO ]],Tabela4[#All],2,0),"CENTRO DE CUSTO")</f>
        <v>CAV MEC EXT PES VOLVO FH 540</v>
      </c>
      <c r="E234" s="18" t="s">
        <v>260</v>
      </c>
      <c r="F234" s="21">
        <v>191673</v>
      </c>
      <c r="G234" s="22">
        <v>1230</v>
      </c>
      <c r="H234" s="22">
        <v>1621.44</v>
      </c>
      <c r="I234" s="22">
        <f t="shared" si="4"/>
        <v>2851.44</v>
      </c>
      <c r="J234" s="18" t="s">
        <v>1085</v>
      </c>
      <c r="K234" s="18">
        <v>9743059</v>
      </c>
      <c r="L234" s="18">
        <v>849080</v>
      </c>
      <c r="M234" s="18" t="s">
        <v>1417</v>
      </c>
      <c r="N234" s="16" t="s">
        <v>1418</v>
      </c>
      <c r="O234" s="18" t="s">
        <v>1419</v>
      </c>
      <c r="P234" s="18" t="s">
        <v>1420</v>
      </c>
      <c r="Q234" s="29" t="str" cm="1">
        <f t="array" ref="Q234">_xlfn.IFS(
A234="","",
AND(A234&lt;&gt;"",B234=""),"FALTA LANÇAMENTO",
AND(B234&lt;&gt;"",M234=""),"FALTA O PEDIDO",
AND(M234&lt;&gt;"",O234=""),"FALTA NF",
O234&lt;&gt;"","CONCLUÍDO")</f>
        <v>CONCLUÍDO</v>
      </c>
      <c r="R234" s="36"/>
    </row>
    <row r="235" spans="1:18" hidden="1">
      <c r="A235" s="16">
        <v>46037</v>
      </c>
      <c r="B235" s="16">
        <v>46049</v>
      </c>
      <c r="C235" s="21">
        <v>11040016</v>
      </c>
      <c r="D235" s="16" t="str">
        <f>IFERROR(VLOOKUP(Tabela5[[#This Row],[PREFIXO ]],Tabela4[#All],2,0),"CENTRO DE CUSTO")</f>
        <v>CAV MEC EXT PES SCANIA R500</v>
      </c>
      <c r="E235" s="18" t="s">
        <v>260</v>
      </c>
      <c r="F235" s="21">
        <v>192538</v>
      </c>
      <c r="G235" s="22">
        <v>1025</v>
      </c>
      <c r="H235" s="22"/>
      <c r="I235" s="22">
        <f t="shared" si="4"/>
        <v>1025</v>
      </c>
      <c r="J235" s="18" t="s">
        <v>1085</v>
      </c>
      <c r="K235" s="18">
        <v>9743057</v>
      </c>
      <c r="L235" s="18" t="s">
        <v>1095</v>
      </c>
      <c r="M235" s="18" t="s">
        <v>1095</v>
      </c>
      <c r="N235" s="16" t="s">
        <v>1095</v>
      </c>
      <c r="O235" s="18" t="s">
        <v>1095</v>
      </c>
      <c r="P235" s="18" t="s">
        <v>1095</v>
      </c>
      <c r="Q235" s="29" t="str" cm="1">
        <f t="array" ref="Q235">_xlfn.IFS(
A235="","",
AND(A235&lt;&gt;"",B235=""),"FALTA LANÇAMENTO",
AND(B235&lt;&gt;"",M235=""),"FALTA O PEDIDO",
AND(M235&lt;&gt;"",O235=""),"FALTA NF",
O235&lt;&gt;"","CONCLUÍDO")</f>
        <v>CONCLUÍDO</v>
      </c>
      <c r="R235" s="36"/>
    </row>
    <row r="236" spans="1:18" hidden="1">
      <c r="A236" s="16">
        <v>46037</v>
      </c>
      <c r="B236" s="16">
        <v>46049</v>
      </c>
      <c r="C236" s="21">
        <v>11040015</v>
      </c>
      <c r="D236" s="16" t="str">
        <f>IFERROR(VLOOKUP(Tabela5[[#This Row],[PREFIXO ]],Tabela4[#All],2,0),"CENTRO DE CUSTO")</f>
        <v>CAV MEC EXT PES SCANIA R500</v>
      </c>
      <c r="E236" s="18" t="s">
        <v>260</v>
      </c>
      <c r="F236" s="21">
        <v>192111</v>
      </c>
      <c r="G236" s="22">
        <v>580</v>
      </c>
      <c r="H236" s="22">
        <v>385</v>
      </c>
      <c r="I236" s="22">
        <f t="shared" si="4"/>
        <v>965</v>
      </c>
      <c r="J236" s="18" t="s">
        <v>1085</v>
      </c>
      <c r="K236" s="18">
        <v>9743121</v>
      </c>
      <c r="L236" s="18">
        <v>849309</v>
      </c>
      <c r="M236" s="18" t="s">
        <v>1421</v>
      </c>
      <c r="N236" s="16" t="s">
        <v>1316</v>
      </c>
      <c r="O236" s="18" t="s">
        <v>1422</v>
      </c>
      <c r="P236" s="18" t="s">
        <v>1339</v>
      </c>
      <c r="Q236" s="29" t="str" cm="1">
        <f t="array" ref="Q236">_xlfn.IFS(
A236="","",
AND(A236&lt;&gt;"",B236=""),"FALTA LANÇAMENTO",
AND(B236&lt;&gt;"",M236=""),"FALTA O PEDIDO",
AND(M236&lt;&gt;"",O236=""),"FALTA NF",
O236&lt;&gt;"","CONCLUÍDO")</f>
        <v>CONCLUÍDO</v>
      </c>
      <c r="R236" s="36"/>
    </row>
    <row r="237" spans="1:18" hidden="1">
      <c r="A237" s="16">
        <v>46037</v>
      </c>
      <c r="B237" s="16">
        <v>46048</v>
      </c>
      <c r="C237" s="21" t="s">
        <v>1423</v>
      </c>
      <c r="D237" s="16" t="str">
        <f>IFERROR(VLOOKUP(Tabela5[[#This Row],[PREFIXO ]],Tabela4[#All],2,0),"CENTRO DE CUSTO")</f>
        <v>CENTRO DE CUSTO</v>
      </c>
      <c r="E237" s="18" t="s">
        <v>260</v>
      </c>
      <c r="F237" s="21">
        <v>192133</v>
      </c>
      <c r="G237" s="22">
        <v>540</v>
      </c>
      <c r="H237" s="22">
        <v>285</v>
      </c>
      <c r="I237" s="22">
        <f t="shared" si="4"/>
        <v>825</v>
      </c>
      <c r="J237" s="18" t="s">
        <v>1085</v>
      </c>
      <c r="K237" s="18">
        <v>9744111</v>
      </c>
      <c r="L237" s="18">
        <v>848941</v>
      </c>
      <c r="M237" s="18" t="s">
        <v>1424</v>
      </c>
      <c r="N237" s="16" t="s">
        <v>1316</v>
      </c>
      <c r="O237" s="18" t="s">
        <v>1425</v>
      </c>
      <c r="P237" s="18" t="s">
        <v>1094</v>
      </c>
      <c r="Q237" s="29" t="str" cm="1">
        <f t="array" ref="Q237">_xlfn.IFS(
A237="","",
AND(A237&lt;&gt;"",B237=""),"FALTA LANÇAMENTO",
AND(B237&lt;&gt;"",M237=""),"FALTA O PEDIDO",
AND(M237&lt;&gt;"",O237=""),"FALTA NF",
O237&lt;&gt;"","CONCLUÍDO")</f>
        <v>CONCLUÍDO</v>
      </c>
      <c r="R237" s="36"/>
    </row>
    <row r="238" spans="1:18" hidden="1">
      <c r="A238" s="16">
        <v>46037</v>
      </c>
      <c r="B238" s="16">
        <v>46050</v>
      </c>
      <c r="C238" s="21">
        <v>6152108</v>
      </c>
      <c r="D238" s="16" t="str">
        <f>IFERROR(VLOOKUP(Tabela5[[#This Row],[PREFIXO ]],Tabela4[#All],2,0),"CENTRO DE CUSTO")</f>
        <v>CENTRO DE CUSTO</v>
      </c>
      <c r="E238" s="18" t="s">
        <v>260</v>
      </c>
      <c r="F238" s="21">
        <v>191263</v>
      </c>
      <c r="G238" s="22">
        <v>200</v>
      </c>
      <c r="H238" s="22">
        <v>188</v>
      </c>
      <c r="I238" s="22">
        <f t="shared" si="4"/>
        <v>388</v>
      </c>
      <c r="J238" s="18" t="s">
        <v>1085</v>
      </c>
      <c r="K238" s="18">
        <v>9743056</v>
      </c>
      <c r="L238" s="18">
        <v>850963</v>
      </c>
      <c r="M238" s="18" t="s">
        <v>1426</v>
      </c>
      <c r="N238" s="16" t="s">
        <v>1427</v>
      </c>
      <c r="O238" s="18" t="s">
        <v>1428</v>
      </c>
      <c r="P238" s="18" t="s">
        <v>1094</v>
      </c>
      <c r="Q238" s="29" t="str" cm="1">
        <f t="array" ref="Q238">_xlfn.IFS(
A238="","",
AND(A238&lt;&gt;"",B238=""),"FALTA LANÇAMENTO",
AND(B238&lt;&gt;"",M238=""),"FALTA O PEDIDO",
AND(M238&lt;&gt;"",O238=""),"FALTA NF",
O238&lt;&gt;"","CONCLUÍDO")</f>
        <v>CONCLUÍDO</v>
      </c>
      <c r="R238" s="36"/>
    </row>
    <row r="239" spans="1:18" hidden="1">
      <c r="A239" s="16">
        <v>46037</v>
      </c>
      <c r="B239" s="16">
        <v>46043</v>
      </c>
      <c r="C239" s="21">
        <v>500580090</v>
      </c>
      <c r="D239" s="16" t="str">
        <f>IFERROR(VLOOKUP(Tabela5[[#This Row],[PREFIXO ]],Tabela4[#All],2,0),"CENTRO DE CUSTO")</f>
        <v>Plantadeiras</v>
      </c>
      <c r="E239" s="18" t="s">
        <v>312</v>
      </c>
      <c r="F239" s="21">
        <v>444</v>
      </c>
      <c r="G239" s="22">
        <v>16888</v>
      </c>
      <c r="H239" s="22"/>
      <c r="I239" s="22">
        <f t="shared" si="4"/>
        <v>16888</v>
      </c>
      <c r="J239" s="18" t="s">
        <v>1199</v>
      </c>
      <c r="K239" s="18">
        <v>5018902</v>
      </c>
      <c r="L239" s="18">
        <v>845359</v>
      </c>
      <c r="M239" s="18" t="s">
        <v>1429</v>
      </c>
      <c r="N239" s="16" t="s">
        <v>1227</v>
      </c>
      <c r="O239" s="18" t="s">
        <v>1372</v>
      </c>
      <c r="P239" s="18" t="s">
        <v>1293</v>
      </c>
      <c r="Q239" s="29" t="str" cm="1">
        <f t="array" ref="Q239">_xlfn.IFS(
A239="","",
AND(A239&lt;&gt;"",B239=""),"FALTA LANÇAMENTO",
AND(B239&lt;&gt;"",M239=""),"FALTA O PEDIDO",
AND(M239&lt;&gt;"",O239=""),"FALTA NF",
O239&lt;&gt;"","CONCLUÍDO")</f>
        <v>CONCLUÍDO</v>
      </c>
      <c r="R239" s="36"/>
    </row>
    <row r="240" spans="1:18" hidden="1">
      <c r="A240" s="16">
        <v>46037</v>
      </c>
      <c r="B240" s="16">
        <v>46042</v>
      </c>
      <c r="C240" s="21">
        <v>500580346</v>
      </c>
      <c r="D240" s="16" t="str">
        <f>IFERROR(VLOOKUP(Tabela5[[#This Row],[PREFIXO ]],Tabela4[#All],2,0),"CENTRO DE CUSTO")</f>
        <v>Trat Extra Pesados</v>
      </c>
      <c r="E240" s="18" t="s">
        <v>312</v>
      </c>
      <c r="F240" s="21">
        <v>443</v>
      </c>
      <c r="G240" s="22">
        <v>12275.4</v>
      </c>
      <c r="H240" s="22"/>
      <c r="I240" s="22">
        <f t="shared" si="4"/>
        <v>12275.4</v>
      </c>
      <c r="J240" s="18" t="s">
        <v>1199</v>
      </c>
      <c r="K240" s="18">
        <v>5018900</v>
      </c>
      <c r="L240" s="18">
        <v>844293</v>
      </c>
      <c r="M240" s="18" t="s">
        <v>1430</v>
      </c>
      <c r="N240" s="16" t="s">
        <v>1227</v>
      </c>
      <c r="O240" s="18" t="s">
        <v>1334</v>
      </c>
      <c r="P240" s="18" t="s">
        <v>1293</v>
      </c>
      <c r="Q240" s="29" t="str" cm="1">
        <f t="array" ref="Q240">_xlfn.IFS(
A240="","",
AND(A240&lt;&gt;"",B240=""),"FALTA LANÇAMENTO",
AND(B240&lt;&gt;"",M240=""),"FALTA O PEDIDO",
AND(M240&lt;&gt;"",O240=""),"FALTA NF",
O240&lt;&gt;"","CONCLUÍDO")</f>
        <v>CONCLUÍDO</v>
      </c>
      <c r="R240" s="36"/>
    </row>
    <row r="241" spans="1:18" hidden="1">
      <c r="A241" s="16">
        <v>46037</v>
      </c>
      <c r="B241" s="16">
        <v>46043</v>
      </c>
      <c r="C241" s="21">
        <v>500580073</v>
      </c>
      <c r="D241" s="16" t="str">
        <f>IFERROR(VLOOKUP(Tabela5[[#This Row],[PREFIXO ]],Tabela4[#All],2,0),"CENTRO DE CUSTO")</f>
        <v>Tratores Pesados</v>
      </c>
      <c r="E241" s="18" t="s">
        <v>312</v>
      </c>
      <c r="F241" s="21">
        <v>445</v>
      </c>
      <c r="G241" s="22">
        <v>8815</v>
      </c>
      <c r="H241" s="22"/>
      <c r="I241" s="22">
        <f t="shared" si="4"/>
        <v>8815</v>
      </c>
      <c r="J241" s="18" t="s">
        <v>1199</v>
      </c>
      <c r="K241" s="18">
        <v>5018903</v>
      </c>
      <c r="L241" s="18">
        <v>845359</v>
      </c>
      <c r="M241" s="18" t="s">
        <v>1429</v>
      </c>
      <c r="N241" s="16" t="s">
        <v>1227</v>
      </c>
      <c r="O241" s="18" t="s">
        <v>1372</v>
      </c>
      <c r="P241" s="18" t="s">
        <v>1293</v>
      </c>
      <c r="Q241" s="29" t="str" cm="1">
        <f t="array" ref="Q241">_xlfn.IFS(
A241="","",
AND(A241&lt;&gt;"",B241=""),"FALTA LANÇAMENTO",
AND(B241&lt;&gt;"",M241=""),"FALTA O PEDIDO",
AND(M241&lt;&gt;"",O241=""),"FALTA NF",
O241&lt;&gt;"","CONCLUÍDO")</f>
        <v>CONCLUÍDO</v>
      </c>
      <c r="R241" s="36"/>
    </row>
    <row r="242" spans="1:18" hidden="1">
      <c r="A242" s="16">
        <v>46037</v>
      </c>
      <c r="B242" s="16">
        <v>46042</v>
      </c>
      <c r="C242" s="21" t="s">
        <v>1431</v>
      </c>
      <c r="D242" s="16" t="str">
        <f>IFERROR(VLOOKUP(Tabela5[[#This Row],[PREFIXO ]],Tabela4[#All],2,0),"CENTRO DE CUSTO")</f>
        <v>CENTRO DE CUSTO</v>
      </c>
      <c r="E242" s="18" t="s">
        <v>346</v>
      </c>
      <c r="F242" s="21" t="s">
        <v>1100</v>
      </c>
      <c r="G242" s="22">
        <v>10196</v>
      </c>
      <c r="H242" s="22"/>
      <c r="I242" s="22">
        <f t="shared" si="4"/>
        <v>10196</v>
      </c>
      <c r="J242" s="18" t="s">
        <v>1113</v>
      </c>
      <c r="K242" s="18">
        <v>5018908</v>
      </c>
      <c r="L242" s="18">
        <v>843044</v>
      </c>
      <c r="M242" s="18" t="s">
        <v>1432</v>
      </c>
      <c r="N242" s="16" t="s">
        <v>1221</v>
      </c>
      <c r="O242" s="18" t="s">
        <v>1303</v>
      </c>
      <c r="P242" s="18" t="s">
        <v>1433</v>
      </c>
      <c r="Q242" s="29" t="str" cm="1">
        <f t="array" ref="Q242">_xlfn.IFS(
A242="","",
AND(A242&lt;&gt;"",B242=""),"FALTA LANÇAMENTO",
AND(B242&lt;&gt;"",M242=""),"FALTA O PEDIDO",
AND(M242&lt;&gt;"",O242=""),"FALTA NF",
O242&lt;&gt;"","CONCLUÍDO")</f>
        <v>CONCLUÍDO</v>
      </c>
      <c r="R242" s="36"/>
    </row>
    <row r="243" spans="1:18" hidden="1">
      <c r="A243" s="16">
        <v>46037</v>
      </c>
      <c r="B243" s="16">
        <v>46042</v>
      </c>
      <c r="C243" s="21" t="s">
        <v>1434</v>
      </c>
      <c r="D243" s="16" t="str">
        <f>IFERROR(VLOOKUP(Tabela5[[#This Row],[PREFIXO ]],Tabela4[#All],2,0),"CENTRO DE CUSTO")</f>
        <v>CENTRO DE CUSTO</v>
      </c>
      <c r="E243" s="18" t="s">
        <v>346</v>
      </c>
      <c r="F243" s="21" t="s">
        <v>1105</v>
      </c>
      <c r="G243" s="22">
        <v>7076</v>
      </c>
      <c r="H243" s="22"/>
      <c r="I243" s="22">
        <f t="shared" si="4"/>
        <v>7076</v>
      </c>
      <c r="J243" s="18" t="s">
        <v>1113</v>
      </c>
      <c r="K243" s="18">
        <v>5018905</v>
      </c>
      <c r="L243" s="18">
        <v>843044</v>
      </c>
      <c r="M243" s="18" t="s">
        <v>1432</v>
      </c>
      <c r="N243" s="16" t="s">
        <v>1221</v>
      </c>
      <c r="O243" s="18" t="s">
        <v>1303</v>
      </c>
      <c r="P243" s="18" t="s">
        <v>1433</v>
      </c>
      <c r="Q243" s="29" t="str" cm="1">
        <f t="array" ref="Q243">_xlfn.IFS(
A243="","",
AND(A243&lt;&gt;"",B243=""),"FALTA LANÇAMENTO",
AND(B243&lt;&gt;"",M243=""),"FALTA O PEDIDO",
AND(M243&lt;&gt;"",O243=""),"FALTA NF",
O243&lt;&gt;"","CONCLUÍDO")</f>
        <v>CONCLUÍDO</v>
      </c>
      <c r="R243" s="36"/>
    </row>
    <row r="244" spans="1:18" hidden="1">
      <c r="A244" s="16">
        <v>46038</v>
      </c>
      <c r="B244" s="16">
        <v>46038</v>
      </c>
      <c r="C244" s="21">
        <v>81521335</v>
      </c>
      <c r="D244" s="16" t="str">
        <f>IFERROR(VLOOKUP(Tabela5[[#This Row],[PREFIXO ]],Tabela4[#All],2,0),"CENTRO DE CUSTO")</f>
        <v>PLANT GRÃOS N.HOLLAND PL7000 60 LINHAS</v>
      </c>
      <c r="E244" s="18" t="s">
        <v>311</v>
      </c>
      <c r="F244" s="21">
        <v>662</v>
      </c>
      <c r="G244" s="22">
        <v>1450</v>
      </c>
      <c r="H244" s="22"/>
      <c r="I244" s="22">
        <f t="shared" si="4"/>
        <v>1450</v>
      </c>
      <c r="J244" s="18" t="s">
        <v>1199</v>
      </c>
      <c r="K244" s="18">
        <v>9738672</v>
      </c>
      <c r="L244" s="18">
        <v>841252</v>
      </c>
      <c r="M244" s="18" t="s">
        <v>1435</v>
      </c>
      <c r="N244" s="16" t="s">
        <v>1179</v>
      </c>
      <c r="O244" s="18" t="s">
        <v>1303</v>
      </c>
      <c r="P244" s="18" t="s">
        <v>1177</v>
      </c>
      <c r="Q244" s="29" t="str" cm="1">
        <f t="array" ref="Q244">_xlfn.IFS(
A244="","",
AND(A244&lt;&gt;"",B244=""),"FALTA LANÇAMENTO",
AND(B244&lt;&gt;"",M244=""),"FALTA O PEDIDO",
AND(M244&lt;&gt;"",O244=""),"FALTA NF",
O244&lt;&gt;"","CONCLUÍDO")</f>
        <v>CONCLUÍDO</v>
      </c>
      <c r="R244" s="36"/>
    </row>
    <row r="245" spans="1:18" hidden="1">
      <c r="A245" s="16">
        <v>46042</v>
      </c>
      <c r="B245" s="16">
        <v>46042</v>
      </c>
      <c r="C245" s="21">
        <v>61521087</v>
      </c>
      <c r="D245" s="16" t="str">
        <f>IFERROR(VLOOKUP(Tabela5[[#This Row],[PREFIXO ]],Tabela4[#All],2,0),"CENTRO DE CUSTO")</f>
        <v>CENTRO DE CUSTO</v>
      </c>
      <c r="E245" s="18" t="s">
        <v>25</v>
      </c>
      <c r="F245" s="21" t="s">
        <v>1134</v>
      </c>
      <c r="G245" s="22">
        <v>6560</v>
      </c>
      <c r="H245" s="22"/>
      <c r="I245" s="22">
        <f t="shared" si="4"/>
        <v>6560</v>
      </c>
      <c r="J245" s="18" t="s">
        <v>1251</v>
      </c>
      <c r="K245" s="18">
        <v>9736414</v>
      </c>
      <c r="L245" s="18">
        <v>838824</v>
      </c>
      <c r="M245" s="18" t="s">
        <v>1436</v>
      </c>
      <c r="N245" s="16" t="s">
        <v>1221</v>
      </c>
      <c r="O245" s="18" t="s">
        <v>1437</v>
      </c>
      <c r="P245" s="18" t="s">
        <v>1438</v>
      </c>
      <c r="Q245" s="29" t="str" cm="1">
        <f t="array" ref="Q245">_xlfn.IFS(
A245="","",
AND(A245&lt;&gt;"",B245=""),"FALTA LANÇAMENTO",
AND(B245&lt;&gt;"",M245=""),"FALTA O PEDIDO",
AND(M245&lt;&gt;"",O245=""),"FALTA NF",
O245&lt;&gt;"","CONCLUÍDO")</f>
        <v>CONCLUÍDO</v>
      </c>
      <c r="R245" s="36"/>
    </row>
    <row r="246" spans="1:18" hidden="1">
      <c r="A246" s="16">
        <v>46042</v>
      </c>
      <c r="B246" s="16">
        <v>46042</v>
      </c>
      <c r="C246" s="21">
        <v>61521087</v>
      </c>
      <c r="D246" s="16" t="str">
        <f>IFERROR(VLOOKUP(Tabela5[[#This Row],[PREFIXO ]],Tabela4[#All],2,0),"CENTRO DE CUSTO")</f>
        <v>CENTRO DE CUSTO</v>
      </c>
      <c r="E246" s="18" t="s">
        <v>25</v>
      </c>
      <c r="F246" s="21" t="s">
        <v>1134</v>
      </c>
      <c r="G246" s="22"/>
      <c r="H246" s="22">
        <v>2563.6</v>
      </c>
      <c r="I246" s="22">
        <f t="shared" si="4"/>
        <v>2563.6</v>
      </c>
      <c r="J246" s="18" t="s">
        <v>1251</v>
      </c>
      <c r="K246" s="18">
        <v>9736414</v>
      </c>
      <c r="L246" s="18">
        <v>838824</v>
      </c>
      <c r="M246" s="18" t="s">
        <v>1436</v>
      </c>
      <c r="N246" s="16" t="s">
        <v>1221</v>
      </c>
      <c r="O246" s="18" t="s">
        <v>1437</v>
      </c>
      <c r="P246" s="18" t="s">
        <v>1438</v>
      </c>
      <c r="Q246" s="29" t="str" cm="1">
        <f t="array" ref="Q246">_xlfn.IFS(
A246="","",
AND(A246&lt;&gt;"",B246=""),"FALTA LANÇAMENTO",
AND(B246&lt;&gt;"",M246=""),"FALTA O PEDIDO",
AND(M246&lt;&gt;"",O246=""),"FALTA NF",
O246&lt;&gt;"","CONCLUÍDO")</f>
        <v>CONCLUÍDO</v>
      </c>
      <c r="R246" s="36"/>
    </row>
    <row r="247" spans="1:18" hidden="1">
      <c r="A247" s="16">
        <v>46042</v>
      </c>
      <c r="B247" s="16">
        <v>46042</v>
      </c>
      <c r="C247" s="21">
        <v>61521052</v>
      </c>
      <c r="D247" s="16" t="str">
        <f>IFERROR(VLOOKUP(Tabela5[[#This Row],[PREFIXO ]],Tabela4[#All],2,0),"CENTRO DE CUSTO")</f>
        <v>CAM CARGA SECA MERC BENZ ATEGO 1719</v>
      </c>
      <c r="E247" s="18" t="s">
        <v>158</v>
      </c>
      <c r="F247" s="21">
        <v>86</v>
      </c>
      <c r="G247" s="22">
        <v>14144.15</v>
      </c>
      <c r="H247" s="22"/>
      <c r="I247" s="22">
        <f t="shared" si="4"/>
        <v>14144.15</v>
      </c>
      <c r="J247" s="18" t="s">
        <v>1199</v>
      </c>
      <c r="K247" s="18">
        <v>9741639</v>
      </c>
      <c r="L247" s="18">
        <v>841271</v>
      </c>
      <c r="M247" s="18" t="s">
        <v>1439</v>
      </c>
      <c r="N247" s="16" t="s">
        <v>1221</v>
      </c>
      <c r="O247" s="18" t="s">
        <v>1440</v>
      </c>
      <c r="P247" s="18" t="s">
        <v>1221</v>
      </c>
      <c r="Q247" s="29" t="str" cm="1">
        <f t="array" ref="Q247">_xlfn.IFS(
A247="","",
AND(A247&lt;&gt;"",B247=""),"FALTA LANÇAMENTO",
AND(B247&lt;&gt;"",M247=""),"FALTA O PEDIDO",
AND(M247&lt;&gt;"",O247=""),"FALTA NF",
O247&lt;&gt;"","CONCLUÍDO")</f>
        <v>CONCLUÍDO</v>
      </c>
      <c r="R247" s="36"/>
    </row>
    <row r="248" spans="1:18" hidden="1">
      <c r="A248" s="16">
        <v>46042</v>
      </c>
      <c r="B248" s="16">
        <v>46042</v>
      </c>
      <c r="C248" s="21" t="s">
        <v>1441</v>
      </c>
      <c r="D248" s="16" t="str">
        <f>IFERROR(VLOOKUP(Tabela5[[#This Row],[PREFIXO ]],Tabela4[#All],2,0),"CENTRO DE CUSTO")</f>
        <v>CENTRO DE CUSTO</v>
      </c>
      <c r="E248" s="18" t="s">
        <v>333</v>
      </c>
      <c r="F248" s="21">
        <v>352</v>
      </c>
      <c r="G248" s="22">
        <v>11484</v>
      </c>
      <c r="H248" s="22"/>
      <c r="I248" s="22">
        <f t="shared" si="4"/>
        <v>11484</v>
      </c>
      <c r="J248" s="18" t="s">
        <v>1251</v>
      </c>
      <c r="K248" s="18" t="s">
        <v>1442</v>
      </c>
      <c r="L248" s="18" t="s">
        <v>1095</v>
      </c>
      <c r="M248" s="18" t="s">
        <v>1095</v>
      </c>
      <c r="N248" s="16" t="s">
        <v>1095</v>
      </c>
      <c r="O248" s="18" t="s">
        <v>1095</v>
      </c>
      <c r="P248" s="18" t="s">
        <v>1095</v>
      </c>
      <c r="Q248" s="29" t="str" cm="1">
        <f t="array" ref="Q248">_xlfn.IFS(
A248="","",
AND(A248&lt;&gt;"",B248=""),"FALTA LANÇAMENTO",
AND(B248&lt;&gt;"",M248=""),"FALTA O PEDIDO",
AND(M248&lt;&gt;"",O248=""),"FALTA NF",
O248&lt;&gt;"","CONCLUÍDO")</f>
        <v>CONCLUÍDO</v>
      </c>
      <c r="R248" s="36"/>
    </row>
    <row r="249" spans="1:18" hidden="1">
      <c r="A249" s="16">
        <v>46042</v>
      </c>
      <c r="B249" s="16">
        <v>46042</v>
      </c>
      <c r="C249" s="21" t="s">
        <v>1443</v>
      </c>
      <c r="D249" s="16" t="str">
        <f>IFERROR(VLOOKUP(Tabela5[[#This Row],[PREFIXO ]],Tabela4[#All],2,0),"CENTRO DE CUSTO")</f>
        <v>CENTRO DE CUSTO</v>
      </c>
      <c r="E249" s="18" t="s">
        <v>333</v>
      </c>
      <c r="F249" s="21">
        <v>353</v>
      </c>
      <c r="G249" s="22">
        <v>4050</v>
      </c>
      <c r="H249" s="22"/>
      <c r="I249" s="22">
        <f t="shared" si="4"/>
        <v>4050</v>
      </c>
      <c r="J249" s="18" t="s">
        <v>1251</v>
      </c>
      <c r="K249" s="18" t="s">
        <v>1444</v>
      </c>
      <c r="L249" s="18" t="s">
        <v>1095</v>
      </c>
      <c r="M249" s="18" t="s">
        <v>1095</v>
      </c>
      <c r="N249" s="16" t="s">
        <v>1095</v>
      </c>
      <c r="O249" s="18" t="s">
        <v>1095</v>
      </c>
      <c r="P249" s="18" t="s">
        <v>1095</v>
      </c>
      <c r="Q249" s="29" t="str" cm="1">
        <f t="array" ref="Q249">_xlfn.IFS(
A249="","",
AND(A249&lt;&gt;"",B249=""),"FALTA LANÇAMENTO",
AND(B249&lt;&gt;"",M249=""),"FALTA O PEDIDO",
AND(M249&lt;&gt;"",O249=""),"FALTA NF",
O249&lt;&gt;"","CONCLUÍDO")</f>
        <v>CONCLUÍDO</v>
      </c>
      <c r="R249" s="36"/>
    </row>
    <row r="250" spans="1:18" hidden="1">
      <c r="A250" s="16">
        <v>46042</v>
      </c>
      <c r="B250" s="16">
        <v>46042</v>
      </c>
      <c r="C250" s="21">
        <v>500580090</v>
      </c>
      <c r="D250" s="16" t="str">
        <f>IFERROR(VLOOKUP(Tabela5[[#This Row],[PREFIXO ]],Tabela4[#All],2,0),"CENTRO DE CUSTO")</f>
        <v>Plantadeiras</v>
      </c>
      <c r="E250" s="18" t="s">
        <v>348</v>
      </c>
      <c r="F250" s="21">
        <v>1213</v>
      </c>
      <c r="G250" s="22">
        <v>10651.25</v>
      </c>
      <c r="H250" s="22"/>
      <c r="I250" s="22">
        <f t="shared" si="4"/>
        <v>10651.25</v>
      </c>
      <c r="J250" s="18" t="s">
        <v>1199</v>
      </c>
      <c r="K250" s="18">
        <v>5018986</v>
      </c>
      <c r="L250" s="18">
        <v>844285</v>
      </c>
      <c r="M250" s="18" t="s">
        <v>1445</v>
      </c>
      <c r="N250" s="16" t="s">
        <v>1216</v>
      </c>
      <c r="O250" s="18" t="s">
        <v>1347</v>
      </c>
      <c r="P250" s="18" t="s">
        <v>1242</v>
      </c>
      <c r="Q250" s="29" t="str" cm="1">
        <f t="array" ref="Q250">_xlfn.IFS(
A250="","",
AND(A250&lt;&gt;"",B250=""),"FALTA LANÇAMENTO",
AND(B250&lt;&gt;"",M250=""),"FALTA O PEDIDO",
AND(M250&lt;&gt;"",O250=""),"FALTA NF",
O250&lt;&gt;"","CONCLUÍDO")</f>
        <v>CONCLUÍDO</v>
      </c>
      <c r="R250" s="36"/>
    </row>
    <row r="251" spans="1:18" hidden="1">
      <c r="A251" s="16">
        <v>46042</v>
      </c>
      <c r="B251" s="16">
        <v>46042</v>
      </c>
      <c r="C251" s="21" t="s">
        <v>1446</v>
      </c>
      <c r="D251" s="16" t="str">
        <f>IFERROR(VLOOKUP(Tabela5[[#This Row],[PREFIXO ]],Tabela4[#All],2,0),"CENTRO DE CUSTO")</f>
        <v>CENTRO DE CUSTO</v>
      </c>
      <c r="E251" s="18" t="s">
        <v>312</v>
      </c>
      <c r="F251" s="21">
        <v>446</v>
      </c>
      <c r="G251" s="22">
        <v>12091.6</v>
      </c>
      <c r="H251" s="22"/>
      <c r="I251" s="22">
        <f t="shared" si="4"/>
        <v>12091.6</v>
      </c>
      <c r="J251" s="18" t="s">
        <v>1199</v>
      </c>
      <c r="K251" s="18" t="s">
        <v>1447</v>
      </c>
      <c r="L251" s="18">
        <v>844293</v>
      </c>
      <c r="M251" s="18" t="s">
        <v>1430</v>
      </c>
      <c r="N251" s="16" t="s">
        <v>1227</v>
      </c>
      <c r="O251" s="18" t="s">
        <v>1334</v>
      </c>
      <c r="P251" s="18" t="s">
        <v>1293</v>
      </c>
      <c r="Q251" s="29" t="str" cm="1">
        <f t="array" ref="Q251">_xlfn.IFS(
A251="","",
AND(A251&lt;&gt;"",B251=""),"FALTA LANÇAMENTO",
AND(B251&lt;&gt;"",M251=""),"FALTA O PEDIDO",
AND(M251&lt;&gt;"",O251=""),"FALTA NF",
O251&lt;&gt;"","CONCLUÍDO")</f>
        <v>CONCLUÍDO</v>
      </c>
      <c r="R251" s="36"/>
    </row>
    <row r="252" spans="1:18" hidden="1">
      <c r="A252" s="16">
        <v>46042</v>
      </c>
      <c r="B252" s="16">
        <v>46043</v>
      </c>
      <c r="C252" s="21" t="s">
        <v>1448</v>
      </c>
      <c r="D252" s="16" t="str">
        <f>IFERROR(VLOOKUP(Tabela5[[#This Row],[PREFIXO ]],Tabela4[#All],2,0),"CENTRO DE CUSTO")</f>
        <v>CENTRO DE CUSTO</v>
      </c>
      <c r="E252" s="18" t="s">
        <v>312</v>
      </c>
      <c r="F252" s="21">
        <v>447</v>
      </c>
      <c r="G252" s="22">
        <v>10482.450000000001</v>
      </c>
      <c r="H252" s="22"/>
      <c r="I252" s="22">
        <f t="shared" si="4"/>
        <v>10482.450000000001</v>
      </c>
      <c r="J252" s="18" t="s">
        <v>1199</v>
      </c>
      <c r="K252" s="18" t="s">
        <v>1449</v>
      </c>
      <c r="L252" s="18">
        <v>845359</v>
      </c>
      <c r="M252" s="18" t="s">
        <v>1429</v>
      </c>
      <c r="N252" s="16" t="s">
        <v>1227</v>
      </c>
      <c r="O252" s="18" t="s">
        <v>1372</v>
      </c>
      <c r="P252" s="18" t="s">
        <v>1293</v>
      </c>
      <c r="Q252" s="29" t="str" cm="1">
        <f t="array" ref="Q252">_xlfn.IFS(
A252="","",
AND(A252&lt;&gt;"",B252=""),"FALTA LANÇAMENTO",
AND(B252&lt;&gt;"",M252=""),"FALTA O PEDIDO",
AND(M252&lt;&gt;"",O252=""),"FALTA NF",
O252&lt;&gt;"","CONCLUÍDO")</f>
        <v>CONCLUÍDO</v>
      </c>
      <c r="R252" s="36"/>
    </row>
    <row r="253" spans="1:18" hidden="1">
      <c r="A253" s="16">
        <v>46042</v>
      </c>
      <c r="B253" s="16">
        <v>46042</v>
      </c>
      <c r="C253" s="21" t="s">
        <v>1450</v>
      </c>
      <c r="D253" s="16" t="str">
        <f>IFERROR(VLOOKUP(Tabela5[[#This Row],[PREFIXO ]],Tabela4[#All],2,0),"CENTRO DE CUSTO")</f>
        <v>CENTRO DE CUSTO</v>
      </c>
      <c r="E253" s="18" t="s">
        <v>312</v>
      </c>
      <c r="F253" s="21">
        <v>448</v>
      </c>
      <c r="G253" s="22">
        <v>9913.6</v>
      </c>
      <c r="H253" s="22"/>
      <c r="I253" s="22">
        <f t="shared" si="4"/>
        <v>9913.6</v>
      </c>
      <c r="J253" s="18" t="s">
        <v>1199</v>
      </c>
      <c r="K253" s="18" t="s">
        <v>1451</v>
      </c>
      <c r="L253" s="18">
        <v>844293</v>
      </c>
      <c r="M253" s="18" t="s">
        <v>1430</v>
      </c>
      <c r="N253" s="16" t="s">
        <v>1227</v>
      </c>
      <c r="O253" s="18" t="s">
        <v>1334</v>
      </c>
      <c r="P253" s="18" t="s">
        <v>1293</v>
      </c>
      <c r="Q253" s="29" t="str" cm="1">
        <f t="array" ref="Q253">_xlfn.IFS(
A253="","",
AND(A253&lt;&gt;"",B253=""),"FALTA LANÇAMENTO",
AND(B253&lt;&gt;"",M253=""),"FALTA O PEDIDO",
AND(M253&lt;&gt;"",O253=""),"FALTA NF",
O253&lt;&gt;"","CONCLUÍDO")</f>
        <v>CONCLUÍDO</v>
      </c>
      <c r="R253" s="36"/>
    </row>
    <row r="254" spans="1:18" hidden="1">
      <c r="A254" s="16">
        <v>46043</v>
      </c>
      <c r="B254" s="16">
        <v>46050</v>
      </c>
      <c r="C254" s="21" t="s">
        <v>1452</v>
      </c>
      <c r="D254" s="16" t="str">
        <f>IFERROR(VLOOKUP(Tabela5[[#This Row],[PREFIXO ]],Tabela4[#All],2,0),"CENTRO DE CUSTO")</f>
        <v>CENTRO DE CUSTO</v>
      </c>
      <c r="E254" s="18" t="s">
        <v>293</v>
      </c>
      <c r="F254" s="21">
        <v>44</v>
      </c>
      <c r="G254" s="22">
        <v>32104</v>
      </c>
      <c r="H254" s="22"/>
      <c r="I254" s="22">
        <f t="shared" si="4"/>
        <v>32104</v>
      </c>
      <c r="J254" s="18" t="s">
        <v>1123</v>
      </c>
      <c r="K254" s="18" t="s">
        <v>1453</v>
      </c>
      <c r="L254" s="18">
        <v>850993</v>
      </c>
      <c r="M254" s="18" t="s">
        <v>1454</v>
      </c>
      <c r="N254" s="16" t="s">
        <v>1267</v>
      </c>
      <c r="O254" s="18" t="s">
        <v>1455</v>
      </c>
      <c r="P254" s="18" t="s">
        <v>1288</v>
      </c>
      <c r="Q254" s="29" t="str" cm="1">
        <f t="array" ref="Q254">_xlfn.IFS(
A254="","",
AND(A254&lt;&gt;"",B254=""),"FALTA LANÇAMENTO",
AND(B254&lt;&gt;"",M254=""),"FALTA O PEDIDO",
AND(M254&lt;&gt;"",O254=""),"FALTA NF",
O254&lt;&gt;"","CONCLUÍDO")</f>
        <v>CONCLUÍDO</v>
      </c>
      <c r="R254" s="36"/>
    </row>
    <row r="255" spans="1:18" hidden="1">
      <c r="A255" s="16">
        <v>46043</v>
      </c>
      <c r="B255" s="16">
        <v>46049</v>
      </c>
      <c r="C255" s="21">
        <v>51521062</v>
      </c>
      <c r="D255" s="16" t="str">
        <f>IFERROR(VLOOKUP(Tabela5[[#This Row],[PREFIXO ]],Tabela4[#All],2,0),"CENTRO DE CUSTO")</f>
        <v>COLHED ALGODÃO JOHN DEERE CP 690</v>
      </c>
      <c r="E255" s="18" t="s">
        <v>16</v>
      </c>
      <c r="F255" s="21">
        <v>439</v>
      </c>
      <c r="G255" s="22">
        <v>7740</v>
      </c>
      <c r="H255" s="22"/>
      <c r="I255" s="22">
        <f t="shared" si="4"/>
        <v>7740</v>
      </c>
      <c r="J255" s="18" t="s">
        <v>1123</v>
      </c>
      <c r="K255" s="18">
        <v>9746350</v>
      </c>
      <c r="L255" s="18">
        <v>850115</v>
      </c>
      <c r="M255" s="18" t="s">
        <v>1456</v>
      </c>
      <c r="N255" s="16" t="s">
        <v>1427</v>
      </c>
      <c r="O255" s="18" t="s">
        <v>1258</v>
      </c>
      <c r="P255" s="18" t="s">
        <v>1275</v>
      </c>
      <c r="Q255" s="29" t="str" cm="1">
        <f t="array" ref="Q255">_xlfn.IFS(
A255="","",
AND(A255&lt;&gt;"",B255=""),"FALTA LANÇAMENTO",
AND(B255&lt;&gt;"",M255=""),"FALTA O PEDIDO",
AND(M255&lt;&gt;"",O255=""),"FALTA NF",
O255&lt;&gt;"","CONCLUÍDO")</f>
        <v>CONCLUÍDO</v>
      </c>
      <c r="R255" s="36"/>
    </row>
    <row r="256" spans="1:18" hidden="1">
      <c r="A256" s="16">
        <v>46043</v>
      </c>
      <c r="B256" s="16">
        <v>46049</v>
      </c>
      <c r="C256" s="21">
        <v>51521064</v>
      </c>
      <c r="D256" s="16" t="str">
        <f>IFERROR(VLOOKUP(Tabela5[[#This Row],[PREFIXO ]],Tabela4[#All],2,0),"CENTRO DE CUSTO")</f>
        <v>COLHED ALGODÃO JOHN DEERE CP 690</v>
      </c>
      <c r="E256" s="18" t="s">
        <v>16</v>
      </c>
      <c r="F256" s="21">
        <v>440</v>
      </c>
      <c r="G256" s="22">
        <v>7740</v>
      </c>
      <c r="H256" s="22"/>
      <c r="I256" s="22">
        <f t="shared" ref="I256:I319" si="5">G256+H256</f>
        <v>7740</v>
      </c>
      <c r="J256" s="18" t="s">
        <v>1123</v>
      </c>
      <c r="K256" s="18">
        <v>9746350</v>
      </c>
      <c r="L256" s="18">
        <v>850115</v>
      </c>
      <c r="M256" s="18" t="s">
        <v>1456</v>
      </c>
      <c r="N256" s="16" t="s">
        <v>1427</v>
      </c>
      <c r="O256" s="18" t="s">
        <v>1258</v>
      </c>
      <c r="P256" s="18" t="s">
        <v>1275</v>
      </c>
      <c r="Q256" s="29" t="str" cm="1">
        <f t="array" ref="Q256">_xlfn.IFS(
A256="","",
AND(A256&lt;&gt;"",B256=""),"FALTA LANÇAMENTO",
AND(B256&lt;&gt;"",M256=""),"FALTA O PEDIDO",
AND(M256&lt;&gt;"",O256=""),"FALTA NF",
O256&lt;&gt;"","CONCLUÍDO")</f>
        <v>CONCLUÍDO</v>
      </c>
      <c r="R256" s="36"/>
    </row>
    <row r="257" spans="1:18" hidden="1">
      <c r="A257" s="16">
        <v>46043</v>
      </c>
      <c r="B257" s="16">
        <v>46049</v>
      </c>
      <c r="C257" s="21">
        <v>51521065</v>
      </c>
      <c r="D257" s="16" t="str">
        <f>IFERROR(VLOOKUP(Tabela5[[#This Row],[PREFIXO ]],Tabela4[#All],2,0),"CENTRO DE CUSTO")</f>
        <v>COLHED ALGODÃO JOHN DEERE CP 690</v>
      </c>
      <c r="E257" s="18" t="s">
        <v>16</v>
      </c>
      <c r="F257" s="21">
        <v>438</v>
      </c>
      <c r="G257" s="22">
        <v>7740</v>
      </c>
      <c r="H257" s="22"/>
      <c r="I257" s="22">
        <f t="shared" si="5"/>
        <v>7740</v>
      </c>
      <c r="J257" s="18" t="s">
        <v>1123</v>
      </c>
      <c r="K257" s="18">
        <v>9746344</v>
      </c>
      <c r="L257" s="18">
        <v>850115</v>
      </c>
      <c r="M257" s="18" t="s">
        <v>1456</v>
      </c>
      <c r="N257" s="16" t="s">
        <v>1427</v>
      </c>
      <c r="O257" s="18" t="s">
        <v>1258</v>
      </c>
      <c r="P257" s="18" t="s">
        <v>1275</v>
      </c>
      <c r="Q257" s="29" t="str" cm="1">
        <f t="array" ref="Q257">_xlfn.IFS(
A257="","",
AND(A257&lt;&gt;"",B257=""),"FALTA LANÇAMENTO",
AND(B257&lt;&gt;"",M257=""),"FALTA O PEDIDO",
AND(M257&lt;&gt;"",O257=""),"FALTA NF",
O257&lt;&gt;"","CONCLUÍDO")</f>
        <v>CONCLUÍDO</v>
      </c>
      <c r="R257" s="36"/>
    </row>
    <row r="258" spans="1:18" hidden="1">
      <c r="A258" s="16">
        <v>46043</v>
      </c>
      <c r="B258" s="16">
        <v>46050</v>
      </c>
      <c r="C258" s="21">
        <v>5157077</v>
      </c>
      <c r="D258" s="16" t="str">
        <f>IFERROR(VLOOKUP(Tabela5[[#This Row],[PREFIXO ]],Tabela4[#All],2,0),"CENTRO DE CUSTO")</f>
        <v>CENTRO DE CUSTO</v>
      </c>
      <c r="E258" s="18" t="s">
        <v>16</v>
      </c>
      <c r="F258" s="21">
        <v>441</v>
      </c>
      <c r="G258" s="22">
        <v>1530</v>
      </c>
      <c r="H258" s="22"/>
      <c r="I258" s="22">
        <f t="shared" si="5"/>
        <v>1530</v>
      </c>
      <c r="J258" s="18" t="s">
        <v>1123</v>
      </c>
      <c r="K258" s="18">
        <v>9751428</v>
      </c>
      <c r="L258" s="18">
        <v>851117</v>
      </c>
      <c r="M258" s="18" t="s">
        <v>1457</v>
      </c>
      <c r="N258" s="16" t="s">
        <v>1267</v>
      </c>
      <c r="O258" s="18" t="s">
        <v>1302</v>
      </c>
      <c r="P258" s="18" t="s">
        <v>1275</v>
      </c>
      <c r="Q258" s="29" t="str" cm="1">
        <f t="array" ref="Q258">_xlfn.IFS(
A258="","",
AND(A258&lt;&gt;"",B258=""),"FALTA LANÇAMENTO",
AND(B258&lt;&gt;"",M258=""),"FALTA O PEDIDO",
AND(M258&lt;&gt;"",O258=""),"FALTA NF",
O258&lt;&gt;"","CONCLUÍDO")</f>
        <v>CONCLUÍDO</v>
      </c>
      <c r="R258" s="36"/>
    </row>
    <row r="259" spans="1:18" hidden="1">
      <c r="A259" s="16">
        <v>46043</v>
      </c>
      <c r="B259" s="16">
        <v>46050</v>
      </c>
      <c r="C259" s="21">
        <v>51521017</v>
      </c>
      <c r="D259" s="16" t="str">
        <f>IFERROR(VLOOKUP(Tabela5[[#This Row],[PREFIXO ]],Tabela4[#All],2,0),"CENTRO DE CUSTO")</f>
        <v>CENTRO DE CUSTO</v>
      </c>
      <c r="E259" s="18" t="s">
        <v>16</v>
      </c>
      <c r="F259" s="21">
        <v>442</v>
      </c>
      <c r="G259" s="22">
        <v>1530</v>
      </c>
      <c r="H259" s="22"/>
      <c r="I259" s="22">
        <f t="shared" si="5"/>
        <v>1530</v>
      </c>
      <c r="J259" s="18" t="s">
        <v>1123</v>
      </c>
      <c r="K259" s="18">
        <v>9751422</v>
      </c>
      <c r="L259" s="18">
        <v>851117</v>
      </c>
      <c r="M259" s="18" t="s">
        <v>1457</v>
      </c>
      <c r="N259" s="16" t="s">
        <v>1267</v>
      </c>
      <c r="O259" s="18" t="s">
        <v>1302</v>
      </c>
      <c r="P259" s="18" t="s">
        <v>1275</v>
      </c>
      <c r="Q259" s="29" t="str" cm="1">
        <f t="array" ref="Q259">_xlfn.IFS(
A259="","",
AND(A259&lt;&gt;"",B259=""),"FALTA LANÇAMENTO",
AND(B259&lt;&gt;"",M259=""),"FALTA O PEDIDO",
AND(M259&lt;&gt;"",O259=""),"FALTA NF",
O259&lt;&gt;"","CONCLUÍDO")</f>
        <v>CONCLUÍDO</v>
      </c>
      <c r="R259" s="36"/>
    </row>
    <row r="260" spans="1:18" hidden="1">
      <c r="A260" s="16">
        <v>46043</v>
      </c>
      <c r="B260" s="16">
        <v>46057</v>
      </c>
      <c r="C260" s="21">
        <v>500580347</v>
      </c>
      <c r="D260" s="16" t="str">
        <f>IFERROR(VLOOKUP(Tabela5[[#This Row],[PREFIXO ]],Tabela4[#All],2,0),"CENTRO DE CUSTO")</f>
        <v>Micro-Onibus</v>
      </c>
      <c r="E260" s="18" t="s">
        <v>339</v>
      </c>
      <c r="F260" s="21" t="s">
        <v>1134</v>
      </c>
      <c r="G260" s="22">
        <v>900</v>
      </c>
      <c r="H260" s="22"/>
      <c r="I260" s="22">
        <f t="shared" si="5"/>
        <v>900</v>
      </c>
      <c r="J260" s="18" t="s">
        <v>1085</v>
      </c>
      <c r="K260" s="18">
        <v>5018978</v>
      </c>
      <c r="L260" s="18" t="s">
        <v>1095</v>
      </c>
      <c r="M260" s="18" t="s">
        <v>1095</v>
      </c>
      <c r="N260" s="16" t="s">
        <v>1095</v>
      </c>
      <c r="O260" s="18" t="s">
        <v>1095</v>
      </c>
      <c r="P260" s="18" t="s">
        <v>1095</v>
      </c>
      <c r="Q260" s="29" t="str" cm="1">
        <f t="array" ref="Q260">_xlfn.IFS(
A260="","",
AND(A260&lt;&gt;"",B260=""),"FALTA LANÇAMENTO",
AND(B260&lt;&gt;"",M260=""),"FALTA O PEDIDO",
AND(M260&lt;&gt;"",O260=""),"FALTA NF",
O260&lt;&gt;"","CONCLUÍDO")</f>
        <v>CONCLUÍDO</v>
      </c>
      <c r="R260" s="36"/>
    </row>
    <row r="261" spans="1:18" hidden="1">
      <c r="A261" s="16">
        <v>46043</v>
      </c>
      <c r="B261" s="16">
        <v>46062</v>
      </c>
      <c r="C261" s="21">
        <v>65014011</v>
      </c>
      <c r="D261" s="16" t="str">
        <f>IFERROR(VLOOKUP(Tabela5[[#This Row],[PREFIXO ]],Tabela4[#All],2,0),"CENTRO DE CUSTO")</f>
        <v>CENTRO DE CUSTO</v>
      </c>
      <c r="E261" s="18" t="s">
        <v>29</v>
      </c>
      <c r="F261" s="21">
        <v>54619</v>
      </c>
      <c r="G261" s="22">
        <v>6536</v>
      </c>
      <c r="H261" s="22">
        <v>8800.17</v>
      </c>
      <c r="I261" s="22">
        <f t="shared" si="5"/>
        <v>15336.17</v>
      </c>
      <c r="J261" s="18" t="s">
        <v>1085</v>
      </c>
      <c r="K261" s="18">
        <v>9736168</v>
      </c>
      <c r="L261" s="18">
        <v>859499</v>
      </c>
      <c r="M261" s="18" t="s">
        <v>1458</v>
      </c>
      <c r="N261" s="16" t="s">
        <v>1459</v>
      </c>
      <c r="O261" s="18" t="s">
        <v>1460</v>
      </c>
      <c r="P261" s="18" t="s">
        <v>1461</v>
      </c>
      <c r="Q261" s="29" t="str" cm="1">
        <f t="array" ref="Q261">_xlfn.IFS(
A261="","",
AND(A261&lt;&gt;"",B261=""),"FALTA LANÇAMENTO",
AND(B261&lt;&gt;"",M261=""),"FALTA O PEDIDO",
AND(M261&lt;&gt;"",O261=""),"FALTA NF",
O261&lt;&gt;"","CONCLUÍDO")</f>
        <v>CONCLUÍDO</v>
      </c>
      <c r="R261" s="36"/>
    </row>
    <row r="262" spans="1:18" hidden="1">
      <c r="A262" s="16">
        <v>46043</v>
      </c>
      <c r="B262" s="16">
        <v>46062</v>
      </c>
      <c r="C262" s="21">
        <v>81521205</v>
      </c>
      <c r="D262" s="16" t="str">
        <f>IFERROR(VLOOKUP(Tabela5[[#This Row],[PREFIXO ]],Tabela4[#All],2,0),"CENTRO DE CUSTO")</f>
        <v>SEMI REBOQUE PRANCHA FACCHINI SRCT 4E</v>
      </c>
      <c r="E262" s="18" t="s">
        <v>29</v>
      </c>
      <c r="F262" s="21">
        <v>54620</v>
      </c>
      <c r="G262" s="22">
        <v>4479</v>
      </c>
      <c r="H262" s="22">
        <v>5798.74</v>
      </c>
      <c r="I262" s="22">
        <f t="shared" si="5"/>
        <v>10277.74</v>
      </c>
      <c r="J262" s="18" t="s">
        <v>1085</v>
      </c>
      <c r="K262" s="18">
        <v>9736113</v>
      </c>
      <c r="L262" s="18">
        <v>859461</v>
      </c>
      <c r="M262" s="18" t="s">
        <v>1462</v>
      </c>
      <c r="N262" s="16" t="s">
        <v>1463</v>
      </c>
      <c r="O262" s="18" t="s">
        <v>1464</v>
      </c>
      <c r="P262" s="18" t="s">
        <v>1465</v>
      </c>
      <c r="Q262" s="29" t="str" cm="1">
        <f t="array" ref="Q262">_xlfn.IFS(
A262="","",
AND(A262&lt;&gt;"",B262=""),"FALTA LANÇAMENTO",
AND(B262&lt;&gt;"",M262=""),"FALTA O PEDIDO",
AND(M262&lt;&gt;"",O262=""),"FALTA NF",
O262&lt;&gt;"","CONCLUÍDO")</f>
        <v>CONCLUÍDO</v>
      </c>
      <c r="R262" s="36"/>
    </row>
    <row r="263" spans="1:18" hidden="1">
      <c r="A263" s="16">
        <v>46043</v>
      </c>
      <c r="B263" s="16">
        <v>46057</v>
      </c>
      <c r="C263" s="21">
        <v>61521080</v>
      </c>
      <c r="D263" s="16" t="str">
        <f>IFERROR(VLOOKUP(Tabela5[[#This Row],[PREFIXO ]],Tabela4[#All],2,0),"CENTRO DE CUSTO")</f>
        <v>CAV MEC EXT PES VOLVO FH 540</v>
      </c>
      <c r="E263" s="18" t="s">
        <v>29</v>
      </c>
      <c r="F263" s="21">
        <v>54615</v>
      </c>
      <c r="G263" s="22">
        <v>1135</v>
      </c>
      <c r="H263" s="22">
        <v>551.30999999999995</v>
      </c>
      <c r="I263" s="22">
        <f t="shared" si="5"/>
        <v>1686.31</v>
      </c>
      <c r="J263" s="18" t="s">
        <v>1085</v>
      </c>
      <c r="K263" s="18">
        <v>9736109</v>
      </c>
      <c r="L263" s="18">
        <v>855460</v>
      </c>
      <c r="M263" s="18" t="s">
        <v>1466</v>
      </c>
      <c r="N263" s="16" t="s">
        <v>1418</v>
      </c>
      <c r="O263" s="18" t="s">
        <v>1467</v>
      </c>
      <c r="P263" s="18" t="s">
        <v>1468</v>
      </c>
      <c r="Q263" s="29" t="str" cm="1">
        <f t="array" ref="Q263">_xlfn.IFS(
A263="","",
AND(A263&lt;&gt;"",B263=""),"FALTA LANÇAMENTO",
AND(B263&lt;&gt;"",M263=""),"FALTA O PEDIDO",
AND(M263&lt;&gt;"",O263=""),"FALTA NF",
O263&lt;&gt;"","CONCLUÍDO")</f>
        <v>CONCLUÍDO</v>
      </c>
      <c r="R263" s="36"/>
    </row>
    <row r="264" spans="1:18" hidden="1">
      <c r="A264" s="16">
        <v>46043</v>
      </c>
      <c r="B264" s="16">
        <v>46050</v>
      </c>
      <c r="C264" s="21">
        <v>61521031</v>
      </c>
      <c r="D264" s="16" t="str">
        <f>IFERROR(VLOOKUP(Tabela5[[#This Row],[PREFIXO ]],Tabela4[#All],2,0),"CENTRO DE CUSTO")</f>
        <v>CAV MEC PES MERC BENZ ACTRO 2651</v>
      </c>
      <c r="E264" s="18" t="s">
        <v>29</v>
      </c>
      <c r="F264" s="21">
        <v>54631</v>
      </c>
      <c r="G264" s="22">
        <v>640</v>
      </c>
      <c r="H264" s="22"/>
      <c r="I264" s="22">
        <f t="shared" si="5"/>
        <v>640</v>
      </c>
      <c r="J264" s="18" t="s">
        <v>1085</v>
      </c>
      <c r="K264" s="18">
        <v>9736119</v>
      </c>
      <c r="L264" s="18" t="s">
        <v>1095</v>
      </c>
      <c r="M264" s="18" t="s">
        <v>1095</v>
      </c>
      <c r="N264" s="16" t="s">
        <v>1095</v>
      </c>
      <c r="O264" s="18" t="s">
        <v>1095</v>
      </c>
      <c r="P264" s="18" t="s">
        <v>1095</v>
      </c>
      <c r="Q264" s="29" t="str" cm="1">
        <f t="array" ref="Q264">_xlfn.IFS(
A264="","",
AND(A264&lt;&gt;"",B264=""),"FALTA LANÇAMENTO",
AND(B264&lt;&gt;"",M264=""),"FALTA O PEDIDO",
AND(M264&lt;&gt;"",O264=""),"FALTA NF",
O264&lt;&gt;"","CONCLUÍDO")</f>
        <v>CONCLUÍDO</v>
      </c>
      <c r="R264" s="36"/>
    </row>
    <row r="265" spans="1:18" hidden="1">
      <c r="A265" s="16">
        <v>46043</v>
      </c>
      <c r="B265" s="16">
        <v>46050</v>
      </c>
      <c r="C265" s="21">
        <v>13150008</v>
      </c>
      <c r="D265" s="16" t="str">
        <f>IFERROR(VLOOKUP(Tabela5[[#This Row],[PREFIXO ]],Tabela4[#All],2,0),"CENTRO DE CUSTO")</f>
        <v>CENTRO DE CUSTO</v>
      </c>
      <c r="E265" s="18" t="s">
        <v>34</v>
      </c>
      <c r="F265" s="21">
        <v>69786</v>
      </c>
      <c r="G265" s="22"/>
      <c r="H265" s="22">
        <v>790</v>
      </c>
      <c r="I265" s="22">
        <f t="shared" si="5"/>
        <v>790</v>
      </c>
      <c r="J265" s="18" t="s">
        <v>1080</v>
      </c>
      <c r="K265" s="18">
        <v>9746476</v>
      </c>
      <c r="L265" s="18">
        <v>850965</v>
      </c>
      <c r="M265" s="18" t="s">
        <v>1469</v>
      </c>
      <c r="N265" s="16" t="s">
        <v>1427</v>
      </c>
      <c r="O265" s="18" t="s">
        <v>1470</v>
      </c>
      <c r="P265" s="18" t="s">
        <v>1094</v>
      </c>
      <c r="Q265" s="29" t="str" cm="1">
        <f t="array" ref="Q265">_xlfn.IFS(
A265="","",
AND(A265&lt;&gt;"",B265=""),"FALTA LANÇAMENTO",
AND(B265&lt;&gt;"",M265=""),"FALTA O PEDIDO",
AND(M265&lt;&gt;"",O265=""),"FALTA NF",
O265&lt;&gt;"","CONCLUÍDO")</f>
        <v>CONCLUÍDO</v>
      </c>
      <c r="R265" s="36"/>
    </row>
    <row r="266" spans="1:18" hidden="1">
      <c r="A266" s="16">
        <v>46043</v>
      </c>
      <c r="B266" s="16">
        <v>46050</v>
      </c>
      <c r="C266" s="21">
        <v>13150008</v>
      </c>
      <c r="D266" s="16" t="str">
        <f>IFERROR(VLOOKUP(Tabela5[[#This Row],[PREFIXO ]],Tabela4[#All],2,0),"CENTRO DE CUSTO")</f>
        <v>CENTRO DE CUSTO</v>
      </c>
      <c r="E266" s="18" t="s">
        <v>34</v>
      </c>
      <c r="F266" s="21">
        <v>40286</v>
      </c>
      <c r="G266" s="22">
        <v>188</v>
      </c>
      <c r="H266" s="22"/>
      <c r="I266" s="22">
        <f t="shared" si="5"/>
        <v>188</v>
      </c>
      <c r="J266" s="18" t="s">
        <v>1080</v>
      </c>
      <c r="K266" s="18">
        <v>9746476</v>
      </c>
      <c r="L266" s="18">
        <v>850965</v>
      </c>
      <c r="M266" s="18" t="s">
        <v>1469</v>
      </c>
      <c r="N266" s="16" t="s">
        <v>1427</v>
      </c>
      <c r="O266" s="18" t="s">
        <v>1470</v>
      </c>
      <c r="P266" s="18" t="s">
        <v>1094</v>
      </c>
      <c r="Q266" s="29" t="str" cm="1">
        <f t="array" ref="Q266">_xlfn.IFS(
A266="","",
AND(A266&lt;&gt;"",B266=""),"FALTA LANÇAMENTO",
AND(B266&lt;&gt;"",M266=""),"FALTA O PEDIDO",
AND(M266&lt;&gt;"",O266=""),"FALTA NF",
O266&lt;&gt;"","CONCLUÍDO")</f>
        <v>CONCLUÍDO</v>
      </c>
      <c r="R266" s="36"/>
    </row>
    <row r="267" spans="1:18" hidden="1">
      <c r="A267" s="16">
        <v>46043</v>
      </c>
      <c r="B267" s="16">
        <v>46050</v>
      </c>
      <c r="C267" s="21">
        <v>81521332</v>
      </c>
      <c r="D267" s="16" t="str">
        <f>IFERROR(VLOOKUP(Tabela5[[#This Row],[PREFIXO ]],Tabela4[#All],2,0),"CENTRO DE CUSTO")</f>
        <v>PLANT GRÃOS N.HOLLAND PL7000 60 LINHAS</v>
      </c>
      <c r="E267" s="18" t="s">
        <v>311</v>
      </c>
      <c r="F267" s="21">
        <v>683</v>
      </c>
      <c r="G267" s="22">
        <v>3650</v>
      </c>
      <c r="H267" s="22"/>
      <c r="I267" s="22">
        <f t="shared" si="5"/>
        <v>3650</v>
      </c>
      <c r="J267" s="18" t="s">
        <v>1199</v>
      </c>
      <c r="K267" s="18">
        <v>9751065</v>
      </c>
      <c r="L267" s="18">
        <v>851046</v>
      </c>
      <c r="M267" s="18" t="s">
        <v>1471</v>
      </c>
      <c r="N267" s="16" t="s">
        <v>1267</v>
      </c>
      <c r="O267" s="18" t="s">
        <v>1311</v>
      </c>
      <c r="P267" s="18" t="s">
        <v>1275</v>
      </c>
      <c r="Q267" s="29" t="str" cm="1">
        <f t="array" ref="Q267">_xlfn.IFS(
A267="","",
AND(A267&lt;&gt;"",B267=""),"FALTA LANÇAMENTO",
AND(B267&lt;&gt;"",M267=""),"FALTA O PEDIDO",
AND(M267&lt;&gt;"",O267=""),"FALTA NF",
O267&lt;&gt;"","CONCLUÍDO")</f>
        <v>CONCLUÍDO</v>
      </c>
      <c r="R267" s="36"/>
    </row>
    <row r="268" spans="1:18" hidden="1">
      <c r="A268" s="16">
        <v>46043</v>
      </c>
      <c r="B268" s="16">
        <v>46050</v>
      </c>
      <c r="C268" s="21">
        <v>81521317</v>
      </c>
      <c r="D268" s="16" t="str">
        <f>IFERROR(VLOOKUP(Tabela5[[#This Row],[PREFIXO ]],Tabela4[#All],2,0),"CENTRO DE CUSTO")</f>
        <v>PLANT GRÃOS JOHN DEERE DB90 ME 60 LINHAS</v>
      </c>
      <c r="E268" s="18" t="s">
        <v>311</v>
      </c>
      <c r="F268" s="21">
        <v>680</v>
      </c>
      <c r="G268" s="22">
        <v>3650</v>
      </c>
      <c r="H268" s="22"/>
      <c r="I268" s="22">
        <f t="shared" si="5"/>
        <v>3650</v>
      </c>
      <c r="J268" s="18" t="s">
        <v>1199</v>
      </c>
      <c r="K268" s="18">
        <v>9751068</v>
      </c>
      <c r="L268" s="18">
        <v>851046</v>
      </c>
      <c r="M268" s="18" t="s">
        <v>1471</v>
      </c>
      <c r="N268" s="16" t="s">
        <v>1267</v>
      </c>
      <c r="O268" s="18" t="s">
        <v>1311</v>
      </c>
      <c r="P268" s="18" t="s">
        <v>1275</v>
      </c>
      <c r="Q268" s="29" t="str" cm="1">
        <f t="array" ref="Q268">_xlfn.IFS(
A268="","",
AND(A268&lt;&gt;"",B268=""),"FALTA LANÇAMENTO",
AND(B268&lt;&gt;"",M268=""),"FALTA O PEDIDO",
AND(M268&lt;&gt;"",O268=""),"FALTA NF",
O268&lt;&gt;"","CONCLUÍDO")</f>
        <v>CONCLUÍDO</v>
      </c>
      <c r="R268" s="36"/>
    </row>
    <row r="269" spans="1:18" hidden="1">
      <c r="A269" s="16">
        <v>46043</v>
      </c>
      <c r="B269" s="16">
        <v>46050</v>
      </c>
      <c r="C269" s="21" t="s">
        <v>1472</v>
      </c>
      <c r="D269" s="16" t="str">
        <f>IFERROR(VLOOKUP(Tabela5[[#This Row],[PREFIXO ]],Tabela4[#All],2,0),"CENTRO DE CUSTO")</f>
        <v>CENTRO DE CUSTO</v>
      </c>
      <c r="E269" s="18" t="s">
        <v>311</v>
      </c>
      <c r="F269" s="21">
        <v>682</v>
      </c>
      <c r="G269" s="22">
        <v>1000</v>
      </c>
      <c r="H269" s="22"/>
      <c r="I269" s="22">
        <f t="shared" si="5"/>
        <v>1000</v>
      </c>
      <c r="J269" s="18" t="s">
        <v>1199</v>
      </c>
      <c r="K269" s="18" t="s">
        <v>1473</v>
      </c>
      <c r="L269" s="18">
        <v>851046</v>
      </c>
      <c r="M269" s="18" t="s">
        <v>1471</v>
      </c>
      <c r="N269" s="16" t="s">
        <v>1267</v>
      </c>
      <c r="O269" s="18" t="s">
        <v>1311</v>
      </c>
      <c r="P269" s="18" t="s">
        <v>1275</v>
      </c>
      <c r="Q269" s="29" t="str" cm="1">
        <f t="array" ref="Q269">_xlfn.IFS(
A269="","",
AND(A269&lt;&gt;"",B269=""),"FALTA LANÇAMENTO",
AND(B269&lt;&gt;"",M269=""),"FALTA O PEDIDO",
AND(M269&lt;&gt;"",O269=""),"FALTA NF",
O269&lt;&gt;"","CONCLUÍDO")</f>
        <v>CONCLUÍDO</v>
      </c>
      <c r="R269" s="36"/>
    </row>
    <row r="270" spans="1:18" hidden="1">
      <c r="A270" s="16">
        <v>46043</v>
      </c>
      <c r="B270" s="16">
        <v>46050</v>
      </c>
      <c r="C270" s="21">
        <v>85048102</v>
      </c>
      <c r="D270" s="16" t="str">
        <f>IFERROR(VLOOKUP(Tabela5[[#This Row],[PREFIXO ]],Tabela4[#All],2,0),"CENTRO DE CUSTO")</f>
        <v>CENTRO DE CUSTO</v>
      </c>
      <c r="E270" s="18" t="s">
        <v>311</v>
      </c>
      <c r="F270" s="21">
        <v>681</v>
      </c>
      <c r="G270" s="22">
        <v>500</v>
      </c>
      <c r="H270" s="22"/>
      <c r="I270" s="22">
        <f t="shared" si="5"/>
        <v>500</v>
      </c>
      <c r="J270" s="18" t="s">
        <v>1199</v>
      </c>
      <c r="K270" s="18">
        <v>9751032</v>
      </c>
      <c r="L270" s="18">
        <v>851046</v>
      </c>
      <c r="M270" s="18" t="s">
        <v>1471</v>
      </c>
      <c r="N270" s="16" t="s">
        <v>1267</v>
      </c>
      <c r="O270" s="18" t="s">
        <v>1311</v>
      </c>
      <c r="P270" s="18" t="s">
        <v>1275</v>
      </c>
      <c r="Q270" s="29" t="str" cm="1">
        <f t="array" ref="Q270">_xlfn.IFS(
A270="","",
AND(A270&lt;&gt;"",B270=""),"FALTA LANÇAMENTO",
AND(B270&lt;&gt;"",M270=""),"FALTA O PEDIDO",
AND(M270&lt;&gt;"",O270=""),"FALTA NF",
O270&lt;&gt;"","CONCLUÍDO")</f>
        <v>CONCLUÍDO</v>
      </c>
      <c r="R270" s="36"/>
    </row>
    <row r="271" spans="1:18" hidden="1">
      <c r="A271" s="16">
        <v>46043</v>
      </c>
      <c r="B271" s="16">
        <v>46052</v>
      </c>
      <c r="C271" s="21">
        <v>17020053</v>
      </c>
      <c r="D271" s="16" t="str">
        <f>IFERROR(VLOOKUP(Tabela5[[#This Row],[PREFIXO ]],Tabela4[#All],2,0),"CENTRO DE CUSTO")</f>
        <v>SOPRADOR COSTAL STIHL BR800</v>
      </c>
      <c r="E271" s="18" t="s">
        <v>40</v>
      </c>
      <c r="F271" s="21">
        <v>139304</v>
      </c>
      <c r="G271" s="22">
        <v>189</v>
      </c>
      <c r="H271" s="22">
        <v>922.02</v>
      </c>
      <c r="I271" s="22">
        <f t="shared" si="5"/>
        <v>1111.02</v>
      </c>
      <c r="J271" s="18" t="s">
        <v>1085</v>
      </c>
      <c r="K271" s="18">
        <v>9753536</v>
      </c>
      <c r="L271" s="18">
        <v>852738</v>
      </c>
      <c r="M271" s="18" t="s">
        <v>1474</v>
      </c>
      <c r="N271" s="16" t="s">
        <v>1267</v>
      </c>
      <c r="O271" s="18" t="s">
        <v>1475</v>
      </c>
      <c r="P271" s="18" t="s">
        <v>1398</v>
      </c>
      <c r="Q271" s="29" t="str" cm="1">
        <f t="array" ref="Q271">_xlfn.IFS(
A271="","",
AND(A271&lt;&gt;"",B271=""),"FALTA LANÇAMENTO",
AND(B271&lt;&gt;"",M271=""),"FALTA O PEDIDO",
AND(M271&lt;&gt;"",O271=""),"FALTA NF",
O271&lt;&gt;"","CONCLUÍDO")</f>
        <v>CONCLUÍDO</v>
      </c>
      <c r="R271" s="36"/>
    </row>
    <row r="272" spans="1:18" hidden="1">
      <c r="A272" s="16">
        <v>46043</v>
      </c>
      <c r="B272" s="16">
        <v>46052</v>
      </c>
      <c r="C272" s="21">
        <v>17020054</v>
      </c>
      <c r="D272" s="16" t="str">
        <f>IFERROR(VLOOKUP(Tabela5[[#This Row],[PREFIXO ]],Tabela4[#All],2,0),"CENTRO DE CUSTO")</f>
        <v>CENTRO DE CUSTO</v>
      </c>
      <c r="E272" s="18" t="s">
        <v>40</v>
      </c>
      <c r="F272" s="21">
        <v>139303</v>
      </c>
      <c r="G272" s="22">
        <v>286</v>
      </c>
      <c r="H272" s="22">
        <v>684.22</v>
      </c>
      <c r="I272" s="22">
        <f t="shared" si="5"/>
        <v>970.22</v>
      </c>
      <c r="J272" s="18" t="s">
        <v>1085</v>
      </c>
      <c r="K272" s="18">
        <v>9753535</v>
      </c>
      <c r="L272" s="18">
        <v>852721</v>
      </c>
      <c r="M272" s="18" t="s">
        <v>1476</v>
      </c>
      <c r="N272" s="16" t="s">
        <v>1284</v>
      </c>
      <c r="O272" s="18" t="s">
        <v>1477</v>
      </c>
      <c r="P272" s="18" t="s">
        <v>1398</v>
      </c>
      <c r="Q272" s="29" t="str" cm="1">
        <f t="array" ref="Q272">_xlfn.IFS(
A272="","",
AND(A272&lt;&gt;"",B272=""),"FALTA LANÇAMENTO",
AND(B272&lt;&gt;"",M272=""),"FALTA O PEDIDO",
AND(M272&lt;&gt;"",O272=""),"FALTA NF",
O272&lt;&gt;"","CONCLUÍDO")</f>
        <v>CONCLUÍDO</v>
      </c>
      <c r="R272" s="36"/>
    </row>
    <row r="273" spans="1:18" hidden="1">
      <c r="A273" s="16">
        <v>46043</v>
      </c>
      <c r="B273" s="16">
        <v>46050</v>
      </c>
      <c r="C273" s="21">
        <v>12010003</v>
      </c>
      <c r="D273" s="16" t="str">
        <f>IFERROR(VLOOKUP(Tabela5[[#This Row],[PREFIXO ]],Tabela4[#All],2,0),"CENTRO DE CUSTO")</f>
        <v>CAMINHONETE FORD RANGER XLT 3.0 4X4 A</v>
      </c>
      <c r="E273" s="18" t="s">
        <v>284</v>
      </c>
      <c r="F273" s="21">
        <v>3936</v>
      </c>
      <c r="G273" s="22">
        <v>460</v>
      </c>
      <c r="H273" s="22">
        <v>3594</v>
      </c>
      <c r="I273" s="22">
        <f t="shared" si="5"/>
        <v>4054</v>
      </c>
      <c r="J273" s="18" t="s">
        <v>1085</v>
      </c>
      <c r="K273" s="18">
        <v>9746354</v>
      </c>
      <c r="L273" s="18">
        <v>850900</v>
      </c>
      <c r="M273" s="18" t="s">
        <v>1478</v>
      </c>
      <c r="N273" s="16" t="s">
        <v>1427</v>
      </c>
      <c r="O273" s="18" t="s">
        <v>1479</v>
      </c>
      <c r="P273" s="18" t="s">
        <v>1480</v>
      </c>
      <c r="Q273" s="29" t="str" cm="1">
        <f t="array" ref="Q273">_xlfn.IFS(
A273="","",
AND(A273&lt;&gt;"",B273=""),"FALTA LANÇAMENTO",
AND(B273&lt;&gt;"",M273=""),"FALTA O PEDIDO",
AND(M273&lt;&gt;"",O273=""),"FALTA NF",
O273&lt;&gt;"","CONCLUÍDO")</f>
        <v>CONCLUÍDO</v>
      </c>
      <c r="R273" s="36"/>
    </row>
    <row r="274" spans="1:18" hidden="1">
      <c r="A274" s="16">
        <v>46043</v>
      </c>
      <c r="B274" s="16">
        <v>46049</v>
      </c>
      <c r="C274" s="21" t="s">
        <v>1481</v>
      </c>
      <c r="D274" s="16" t="str">
        <f>IFERROR(VLOOKUP(Tabela5[[#This Row],[PREFIXO ]],Tabela4[#All],2,0),"CENTRO DE CUSTO")</f>
        <v>CENTRO DE CUSTO</v>
      </c>
      <c r="E274" s="18" t="s">
        <v>109</v>
      </c>
      <c r="F274" s="21" t="s">
        <v>1134</v>
      </c>
      <c r="G274" s="22">
        <v>5000</v>
      </c>
      <c r="H274" s="22">
        <v>8726</v>
      </c>
      <c r="I274" s="22">
        <f t="shared" si="5"/>
        <v>13726</v>
      </c>
      <c r="J274" s="18" t="s">
        <v>1482</v>
      </c>
      <c r="K274" s="18" t="s">
        <v>1483</v>
      </c>
      <c r="L274" s="18">
        <v>849049</v>
      </c>
      <c r="M274" s="18" t="s">
        <v>1484</v>
      </c>
      <c r="N274" s="16" t="s">
        <v>1316</v>
      </c>
      <c r="O274" s="18" t="s">
        <v>1485</v>
      </c>
      <c r="P274" s="18" t="s">
        <v>1486</v>
      </c>
      <c r="Q274" s="29" t="str" cm="1">
        <f t="array" ref="Q274">_xlfn.IFS(
A274="","",
AND(A274&lt;&gt;"",B274=""),"FALTA LANÇAMENTO",
AND(B274&lt;&gt;"",M274=""),"FALTA O PEDIDO",
AND(M274&lt;&gt;"",O274=""),"FALTA NF",
O274&lt;&gt;"","CONCLUÍDO")</f>
        <v>CONCLUÍDO</v>
      </c>
      <c r="R274" s="36"/>
    </row>
    <row r="275" spans="1:18" hidden="1">
      <c r="A275" s="16">
        <v>46043</v>
      </c>
      <c r="B275" s="16">
        <v>46057</v>
      </c>
      <c r="C275" s="21">
        <v>1731018</v>
      </c>
      <c r="D275" s="16" t="str">
        <f>IFERROR(VLOOKUP(Tabela5[[#This Row],[PREFIXO ]],Tabela4[#All],2,0),"CENTRO DE CUSTO")</f>
        <v>TRAT PN LEVE M FERGUSON MF 275</v>
      </c>
      <c r="E275" s="18" t="s">
        <v>96</v>
      </c>
      <c r="F275" s="21">
        <v>15049</v>
      </c>
      <c r="G275" s="22"/>
      <c r="H275" s="22">
        <v>2686.65</v>
      </c>
      <c r="I275" s="22">
        <f t="shared" si="5"/>
        <v>2686.65</v>
      </c>
      <c r="J275" s="18" t="s">
        <v>1199</v>
      </c>
      <c r="K275" s="18">
        <v>9746182</v>
      </c>
      <c r="L275" s="18">
        <v>854992</v>
      </c>
      <c r="M275" s="18" t="s">
        <v>1487</v>
      </c>
      <c r="N275" s="16" t="s">
        <v>1418</v>
      </c>
      <c r="O275" s="18" t="s">
        <v>1488</v>
      </c>
      <c r="P275" s="18" t="s">
        <v>1489</v>
      </c>
      <c r="Q275" s="29" t="str" cm="1">
        <f t="array" ref="Q275">_xlfn.IFS(
A275="","",
AND(A275&lt;&gt;"",B275=""),"FALTA LANÇAMENTO",
AND(B275&lt;&gt;"",M275=""),"FALTA O PEDIDO",
AND(M275&lt;&gt;"",O275=""),"FALTA NF",
O275&lt;&gt;"","CONCLUÍDO")</f>
        <v>CONCLUÍDO</v>
      </c>
      <c r="R275" s="36"/>
    </row>
    <row r="276" spans="1:18" hidden="1">
      <c r="A276" s="16">
        <v>46043</v>
      </c>
      <c r="B276" s="16">
        <v>46057</v>
      </c>
      <c r="C276" s="21">
        <v>61521079</v>
      </c>
      <c r="D276" s="16" t="str">
        <f>IFERROR(VLOOKUP(Tabela5[[#This Row],[PREFIXO ]],Tabela4[#All],2,0),"CENTRO DE CUSTO")</f>
        <v>CAM PIPA BOMB VOLVO VM 330</v>
      </c>
      <c r="E276" s="18" t="s">
        <v>96</v>
      </c>
      <c r="F276" s="21">
        <v>15030</v>
      </c>
      <c r="G276" s="22"/>
      <c r="H276" s="22">
        <v>2250.33</v>
      </c>
      <c r="I276" s="22">
        <f t="shared" si="5"/>
        <v>2250.33</v>
      </c>
      <c r="J276" s="18" t="s">
        <v>1085</v>
      </c>
      <c r="K276" s="18">
        <v>9746266</v>
      </c>
      <c r="L276" s="18">
        <v>855633</v>
      </c>
      <c r="M276" s="18" t="s">
        <v>1490</v>
      </c>
      <c r="N276" s="16" t="s">
        <v>1418</v>
      </c>
      <c r="O276" s="18" t="s">
        <v>1491</v>
      </c>
      <c r="P276" s="18" t="s">
        <v>1492</v>
      </c>
      <c r="Q276" s="29" t="str" cm="1">
        <f t="array" ref="Q276">_xlfn.IFS(
A276="","",
AND(A276&lt;&gt;"",B276=""),"FALTA LANÇAMENTO",
AND(B276&lt;&gt;"",M276=""),"FALTA O PEDIDO",
AND(M276&lt;&gt;"",O276=""),"FALTA NF",
O276&lt;&gt;"","CONCLUÍDO")</f>
        <v>CONCLUÍDO</v>
      </c>
      <c r="R276" s="36"/>
    </row>
    <row r="277" spans="1:18" hidden="1">
      <c r="A277" s="16">
        <v>46043</v>
      </c>
      <c r="B277" s="16">
        <v>46057</v>
      </c>
      <c r="C277" s="21">
        <v>61521079</v>
      </c>
      <c r="D277" s="16" t="str">
        <f>IFERROR(VLOOKUP(Tabela5[[#This Row],[PREFIXO ]],Tabela4[#All],2,0),"CENTRO DE CUSTO")</f>
        <v>CAM PIPA BOMB VOLVO VM 330</v>
      </c>
      <c r="E277" s="18" t="s">
        <v>96</v>
      </c>
      <c r="F277" s="21">
        <v>3997</v>
      </c>
      <c r="G277" s="22">
        <v>1539</v>
      </c>
      <c r="H277" s="22"/>
      <c r="I277" s="22">
        <f t="shared" si="5"/>
        <v>1539</v>
      </c>
      <c r="J277" s="18" t="s">
        <v>1085</v>
      </c>
      <c r="K277" s="18">
        <v>9746266</v>
      </c>
      <c r="L277" s="18">
        <v>855633</v>
      </c>
      <c r="M277" s="18" t="s">
        <v>1493</v>
      </c>
      <c r="N277" s="16" t="s">
        <v>1418</v>
      </c>
      <c r="O277" s="18" t="s">
        <v>1494</v>
      </c>
      <c r="P277" s="18" t="s">
        <v>1495</v>
      </c>
      <c r="Q277" s="29" t="str" cm="1">
        <f t="array" ref="Q277">_xlfn.IFS(
A277="","",
AND(A277&lt;&gt;"",B277=""),"FALTA LANÇAMENTO",
AND(B277&lt;&gt;"",M277=""),"FALTA O PEDIDO",
AND(M277&lt;&gt;"",O277=""),"FALTA NF",
O277&lt;&gt;"","CONCLUÍDO")</f>
        <v>CONCLUÍDO</v>
      </c>
      <c r="R277" s="36"/>
    </row>
    <row r="278" spans="1:18" hidden="1">
      <c r="A278" s="16">
        <v>46043</v>
      </c>
      <c r="B278" s="16">
        <v>46050</v>
      </c>
      <c r="C278" s="21">
        <v>51521101</v>
      </c>
      <c r="D278" s="16" t="str">
        <f>IFERROR(VLOOKUP(Tabela5[[#This Row],[PREFIXO ]],Tabela4[#All],2,0),"CENTRO DE CUSTO")</f>
        <v>COLHEIT DE GRÃOS N.HOLLAND CR 8.90</v>
      </c>
      <c r="E278" s="18" t="s">
        <v>96</v>
      </c>
      <c r="F278" s="21">
        <v>15047</v>
      </c>
      <c r="G278" s="22"/>
      <c r="H278" s="22">
        <v>1221.23</v>
      </c>
      <c r="I278" s="22">
        <f t="shared" si="5"/>
        <v>1221.23</v>
      </c>
      <c r="J278" s="18" t="s">
        <v>1123</v>
      </c>
      <c r="K278" s="18">
        <v>9746272</v>
      </c>
      <c r="L278" s="18">
        <v>850792</v>
      </c>
      <c r="M278" s="18" t="s">
        <v>1496</v>
      </c>
      <c r="N278" s="16" t="s">
        <v>1427</v>
      </c>
      <c r="O278" s="18" t="s">
        <v>1497</v>
      </c>
      <c r="P278" s="18" t="s">
        <v>1498</v>
      </c>
      <c r="Q278" s="29" t="str" cm="1">
        <f t="array" ref="Q278">_xlfn.IFS(
A278="","",
AND(A278&lt;&gt;"",B278=""),"FALTA LANÇAMENTO",
AND(B278&lt;&gt;"",M278=""),"FALTA O PEDIDO",
AND(M278&lt;&gt;"",O278=""),"FALTA NF",
O278&lt;&gt;"","CONCLUÍDO")</f>
        <v>CONCLUÍDO</v>
      </c>
      <c r="R278" s="36"/>
    </row>
    <row r="279" spans="1:18" hidden="1">
      <c r="A279" s="16">
        <v>46043</v>
      </c>
      <c r="B279" s="16">
        <v>46057</v>
      </c>
      <c r="C279" s="21">
        <v>51519034</v>
      </c>
      <c r="D279" s="16" t="str">
        <f>IFERROR(VLOOKUP(Tabela5[[#This Row],[PREFIXO ]],Tabela4[#All],2,0),"CENTRO DE CUSTO")</f>
        <v>COLHEIT DE GRÃOS N.HOLLAND CR 8.90</v>
      </c>
      <c r="E279" s="18" t="s">
        <v>96</v>
      </c>
      <c r="F279" s="21">
        <v>15016</v>
      </c>
      <c r="G279" s="22"/>
      <c r="H279" s="22">
        <v>1100.24</v>
      </c>
      <c r="I279" s="22">
        <f t="shared" si="5"/>
        <v>1100.24</v>
      </c>
      <c r="J279" s="18" t="s">
        <v>1113</v>
      </c>
      <c r="K279" s="18">
        <v>9746399</v>
      </c>
      <c r="L279" s="18">
        <v>855383</v>
      </c>
      <c r="M279" s="18" t="s">
        <v>1499</v>
      </c>
      <c r="N279" s="16" t="s">
        <v>1418</v>
      </c>
      <c r="O279" s="18" t="s">
        <v>1500</v>
      </c>
      <c r="P279" s="18" t="s">
        <v>1501</v>
      </c>
      <c r="Q279" s="29" t="str" cm="1">
        <f t="array" ref="Q279">_xlfn.IFS(
A279="","",
AND(A279&lt;&gt;"",B279=""),"FALTA LANÇAMENTO",
AND(B279&lt;&gt;"",M279=""),"FALTA O PEDIDO",
AND(M279&lt;&gt;"",O279=""),"FALTA NF",
O279&lt;&gt;"","CONCLUÍDO")</f>
        <v>CONCLUÍDO</v>
      </c>
      <c r="R279" s="36"/>
    </row>
    <row r="280" spans="1:18" hidden="1">
      <c r="A280" s="16">
        <v>46043</v>
      </c>
      <c r="B280" s="16">
        <v>46050</v>
      </c>
      <c r="C280" s="21">
        <v>13150008</v>
      </c>
      <c r="D280" s="16" t="str">
        <f>IFERROR(VLOOKUP(Tabela5[[#This Row],[PREFIXO ]],Tabela4[#All],2,0),"CENTRO DE CUSTO")</f>
        <v>CENTRO DE CUSTO</v>
      </c>
      <c r="E280" s="18" t="s">
        <v>96</v>
      </c>
      <c r="F280" s="21">
        <v>3978</v>
      </c>
      <c r="G280" s="22">
        <v>900</v>
      </c>
      <c r="H280" s="22"/>
      <c r="I280" s="22">
        <f t="shared" si="5"/>
        <v>900</v>
      </c>
      <c r="J280" s="18" t="s">
        <v>1080</v>
      </c>
      <c r="K280" s="18">
        <v>9746394</v>
      </c>
      <c r="L280" s="18">
        <v>850679</v>
      </c>
      <c r="M280" s="18" t="s">
        <v>1502</v>
      </c>
      <c r="N280" s="16" t="s">
        <v>1427</v>
      </c>
      <c r="O280" s="18" t="s">
        <v>1503</v>
      </c>
      <c r="P280" s="18" t="s">
        <v>1268</v>
      </c>
      <c r="Q280" s="29" t="str" cm="1">
        <f t="array" ref="Q280">_xlfn.IFS(
A280="","",
AND(A280&lt;&gt;"",B280=""),"FALTA LANÇAMENTO",
AND(B280&lt;&gt;"",M280=""),"FALTA O PEDIDO",
AND(M280&lt;&gt;"",O280=""),"FALTA NF",
O280&lt;&gt;"","CONCLUÍDO")</f>
        <v>CONCLUÍDO</v>
      </c>
      <c r="R280" s="36"/>
    </row>
    <row r="281" spans="1:18" hidden="1">
      <c r="A281" s="16">
        <v>46043</v>
      </c>
      <c r="B281" s="16">
        <v>46057</v>
      </c>
      <c r="C281" s="21">
        <v>500580094</v>
      </c>
      <c r="D281" s="16" t="str">
        <f>IFERROR(VLOOKUP(Tabela5[[#This Row],[PREFIXO ]],Tabela4[#All],2,0),"CENTRO DE CUSTO")</f>
        <v>Rolos Faca</v>
      </c>
      <c r="E281" s="18" t="s">
        <v>96</v>
      </c>
      <c r="F281" s="21">
        <v>15065</v>
      </c>
      <c r="G281" s="22">
        <v>789.12</v>
      </c>
      <c r="H281" s="22"/>
      <c r="I281" s="22">
        <f t="shared" si="5"/>
        <v>789.12</v>
      </c>
      <c r="J281" s="18" t="s">
        <v>1199</v>
      </c>
      <c r="K281" s="18">
        <v>5018979</v>
      </c>
      <c r="L281" s="18">
        <v>855443</v>
      </c>
      <c r="M281" s="18" t="s">
        <v>1504</v>
      </c>
      <c r="N281" s="16" t="s">
        <v>1418</v>
      </c>
      <c r="O281" s="18" t="s">
        <v>1505</v>
      </c>
      <c r="P281" s="18" t="s">
        <v>1489</v>
      </c>
      <c r="Q281" s="29" t="str" cm="1">
        <f t="array" ref="Q281">_xlfn.IFS(
A281="","",
AND(A281&lt;&gt;"",B281=""),"FALTA LANÇAMENTO",
AND(B281&lt;&gt;"",M281=""),"FALTA O PEDIDO",
AND(M281&lt;&gt;"",O281=""),"FALTA NF",
O281&lt;&gt;"","CONCLUÍDO")</f>
        <v>CONCLUÍDO</v>
      </c>
      <c r="R281" s="36"/>
    </row>
    <row r="282" spans="1:18" hidden="1">
      <c r="A282" s="16">
        <v>46043</v>
      </c>
      <c r="B282" s="16">
        <v>46050</v>
      </c>
      <c r="C282" s="21">
        <v>65014011</v>
      </c>
      <c r="D282" s="16" t="str">
        <f>IFERROR(VLOOKUP(Tabela5[[#This Row],[PREFIXO ]],Tabela4[#All],2,0),"CENTRO DE CUSTO")</f>
        <v>CENTRO DE CUSTO</v>
      </c>
      <c r="E282" s="18" t="s">
        <v>96</v>
      </c>
      <c r="F282" s="21">
        <v>3993</v>
      </c>
      <c r="G282" s="22">
        <v>756</v>
      </c>
      <c r="H282" s="22"/>
      <c r="I282" s="22">
        <f t="shared" si="5"/>
        <v>756</v>
      </c>
      <c r="J282" s="18" t="s">
        <v>1085</v>
      </c>
      <c r="K282" s="18">
        <v>9746270</v>
      </c>
      <c r="L282" s="18">
        <v>850680</v>
      </c>
      <c r="M282" s="18" t="s">
        <v>1506</v>
      </c>
      <c r="N282" s="16" t="s">
        <v>1507</v>
      </c>
      <c r="O282" s="18" t="s">
        <v>1508</v>
      </c>
      <c r="P282" s="18" t="s">
        <v>1268</v>
      </c>
      <c r="Q282" s="29" t="str" cm="1">
        <f t="array" ref="Q282">_xlfn.IFS(
A282="","",
AND(A282&lt;&gt;"",B282=""),"FALTA LANÇAMENTO",
AND(B282&lt;&gt;"",M282=""),"FALTA O PEDIDO",
AND(M282&lt;&gt;"",O282=""),"FALTA NF",
O282&lt;&gt;"","CONCLUÍDO")</f>
        <v>CONCLUÍDO</v>
      </c>
      <c r="R282" s="36"/>
    </row>
    <row r="283" spans="1:18" hidden="1">
      <c r="A283" s="16">
        <v>46043</v>
      </c>
      <c r="B283" s="16">
        <v>46050</v>
      </c>
      <c r="C283" s="21">
        <v>65014011</v>
      </c>
      <c r="D283" s="16" t="str">
        <f>IFERROR(VLOOKUP(Tabela5[[#This Row],[PREFIXO ]],Tabela4[#All],2,0),"CENTRO DE CUSTO")</f>
        <v>CENTRO DE CUSTO</v>
      </c>
      <c r="E283" s="18" t="s">
        <v>96</v>
      </c>
      <c r="F283" s="21">
        <v>15009</v>
      </c>
      <c r="G283" s="22"/>
      <c r="H283" s="22">
        <v>731.29</v>
      </c>
      <c r="I283" s="22">
        <f t="shared" si="5"/>
        <v>731.29</v>
      </c>
      <c r="J283" s="18" t="s">
        <v>1085</v>
      </c>
      <c r="K283" s="18">
        <v>9746270</v>
      </c>
      <c r="L283" s="18">
        <v>850680</v>
      </c>
      <c r="M283" s="18" t="s">
        <v>1506</v>
      </c>
      <c r="N283" s="16" t="s">
        <v>1507</v>
      </c>
      <c r="O283" s="18" t="s">
        <v>1508</v>
      </c>
      <c r="P283" s="18" t="s">
        <v>1268</v>
      </c>
      <c r="Q283" s="29" t="str" cm="1">
        <f t="array" ref="Q283">_xlfn.IFS(
A283="","",
AND(A283&lt;&gt;"",B283=""),"FALTA LANÇAMENTO",
AND(B283&lt;&gt;"",M283=""),"FALTA O PEDIDO",
AND(M283&lt;&gt;"",O283=""),"FALTA NF",
O283&lt;&gt;"","CONCLUÍDO")</f>
        <v>CONCLUÍDO</v>
      </c>
      <c r="R283" s="36"/>
    </row>
    <row r="284" spans="1:18" hidden="1">
      <c r="A284" s="16">
        <v>46043</v>
      </c>
      <c r="B284" s="16">
        <v>46050</v>
      </c>
      <c r="C284" s="21">
        <v>13150008</v>
      </c>
      <c r="D284" s="16" t="str">
        <f>IFERROR(VLOOKUP(Tabela5[[#This Row],[PREFIXO ]],Tabela4[#All],2,0),"CENTRO DE CUSTO")</f>
        <v>CENTRO DE CUSTO</v>
      </c>
      <c r="E284" s="18" t="s">
        <v>96</v>
      </c>
      <c r="F284" s="21">
        <v>14991</v>
      </c>
      <c r="G284" s="22"/>
      <c r="H284" s="22">
        <v>687.39</v>
      </c>
      <c r="I284" s="22">
        <f t="shared" si="5"/>
        <v>687.39</v>
      </c>
      <c r="J284" s="18" t="s">
        <v>1080</v>
      </c>
      <c r="K284" s="18">
        <v>9746394</v>
      </c>
      <c r="L284" s="18">
        <v>850679</v>
      </c>
      <c r="M284" s="18" t="s">
        <v>1502</v>
      </c>
      <c r="N284" s="16" t="s">
        <v>1427</v>
      </c>
      <c r="O284" s="18" t="s">
        <v>1503</v>
      </c>
      <c r="P284" s="18" t="s">
        <v>1268</v>
      </c>
      <c r="Q284" s="29" t="str" cm="1">
        <f t="array" ref="Q284">_xlfn.IFS(
A284="","",
AND(A284&lt;&gt;"",B284=""),"FALTA LANÇAMENTO",
AND(B284&lt;&gt;"",M284=""),"FALTA O PEDIDO",
AND(M284&lt;&gt;"",O284=""),"FALTA NF",
O284&lt;&gt;"","CONCLUÍDO")</f>
        <v>CONCLUÍDO</v>
      </c>
      <c r="R284" s="36"/>
    </row>
    <row r="285" spans="1:18" hidden="1">
      <c r="A285" s="16">
        <v>46043</v>
      </c>
      <c r="B285" s="16">
        <v>46057</v>
      </c>
      <c r="C285" s="21">
        <v>8151908</v>
      </c>
      <c r="D285" s="16" t="str">
        <f>IFERROR(VLOOKUP(Tabela5[[#This Row],[PREFIXO ]],Tabela4[#All],2,0),"CENTRO DE CUSTO")</f>
        <v>PLATAF COLHEITA N.HOLLAND DRAPER 8645P</v>
      </c>
      <c r="E285" s="18" t="s">
        <v>96</v>
      </c>
      <c r="F285" s="21">
        <v>14964</v>
      </c>
      <c r="G285" s="22"/>
      <c r="H285" s="22">
        <v>644.19000000000005</v>
      </c>
      <c r="I285" s="22">
        <f t="shared" si="5"/>
        <v>644.19000000000005</v>
      </c>
      <c r="J285" s="18" t="s">
        <v>1113</v>
      </c>
      <c r="K285" s="18">
        <v>9746461</v>
      </c>
      <c r="L285" s="18">
        <v>855367</v>
      </c>
      <c r="M285" s="18" t="s">
        <v>1509</v>
      </c>
      <c r="N285" s="16" t="s">
        <v>1418</v>
      </c>
      <c r="O285" s="18" t="s">
        <v>1095</v>
      </c>
      <c r="P285" s="18" t="s">
        <v>1095</v>
      </c>
      <c r="Q285" s="29" t="str" cm="1">
        <f t="array" ref="Q285">_xlfn.IFS(
A285="","",
AND(A285&lt;&gt;"",B285=""),"FALTA LANÇAMENTO",
AND(B285&lt;&gt;"",M285=""),"FALTA O PEDIDO",
AND(M285&lt;&gt;"",O285=""),"FALTA NF",
O285&lt;&gt;"","CONCLUÍDO")</f>
        <v>CONCLUÍDO</v>
      </c>
      <c r="R285" s="36"/>
    </row>
    <row r="286" spans="1:18" hidden="1">
      <c r="A286" s="16">
        <v>46043</v>
      </c>
      <c r="B286" s="16">
        <v>46050</v>
      </c>
      <c r="C286" s="21">
        <v>51521088</v>
      </c>
      <c r="D286" s="16" t="str">
        <f>IFERROR(VLOOKUP(Tabela5[[#This Row],[PREFIXO ]],Tabela4[#All],2,0),"CENTRO DE CUSTO")</f>
        <v>COLHEIT DE GRÃOS N.HOLLAND CR 8.90</v>
      </c>
      <c r="E286" s="18" t="s">
        <v>96</v>
      </c>
      <c r="F286" s="21">
        <v>15031</v>
      </c>
      <c r="G286" s="22"/>
      <c r="H286" s="22">
        <v>504</v>
      </c>
      <c r="I286" s="22">
        <f t="shared" si="5"/>
        <v>504</v>
      </c>
      <c r="J286" s="18" t="s">
        <v>1113</v>
      </c>
      <c r="K286" s="18">
        <v>9746470</v>
      </c>
      <c r="L286" s="18">
        <v>850607</v>
      </c>
      <c r="M286" s="18" t="s">
        <v>1510</v>
      </c>
      <c r="N286" s="16" t="s">
        <v>1507</v>
      </c>
      <c r="O286" s="18" t="s">
        <v>1511</v>
      </c>
      <c r="P286" s="18" t="s">
        <v>1268</v>
      </c>
      <c r="Q286" s="29" t="str" cm="1">
        <f t="array" ref="Q286">_xlfn.IFS(
A286="","",
AND(A286&lt;&gt;"",B286=""),"FALTA LANÇAMENTO",
AND(B286&lt;&gt;"",M286=""),"FALTA O PEDIDO",
AND(M286&lt;&gt;"",O286=""),"FALTA NF",
O286&lt;&gt;"","CONCLUÍDO")</f>
        <v>CONCLUÍDO</v>
      </c>
      <c r="R286" s="36"/>
    </row>
    <row r="287" spans="1:18" hidden="1">
      <c r="A287" s="16">
        <v>46043</v>
      </c>
      <c r="B287" s="16">
        <v>46057</v>
      </c>
      <c r="C287" s="21">
        <v>81521367</v>
      </c>
      <c r="D287" s="16" t="str">
        <f>IFERROR(VLOOKUP(Tabela5[[#This Row],[PREFIXO ]],Tabela4[#All],2,0),"CENTRO DE CUSTO")</f>
        <v>PLATAF COLHEITA N.HOLLAND DRAPER 8645P</v>
      </c>
      <c r="E287" s="18" t="s">
        <v>96</v>
      </c>
      <c r="F287" s="21">
        <v>14972</v>
      </c>
      <c r="G287" s="22"/>
      <c r="H287" s="22">
        <v>343.04</v>
      </c>
      <c r="I287" s="22">
        <f t="shared" si="5"/>
        <v>343.04</v>
      </c>
      <c r="J287" s="18" t="s">
        <v>1113</v>
      </c>
      <c r="K287" s="18">
        <v>9746463</v>
      </c>
      <c r="L287" s="18">
        <v>855352</v>
      </c>
      <c r="M287" s="18" t="s">
        <v>1512</v>
      </c>
      <c r="N287" s="16" t="s">
        <v>1418</v>
      </c>
      <c r="O287" s="18" t="s">
        <v>1513</v>
      </c>
      <c r="P287" s="18" t="s">
        <v>1127</v>
      </c>
      <c r="Q287" s="29" t="str" cm="1">
        <f t="array" ref="Q287">_xlfn.IFS(
A287="","",
AND(A287&lt;&gt;"",B287=""),"FALTA LANÇAMENTO",
AND(B287&lt;&gt;"",M287=""),"FALTA O PEDIDO",
AND(M287&lt;&gt;"",O287=""),"FALTA NF",
O287&lt;&gt;"","CONCLUÍDO")</f>
        <v>CONCLUÍDO</v>
      </c>
      <c r="R287" s="36"/>
    </row>
    <row r="288" spans="1:18" hidden="1">
      <c r="A288" s="16">
        <v>46043</v>
      </c>
      <c r="B288" s="16">
        <v>46050</v>
      </c>
      <c r="C288" s="21">
        <v>51521088</v>
      </c>
      <c r="D288" s="16" t="str">
        <f>IFERROR(VLOOKUP(Tabela5[[#This Row],[PREFIXO ]],Tabela4[#All],2,0),"CENTRO DE CUSTO")</f>
        <v>COLHEIT DE GRÃOS N.HOLLAND CR 8.90</v>
      </c>
      <c r="E288" s="18" t="s">
        <v>96</v>
      </c>
      <c r="F288" s="21">
        <v>3996</v>
      </c>
      <c r="G288" s="22">
        <v>315</v>
      </c>
      <c r="H288" s="22"/>
      <c r="I288" s="22">
        <f t="shared" si="5"/>
        <v>315</v>
      </c>
      <c r="J288" s="18" t="s">
        <v>1113</v>
      </c>
      <c r="K288" s="18">
        <v>9746470</v>
      </c>
      <c r="L288" s="18">
        <v>850607</v>
      </c>
      <c r="M288" s="18" t="s">
        <v>1510</v>
      </c>
      <c r="N288" s="16" t="s">
        <v>1507</v>
      </c>
      <c r="O288" s="18" t="s">
        <v>1511</v>
      </c>
      <c r="P288" s="18" t="s">
        <v>1268</v>
      </c>
      <c r="Q288" s="29" t="str" cm="1">
        <f t="array" ref="Q288">_xlfn.IFS(
A288="","",
AND(A288&lt;&gt;"",B288=""),"FALTA LANÇAMENTO",
AND(B288&lt;&gt;"",M288=""),"FALTA O PEDIDO",
AND(M288&lt;&gt;"",O288=""),"FALTA NF",
O288&lt;&gt;"","CONCLUÍDO")</f>
        <v>CONCLUÍDO</v>
      </c>
      <c r="R288" s="36"/>
    </row>
    <row r="289" spans="1:18" hidden="1">
      <c r="A289" s="16">
        <v>46043</v>
      </c>
      <c r="B289" s="16">
        <v>46057</v>
      </c>
      <c r="C289" s="21">
        <v>1731018</v>
      </c>
      <c r="D289" s="16" t="str">
        <f>IFERROR(VLOOKUP(Tabela5[[#This Row],[PREFIXO ]],Tabela4[#All],2,0),"CENTRO DE CUSTO")</f>
        <v>TRAT PN LEVE M FERGUSON MF 275</v>
      </c>
      <c r="E289" s="18" t="s">
        <v>96</v>
      </c>
      <c r="F289" s="21">
        <v>4012</v>
      </c>
      <c r="G289" s="22">
        <v>234</v>
      </c>
      <c r="H289" s="22"/>
      <c r="I289" s="22">
        <f t="shared" si="5"/>
        <v>234</v>
      </c>
      <c r="J289" s="18" t="s">
        <v>1199</v>
      </c>
      <c r="K289" s="18">
        <v>9746182</v>
      </c>
      <c r="L289" s="18">
        <v>854992</v>
      </c>
      <c r="M289" s="18" t="s">
        <v>1514</v>
      </c>
      <c r="N289" s="16" t="s">
        <v>1418</v>
      </c>
      <c r="O289" s="18" t="s">
        <v>1095</v>
      </c>
      <c r="P289" s="18" t="s">
        <v>1095</v>
      </c>
      <c r="Q289" s="29" t="str" cm="1">
        <f t="array" ref="Q289">_xlfn.IFS(
A289="","",
AND(A289&lt;&gt;"",B289=""),"FALTA LANÇAMENTO",
AND(B289&lt;&gt;"",M289=""),"FALTA O PEDIDO",
AND(M289&lt;&gt;"",O289=""),"FALTA NF",
O289&lt;&gt;"","CONCLUÍDO")</f>
        <v>CONCLUÍDO</v>
      </c>
      <c r="R289" s="36"/>
    </row>
    <row r="290" spans="1:18" hidden="1">
      <c r="A290" s="16">
        <v>46043</v>
      </c>
      <c r="B290" s="16">
        <v>46057</v>
      </c>
      <c r="C290" s="21">
        <v>51521085</v>
      </c>
      <c r="D290" s="16" t="str">
        <f>IFERROR(VLOOKUP(Tabela5[[#This Row],[PREFIXO ]],Tabela4[#All],2,0),"CENTRO DE CUSTO")</f>
        <v>COLHEIT DE GRÃOS N.HOLLAND CR 8.90</v>
      </c>
      <c r="E290" s="18" t="s">
        <v>96</v>
      </c>
      <c r="F290" s="21">
        <v>15064</v>
      </c>
      <c r="G290" s="22"/>
      <c r="H290" s="22">
        <v>202.5</v>
      </c>
      <c r="I290" s="22">
        <f t="shared" si="5"/>
        <v>202.5</v>
      </c>
      <c r="J290" s="18" t="s">
        <v>1123</v>
      </c>
      <c r="K290" s="18">
        <v>9746473</v>
      </c>
      <c r="L290" s="18">
        <v>855332</v>
      </c>
      <c r="M290" s="18" t="s">
        <v>1515</v>
      </c>
      <c r="N290" s="16" t="s">
        <v>1418</v>
      </c>
      <c r="O290" s="18" t="s">
        <v>1516</v>
      </c>
      <c r="P290" s="18" t="s">
        <v>1489</v>
      </c>
      <c r="Q290" s="29" t="str" cm="1">
        <f t="array" ref="Q290">_xlfn.IFS(
A290="","",
AND(A290&lt;&gt;"",B290=""),"FALTA LANÇAMENTO",
AND(B290&lt;&gt;"",M290=""),"FALTA O PEDIDO",
AND(M290&lt;&gt;"",O290=""),"FALTA NF",
O290&lt;&gt;"","CONCLUÍDO")</f>
        <v>CONCLUÍDO</v>
      </c>
      <c r="R290" s="36"/>
    </row>
    <row r="291" spans="1:18" hidden="1">
      <c r="A291" s="16">
        <v>46043</v>
      </c>
      <c r="B291" s="16">
        <v>46050</v>
      </c>
      <c r="C291" s="21">
        <v>51521101</v>
      </c>
      <c r="D291" s="16" t="str">
        <f>IFERROR(VLOOKUP(Tabela5[[#This Row],[PREFIXO ]],Tabela4[#All],2,0),"CENTRO DE CUSTO")</f>
        <v>COLHEIT DE GRÃOS N.HOLLAND CR 8.90</v>
      </c>
      <c r="E291" s="18" t="s">
        <v>96</v>
      </c>
      <c r="F291" s="21">
        <v>4011</v>
      </c>
      <c r="G291" s="22">
        <v>200</v>
      </c>
      <c r="H291" s="22"/>
      <c r="I291" s="22">
        <f t="shared" si="5"/>
        <v>200</v>
      </c>
      <c r="J291" s="18" t="s">
        <v>1123</v>
      </c>
      <c r="K291" s="18">
        <v>9746272</v>
      </c>
      <c r="L291" s="18">
        <v>850792</v>
      </c>
      <c r="M291" s="18" t="s">
        <v>1496</v>
      </c>
      <c r="N291" s="16" t="s">
        <v>1427</v>
      </c>
      <c r="O291" s="18" t="s">
        <v>1497</v>
      </c>
      <c r="P291" s="18" t="s">
        <v>1498</v>
      </c>
      <c r="Q291" s="29" t="str" cm="1">
        <f t="array" ref="Q291">_xlfn.IFS(
A291="","",
AND(A291&lt;&gt;"",B291=""),"FALTA LANÇAMENTO",
AND(B291&lt;&gt;"",M291=""),"FALTA O PEDIDO",
AND(M291&lt;&gt;"",O291=""),"FALTA NF",
O291&lt;&gt;"","CONCLUÍDO")</f>
        <v>CONCLUÍDO</v>
      </c>
      <c r="R291" s="36"/>
    </row>
    <row r="292" spans="1:18" hidden="1">
      <c r="A292" s="16">
        <v>46043</v>
      </c>
      <c r="B292" s="16">
        <v>46057</v>
      </c>
      <c r="C292" s="21">
        <v>500580094</v>
      </c>
      <c r="D292" s="16" t="str">
        <f>IFERROR(VLOOKUP(Tabela5[[#This Row],[PREFIXO ]],Tabela4[#All],2,0),"CENTRO DE CUSTO")</f>
        <v>Rolos Faca</v>
      </c>
      <c r="E292" s="18" t="s">
        <v>96</v>
      </c>
      <c r="F292" s="21">
        <v>4018</v>
      </c>
      <c r="G292" s="22">
        <v>100</v>
      </c>
      <c r="H292" s="22"/>
      <c r="I292" s="22">
        <f t="shared" si="5"/>
        <v>100</v>
      </c>
      <c r="J292" s="18" t="s">
        <v>1199</v>
      </c>
      <c r="K292" s="18">
        <v>5018979</v>
      </c>
      <c r="L292" s="18">
        <v>855443</v>
      </c>
      <c r="M292" s="18" t="s">
        <v>1517</v>
      </c>
      <c r="N292" s="16" t="s">
        <v>1418</v>
      </c>
      <c r="O292" s="18" t="s">
        <v>1095</v>
      </c>
      <c r="P292" s="18" t="s">
        <v>1095</v>
      </c>
      <c r="Q292" s="29" t="str" cm="1">
        <f t="array" ref="Q292">_xlfn.IFS(
A292="","",
AND(A292&lt;&gt;"",B292=""),"FALTA LANÇAMENTO",
AND(B292&lt;&gt;"",M292=""),"FALTA O PEDIDO",
AND(M292&lt;&gt;"",O292=""),"FALTA NF",
O292&lt;&gt;"","CONCLUÍDO")</f>
        <v>CONCLUÍDO</v>
      </c>
      <c r="R292" s="36"/>
    </row>
    <row r="293" spans="1:18" hidden="1">
      <c r="A293" s="16">
        <v>46043</v>
      </c>
      <c r="B293" s="16">
        <v>46057</v>
      </c>
      <c r="C293" s="21">
        <v>51519034</v>
      </c>
      <c r="D293" s="16" t="str">
        <f>IFERROR(VLOOKUP(Tabela5[[#This Row],[PREFIXO ]],Tabela4[#All],2,0),"CENTRO DE CUSTO")</f>
        <v>COLHEIT DE GRÃOS N.HOLLAND CR 8.90</v>
      </c>
      <c r="E293" s="18" t="s">
        <v>96</v>
      </c>
      <c r="F293" s="21">
        <v>3992</v>
      </c>
      <c r="G293" s="22">
        <v>100</v>
      </c>
      <c r="H293" s="22"/>
      <c r="I293" s="22">
        <f t="shared" si="5"/>
        <v>100</v>
      </c>
      <c r="J293" s="18" t="s">
        <v>1113</v>
      </c>
      <c r="K293" s="18">
        <v>9746399</v>
      </c>
      <c r="L293" s="18">
        <v>855383</v>
      </c>
      <c r="M293" s="18" t="s">
        <v>1518</v>
      </c>
      <c r="N293" s="16" t="s">
        <v>1418</v>
      </c>
      <c r="O293" s="18" t="s">
        <v>1519</v>
      </c>
      <c r="P293" s="18" t="s">
        <v>1495</v>
      </c>
      <c r="Q293" s="29" t="str" cm="1">
        <f t="array" ref="Q293">_xlfn.IFS(
A293="","",
AND(A293&lt;&gt;"",B293=""),"FALTA LANÇAMENTO",
AND(B293&lt;&gt;"",M293=""),"FALTA O PEDIDO",
AND(M293&lt;&gt;"",O293=""),"FALTA NF",
O293&lt;&gt;"","CONCLUÍDO")</f>
        <v>CONCLUÍDO</v>
      </c>
      <c r="R293" s="36"/>
    </row>
    <row r="294" spans="1:18" hidden="1">
      <c r="A294" s="16">
        <v>46043</v>
      </c>
      <c r="B294" s="16">
        <v>46057</v>
      </c>
      <c r="C294" s="21">
        <v>8151908</v>
      </c>
      <c r="D294" s="16" t="str">
        <f>IFERROR(VLOOKUP(Tabela5[[#This Row],[PREFIXO ]],Tabela4[#All],2,0),"CENTRO DE CUSTO")</f>
        <v>PLATAF COLHEITA N.HOLLAND DRAPER 8645P</v>
      </c>
      <c r="E294" s="18" t="s">
        <v>96</v>
      </c>
      <c r="F294" s="21">
        <v>3971</v>
      </c>
      <c r="G294" s="22">
        <v>100</v>
      </c>
      <c r="H294" s="22"/>
      <c r="I294" s="22">
        <f t="shared" si="5"/>
        <v>100</v>
      </c>
      <c r="J294" s="18" t="s">
        <v>1113</v>
      </c>
      <c r="K294" s="18">
        <v>9746461</v>
      </c>
      <c r="L294" s="18">
        <v>855367</v>
      </c>
      <c r="M294" s="18" t="s">
        <v>1520</v>
      </c>
      <c r="N294" s="16" t="s">
        <v>1418</v>
      </c>
      <c r="O294" s="18" t="s">
        <v>1521</v>
      </c>
      <c r="P294" s="18" t="s">
        <v>1495</v>
      </c>
      <c r="Q294" s="29" t="str" cm="1">
        <f t="array" ref="Q294">_xlfn.IFS(
A294="","",
AND(A294&lt;&gt;"",B294=""),"FALTA LANÇAMENTO",
AND(B294&lt;&gt;"",M294=""),"FALTA O PEDIDO",
AND(M294&lt;&gt;"",O294=""),"FALTA NF",
O294&lt;&gt;"","CONCLUÍDO")</f>
        <v>CONCLUÍDO</v>
      </c>
      <c r="R294" s="36"/>
    </row>
    <row r="295" spans="1:18" hidden="1">
      <c r="A295" s="16">
        <v>46043</v>
      </c>
      <c r="B295" s="16">
        <v>46057</v>
      </c>
      <c r="C295" s="21">
        <v>81521367</v>
      </c>
      <c r="D295" s="16" t="str">
        <f>IFERROR(VLOOKUP(Tabela5[[#This Row],[PREFIXO ]],Tabela4[#All],2,0),"CENTRO DE CUSTO")</f>
        <v>PLATAF COLHEITA N.HOLLAND DRAPER 8645P</v>
      </c>
      <c r="E295" s="18" t="s">
        <v>96</v>
      </c>
      <c r="F295" s="21">
        <v>3972</v>
      </c>
      <c r="G295" s="22">
        <v>100</v>
      </c>
      <c r="H295" s="22"/>
      <c r="I295" s="22">
        <f t="shared" si="5"/>
        <v>100</v>
      </c>
      <c r="J295" s="18" t="s">
        <v>1113</v>
      </c>
      <c r="K295" s="18">
        <v>9746463</v>
      </c>
      <c r="L295" s="18">
        <v>855352</v>
      </c>
      <c r="M295" s="18" t="s">
        <v>1522</v>
      </c>
      <c r="N295" s="16" t="s">
        <v>1418</v>
      </c>
      <c r="O295" s="18" t="s">
        <v>1523</v>
      </c>
      <c r="P295" s="18" t="s">
        <v>1127</v>
      </c>
      <c r="Q295" s="29" t="str" cm="1">
        <f t="array" ref="Q295">_xlfn.IFS(
A295="","",
AND(A295&lt;&gt;"",B295=""),"FALTA LANÇAMENTO",
AND(B295&lt;&gt;"",M295=""),"FALTA O PEDIDO",
AND(M295&lt;&gt;"",O295=""),"FALTA NF",
O295&lt;&gt;"","CONCLUÍDO")</f>
        <v>CONCLUÍDO</v>
      </c>
      <c r="R295" s="36"/>
    </row>
    <row r="296" spans="1:18" hidden="1">
      <c r="A296" s="16">
        <v>46043</v>
      </c>
      <c r="B296" s="16">
        <v>46057</v>
      </c>
      <c r="C296" s="21">
        <v>51521085</v>
      </c>
      <c r="D296" s="16" t="str">
        <f>IFERROR(VLOOKUP(Tabela5[[#This Row],[PREFIXO ]],Tabela4[#All],2,0),"CENTRO DE CUSTO")</f>
        <v>COLHEIT DE GRÃOS N.HOLLAND CR 8.90</v>
      </c>
      <c r="E296" s="18" t="s">
        <v>96</v>
      </c>
      <c r="F296" s="21">
        <v>4017</v>
      </c>
      <c r="G296" s="22">
        <v>100</v>
      </c>
      <c r="H296" s="22"/>
      <c r="I296" s="22">
        <f t="shared" si="5"/>
        <v>100</v>
      </c>
      <c r="J296" s="18" t="s">
        <v>1123</v>
      </c>
      <c r="K296" s="18">
        <v>9746473</v>
      </c>
      <c r="L296" s="18">
        <v>855332</v>
      </c>
      <c r="M296" s="18" t="s">
        <v>1524</v>
      </c>
      <c r="N296" s="16" t="s">
        <v>1418</v>
      </c>
      <c r="O296" s="18" t="s">
        <v>1525</v>
      </c>
      <c r="P296" s="18" t="s">
        <v>1526</v>
      </c>
      <c r="Q296" s="29" t="str" cm="1">
        <f t="array" ref="Q296">_xlfn.IFS(
A296="","",
AND(A296&lt;&gt;"",B296=""),"FALTA LANÇAMENTO",
AND(B296&lt;&gt;"",M296=""),"FALTA O PEDIDO",
AND(M296&lt;&gt;"",O296=""),"FALTA NF",
O296&lt;&gt;"","CONCLUÍDO")</f>
        <v>CONCLUÍDO</v>
      </c>
      <c r="R296" s="36"/>
    </row>
    <row r="297" spans="1:18" hidden="1">
      <c r="A297" s="16">
        <v>46043</v>
      </c>
      <c r="B297" s="16">
        <v>46050</v>
      </c>
      <c r="C297" s="21">
        <v>61521011</v>
      </c>
      <c r="D297" s="16" t="str">
        <f>IFERROR(VLOOKUP(Tabela5[[#This Row],[PREFIXO ]],Tabela4[#All],2,0),"CENTRO DE CUSTO")</f>
        <v>CAM COMBOIO MERC BENZ ATRON 2729</v>
      </c>
      <c r="E297" s="18" t="s">
        <v>124</v>
      </c>
      <c r="F297" s="21">
        <v>445</v>
      </c>
      <c r="G297" s="22">
        <v>7981.6</v>
      </c>
      <c r="H297" s="22"/>
      <c r="I297" s="22">
        <f t="shared" si="5"/>
        <v>7981.6</v>
      </c>
      <c r="J297" s="18" t="s">
        <v>1085</v>
      </c>
      <c r="K297" s="18">
        <v>9746194</v>
      </c>
      <c r="L297" s="18">
        <v>850538</v>
      </c>
      <c r="M297" s="18" t="s">
        <v>1527</v>
      </c>
      <c r="N297" s="16" t="s">
        <v>1427</v>
      </c>
      <c r="O297" s="18" t="s">
        <v>1528</v>
      </c>
      <c r="P297" s="18" t="s">
        <v>1268</v>
      </c>
      <c r="Q297" s="29" t="str" cm="1">
        <f t="array" ref="Q297">_xlfn.IFS(
A297="","",
AND(A297&lt;&gt;"",B297=""),"FALTA LANÇAMENTO",
AND(B297&lt;&gt;"",M297=""),"FALTA O PEDIDO",
AND(M297&lt;&gt;"",O297=""),"FALTA NF",
O297&lt;&gt;"","CONCLUÍDO")</f>
        <v>CONCLUÍDO</v>
      </c>
      <c r="R297" s="36"/>
    </row>
    <row r="298" spans="1:18" hidden="1">
      <c r="A298" s="16">
        <v>46043</v>
      </c>
      <c r="B298" s="16">
        <v>46050</v>
      </c>
      <c r="C298" s="21">
        <v>61521041</v>
      </c>
      <c r="D298" s="16" t="str">
        <f>IFERROR(VLOOKUP(Tabela5[[#This Row],[PREFIXO ]],Tabela4[#All],2,0),"CENTRO DE CUSTO")</f>
        <v>ONIB RODOVIÁRIO MASCARELLO GRAN MIDI</v>
      </c>
      <c r="E298" s="18" t="s">
        <v>124</v>
      </c>
      <c r="F298" s="21">
        <v>478</v>
      </c>
      <c r="G298" s="22">
        <v>4135.8</v>
      </c>
      <c r="H298" s="22"/>
      <c r="I298" s="22">
        <f t="shared" si="5"/>
        <v>4135.8</v>
      </c>
      <c r="J298" s="18" t="s">
        <v>1085</v>
      </c>
      <c r="K298" s="18">
        <v>9746193</v>
      </c>
      <c r="L298" s="18">
        <v>850576</v>
      </c>
      <c r="M298" s="18" t="s">
        <v>1529</v>
      </c>
      <c r="N298" s="16" t="s">
        <v>1427</v>
      </c>
      <c r="O298" s="18" t="s">
        <v>1530</v>
      </c>
      <c r="P298" s="18" t="s">
        <v>1268</v>
      </c>
      <c r="Q298" s="29" t="str" cm="1">
        <f t="array" ref="Q298">_xlfn.IFS(
A298="","",
AND(A298&lt;&gt;"",B298=""),"FALTA LANÇAMENTO",
AND(B298&lt;&gt;"",M298=""),"FALTA O PEDIDO",
AND(M298&lt;&gt;"",O298=""),"FALTA NF",
O298&lt;&gt;"","CONCLUÍDO")</f>
        <v>CONCLUÍDO</v>
      </c>
      <c r="R298" s="36"/>
    </row>
    <row r="299" spans="1:18" hidden="1">
      <c r="A299" s="16">
        <v>46043</v>
      </c>
      <c r="B299" s="16">
        <v>46050</v>
      </c>
      <c r="C299" s="21">
        <v>11040017</v>
      </c>
      <c r="D299" s="16" t="str">
        <f>IFERROR(VLOOKUP(Tabela5[[#This Row],[PREFIXO ]],Tabela4[#All],2,0),"CENTRO DE CUSTO")</f>
        <v>CAV MEC EXT PES SCANIA R500</v>
      </c>
      <c r="E299" s="18" t="s">
        <v>124</v>
      </c>
      <c r="F299" s="21">
        <v>482</v>
      </c>
      <c r="G299" s="22">
        <v>3124.8</v>
      </c>
      <c r="H299" s="22"/>
      <c r="I299" s="22">
        <f t="shared" si="5"/>
        <v>3124.8</v>
      </c>
      <c r="J299" s="18" t="s">
        <v>1085</v>
      </c>
      <c r="K299" s="18">
        <v>9746261</v>
      </c>
      <c r="L299" s="18">
        <v>850135</v>
      </c>
      <c r="M299" s="18" t="s">
        <v>1531</v>
      </c>
      <c r="N299" s="16" t="s">
        <v>1427</v>
      </c>
      <c r="O299" s="18" t="s">
        <v>1532</v>
      </c>
      <c r="P299" s="18" t="s">
        <v>1275</v>
      </c>
      <c r="Q299" s="29" t="str" cm="1">
        <f t="array" ref="Q299">_xlfn.IFS(
A299="","",
AND(A299&lt;&gt;"",B299=""),"FALTA LANÇAMENTO",
AND(B299&lt;&gt;"",M299=""),"FALTA O PEDIDO",
AND(M299&lt;&gt;"",O299=""),"FALTA NF",
O299&lt;&gt;"","CONCLUÍDO")</f>
        <v>CONCLUÍDO</v>
      </c>
      <c r="R299" s="36"/>
    </row>
    <row r="300" spans="1:18" hidden="1">
      <c r="A300" s="16">
        <v>46043</v>
      </c>
      <c r="B300" s="16">
        <v>46050</v>
      </c>
      <c r="C300" s="21">
        <v>61521031</v>
      </c>
      <c r="D300" s="16" t="str">
        <f>IFERROR(VLOOKUP(Tabela5[[#This Row],[PREFIXO ]],Tabela4[#All],2,0),"CENTRO DE CUSTO")</f>
        <v>CAV MEC PES MERC BENZ ACTRO 2651</v>
      </c>
      <c r="E300" s="18" t="s">
        <v>124</v>
      </c>
      <c r="F300" s="21">
        <v>481</v>
      </c>
      <c r="G300" s="22">
        <v>2577.6</v>
      </c>
      <c r="H300" s="22"/>
      <c r="I300" s="22">
        <f t="shared" si="5"/>
        <v>2577.6</v>
      </c>
      <c r="J300" s="18" t="s">
        <v>1085</v>
      </c>
      <c r="K300" s="18">
        <v>9746264</v>
      </c>
      <c r="L300" s="18">
        <v>850598</v>
      </c>
      <c r="M300" s="18" t="s">
        <v>1533</v>
      </c>
      <c r="N300" s="16" t="s">
        <v>1427</v>
      </c>
      <c r="O300" s="18" t="s">
        <v>1534</v>
      </c>
      <c r="P300" s="18" t="s">
        <v>1275</v>
      </c>
      <c r="Q300" s="29" t="str" cm="1">
        <f t="array" ref="Q300">_xlfn.IFS(
A300="","",
AND(A300&lt;&gt;"",B300=""),"FALTA LANÇAMENTO",
AND(B300&lt;&gt;"",M300=""),"FALTA O PEDIDO",
AND(M300&lt;&gt;"",O300=""),"FALTA NF",
O300&lt;&gt;"","CONCLUÍDO")</f>
        <v>CONCLUÍDO</v>
      </c>
      <c r="R300" s="36"/>
    </row>
    <row r="301" spans="1:18" hidden="1">
      <c r="A301" s="16">
        <v>46043</v>
      </c>
      <c r="B301" s="16">
        <v>46050</v>
      </c>
      <c r="C301" s="21">
        <v>11040024</v>
      </c>
      <c r="D301" s="16" t="str">
        <f>IFERROR(VLOOKUP(Tabela5[[#This Row],[PREFIXO ]],Tabela4[#All],2,0),"CENTRO DE CUSTO")</f>
        <v>CAV MEC EXT PES SCANIA R500</v>
      </c>
      <c r="E301" s="18" t="s">
        <v>124</v>
      </c>
      <c r="F301" s="21">
        <v>480</v>
      </c>
      <c r="G301" s="22">
        <v>2491.1999999999998</v>
      </c>
      <c r="H301" s="22"/>
      <c r="I301" s="22">
        <f t="shared" si="5"/>
        <v>2491.1999999999998</v>
      </c>
      <c r="J301" s="18" t="s">
        <v>1085</v>
      </c>
      <c r="K301" s="18">
        <v>9746262</v>
      </c>
      <c r="L301" s="18">
        <v>850466</v>
      </c>
      <c r="M301" s="18" t="s">
        <v>1535</v>
      </c>
      <c r="N301" s="16" t="s">
        <v>1427</v>
      </c>
      <c r="O301" s="18" t="s">
        <v>1536</v>
      </c>
      <c r="P301" s="18" t="s">
        <v>1275</v>
      </c>
      <c r="Q301" s="29" t="str" cm="1">
        <f t="array" ref="Q301">_xlfn.IFS(
A301="","",
AND(A301&lt;&gt;"",B301=""),"FALTA LANÇAMENTO",
AND(B301&lt;&gt;"",M301=""),"FALTA O PEDIDO",
AND(M301&lt;&gt;"",O301=""),"FALTA NF",
O301&lt;&gt;"","CONCLUÍDO")</f>
        <v>CONCLUÍDO</v>
      </c>
      <c r="R301" s="36"/>
    </row>
    <row r="302" spans="1:18" hidden="1">
      <c r="A302" s="16">
        <v>46043</v>
      </c>
      <c r="B302" s="16">
        <v>46050</v>
      </c>
      <c r="C302" s="21">
        <v>11040020</v>
      </c>
      <c r="D302" s="16" t="str">
        <f>IFERROR(VLOOKUP(Tabela5[[#This Row],[PREFIXO ]],Tabela4[#All],2,0),"CENTRO DE CUSTO")</f>
        <v>CAV MEC EXT PES SCANIA R500</v>
      </c>
      <c r="E302" s="18" t="s">
        <v>124</v>
      </c>
      <c r="F302" s="21">
        <v>444</v>
      </c>
      <c r="G302" s="22">
        <v>2352</v>
      </c>
      <c r="H302" s="22"/>
      <c r="I302" s="22">
        <f t="shared" si="5"/>
        <v>2352</v>
      </c>
      <c r="J302" s="18" t="s">
        <v>1085</v>
      </c>
      <c r="K302" s="18">
        <v>9746191</v>
      </c>
      <c r="L302" s="18">
        <v>850482</v>
      </c>
      <c r="M302" s="18" t="s">
        <v>1537</v>
      </c>
      <c r="N302" s="16" t="s">
        <v>1427</v>
      </c>
      <c r="O302" s="18" t="s">
        <v>1538</v>
      </c>
      <c r="P302" s="18" t="s">
        <v>1275</v>
      </c>
      <c r="Q302" s="29" t="str" cm="1">
        <f t="array" ref="Q302">_xlfn.IFS(
A302="","",
AND(A302&lt;&gt;"",B302=""),"FALTA LANÇAMENTO",
AND(B302&lt;&gt;"",M302=""),"FALTA O PEDIDO",
AND(M302&lt;&gt;"",O302=""),"FALTA NF",
O302&lt;&gt;"","CONCLUÍDO")</f>
        <v>CONCLUÍDO</v>
      </c>
      <c r="R302" s="36"/>
    </row>
    <row r="303" spans="1:18" hidden="1">
      <c r="A303" s="16">
        <v>46043</v>
      </c>
      <c r="B303" s="16">
        <v>46057</v>
      </c>
      <c r="C303" s="21">
        <v>500580325</v>
      </c>
      <c r="D303" s="16" t="str">
        <f>IFERROR(VLOOKUP(Tabela5[[#This Row],[PREFIXO ]],Tabela4[#All],2,0),"CENTRO DE CUSTO")</f>
        <v>Colheitad. Alg Auto</v>
      </c>
      <c r="E303" s="18" t="s">
        <v>70</v>
      </c>
      <c r="F303" s="21">
        <v>21311</v>
      </c>
      <c r="G303" s="22">
        <v>28050</v>
      </c>
      <c r="H303" s="22"/>
      <c r="I303" s="22">
        <f t="shared" si="5"/>
        <v>28050</v>
      </c>
      <c r="J303" s="18" t="s">
        <v>1123</v>
      </c>
      <c r="K303" s="18">
        <v>5019227</v>
      </c>
      <c r="L303" s="18" t="s">
        <v>1095</v>
      </c>
      <c r="M303" s="18" t="s">
        <v>1095</v>
      </c>
      <c r="N303" s="16" t="s">
        <v>1095</v>
      </c>
      <c r="O303" s="18" t="s">
        <v>1095</v>
      </c>
      <c r="P303" s="18" t="s">
        <v>1095</v>
      </c>
      <c r="Q303" s="29" t="str" cm="1">
        <f t="array" ref="Q303">_xlfn.IFS(
A303="","",
AND(A303&lt;&gt;"",B303=""),"FALTA LANÇAMENTO",
AND(B303&lt;&gt;"",M303=""),"FALTA O PEDIDO",
AND(M303&lt;&gt;"",O303=""),"FALTA NF",
O303&lt;&gt;"","CONCLUÍDO")</f>
        <v>CONCLUÍDO</v>
      </c>
      <c r="R303" s="36"/>
    </row>
    <row r="304" spans="1:18" hidden="1">
      <c r="A304" s="16">
        <v>46043</v>
      </c>
      <c r="B304" s="16">
        <v>46057</v>
      </c>
      <c r="C304" s="21">
        <v>51521054</v>
      </c>
      <c r="D304" s="16" t="str">
        <f>IFERROR(VLOOKUP(Tabela5[[#This Row],[PREFIXO ]],Tabela4[#All],2,0),"CENTRO DE CUSTO")</f>
        <v>COLHED ALGODÃO JOHN DEERE CP 690</v>
      </c>
      <c r="E304" s="18" t="s">
        <v>70</v>
      </c>
      <c r="F304" s="21">
        <v>22178</v>
      </c>
      <c r="G304" s="22">
        <v>14335</v>
      </c>
      <c r="H304" s="22"/>
      <c r="I304" s="22">
        <f t="shared" si="5"/>
        <v>14335</v>
      </c>
      <c r="J304" s="18" t="s">
        <v>1113</v>
      </c>
      <c r="K304" s="18">
        <v>9753484</v>
      </c>
      <c r="L304" s="18">
        <v>856240</v>
      </c>
      <c r="M304" s="18" t="s">
        <v>1539</v>
      </c>
      <c r="N304" s="16" t="s">
        <v>1418</v>
      </c>
      <c r="O304" s="18" t="s">
        <v>1540</v>
      </c>
      <c r="P304" s="18" t="s">
        <v>1461</v>
      </c>
      <c r="Q304" s="29" t="str" cm="1">
        <f t="array" ref="Q304">_xlfn.IFS(
A304="","",
AND(A304&lt;&gt;"",B304=""),"FALTA LANÇAMENTO",
AND(B304&lt;&gt;"",M304=""),"FALTA O PEDIDO",
AND(M304&lt;&gt;"",O304=""),"FALTA NF",
O304&lt;&gt;"","CONCLUÍDO")</f>
        <v>CONCLUÍDO</v>
      </c>
      <c r="R304" s="36"/>
    </row>
    <row r="305" spans="1:18" hidden="1">
      <c r="A305" s="16">
        <v>46043</v>
      </c>
      <c r="B305" s="16">
        <v>46052</v>
      </c>
      <c r="C305" s="21">
        <v>500580325</v>
      </c>
      <c r="D305" s="16" t="str">
        <f>IFERROR(VLOOKUP(Tabela5[[#This Row],[PREFIXO ]],Tabela4[#All],2,0),"CENTRO DE CUSTO")</f>
        <v>Colheitad. Alg Auto</v>
      </c>
      <c r="E305" s="18" t="s">
        <v>70</v>
      </c>
      <c r="F305" s="21">
        <v>22703</v>
      </c>
      <c r="G305" s="22">
        <v>13200</v>
      </c>
      <c r="H305" s="22"/>
      <c r="I305" s="22">
        <f t="shared" si="5"/>
        <v>13200</v>
      </c>
      <c r="J305" s="18" t="s">
        <v>1113</v>
      </c>
      <c r="K305" s="18">
        <v>5019198</v>
      </c>
      <c r="L305" s="18">
        <v>852709</v>
      </c>
      <c r="M305" s="18" t="s">
        <v>1541</v>
      </c>
      <c r="N305" s="16" t="s">
        <v>1284</v>
      </c>
      <c r="O305" s="18" t="s">
        <v>1542</v>
      </c>
      <c r="P305" s="18" t="s">
        <v>1120</v>
      </c>
      <c r="Q305" s="29" t="str" cm="1">
        <f t="array" ref="Q305">_xlfn.IFS(
A305="","",
AND(A305&lt;&gt;"",B305=""),"FALTA LANÇAMENTO",
AND(B305&lt;&gt;"",M305=""),"FALTA O PEDIDO",
AND(M305&lt;&gt;"",O305=""),"FALTA NF",
O305&lt;&gt;"","CONCLUÍDO")</f>
        <v>CONCLUÍDO</v>
      </c>
      <c r="R305" s="36"/>
    </row>
    <row r="306" spans="1:18" hidden="1">
      <c r="A306" s="16">
        <v>46043</v>
      </c>
      <c r="B306" s="16">
        <v>46049</v>
      </c>
      <c r="C306" s="21">
        <v>500580263</v>
      </c>
      <c r="D306" s="16" t="str">
        <f>IFERROR(VLOOKUP(Tabela5[[#This Row],[PREFIXO ]],Tabela4[#All],2,0),"CENTRO DE CUSTO")</f>
        <v>Colheit. Grãos-Axial</v>
      </c>
      <c r="E306" s="18" t="s">
        <v>308</v>
      </c>
      <c r="F306" s="21" t="s">
        <v>1100</v>
      </c>
      <c r="G306" s="22">
        <v>10856</v>
      </c>
      <c r="H306" s="22"/>
      <c r="I306" s="22">
        <f t="shared" si="5"/>
        <v>10856</v>
      </c>
      <c r="J306" s="18" t="s">
        <v>1113</v>
      </c>
      <c r="K306" s="18">
        <v>5019062</v>
      </c>
      <c r="L306" s="18">
        <v>850048</v>
      </c>
      <c r="M306" s="18" t="s">
        <v>1543</v>
      </c>
      <c r="N306" s="16" t="s">
        <v>1427</v>
      </c>
      <c r="O306" s="18" t="s">
        <v>1347</v>
      </c>
      <c r="P306" s="18" t="s">
        <v>1288</v>
      </c>
      <c r="Q306" s="29" t="str" cm="1">
        <f t="array" ref="Q306">_xlfn.IFS(
A306="","",
AND(A306&lt;&gt;"",B306=""),"FALTA LANÇAMENTO",
AND(B306&lt;&gt;"",M306=""),"FALTA O PEDIDO",
AND(M306&lt;&gt;"",O306=""),"FALTA NF",
O306&lt;&gt;"","CONCLUÍDO")</f>
        <v>CONCLUÍDO</v>
      </c>
      <c r="R306" s="36"/>
    </row>
    <row r="307" spans="1:18" hidden="1">
      <c r="A307" s="16">
        <v>46043</v>
      </c>
      <c r="B307" s="16">
        <v>46049</v>
      </c>
      <c r="C307" s="21">
        <v>500580263</v>
      </c>
      <c r="D307" s="16" t="str">
        <f>IFERROR(VLOOKUP(Tabela5[[#This Row],[PREFIXO ]],Tabela4[#All],2,0),"CENTRO DE CUSTO")</f>
        <v>Colheit. Grãos-Axial</v>
      </c>
      <c r="E307" s="18" t="s">
        <v>308</v>
      </c>
      <c r="F307" s="21" t="s">
        <v>1301</v>
      </c>
      <c r="G307" s="22">
        <v>1350</v>
      </c>
      <c r="H307" s="22"/>
      <c r="I307" s="22">
        <f t="shared" si="5"/>
        <v>1350</v>
      </c>
      <c r="J307" s="18" t="s">
        <v>1113</v>
      </c>
      <c r="K307" s="18">
        <v>5019065</v>
      </c>
      <c r="L307" s="18">
        <v>850048</v>
      </c>
      <c r="M307" s="18" t="s">
        <v>1543</v>
      </c>
      <c r="N307" s="16" t="s">
        <v>1427</v>
      </c>
      <c r="O307" s="18" t="s">
        <v>1347</v>
      </c>
      <c r="P307" s="18" t="s">
        <v>1288</v>
      </c>
      <c r="Q307" s="29" t="str" cm="1">
        <f t="array" ref="Q307">_xlfn.IFS(
A307="","",
AND(A307&lt;&gt;"",B307=""),"FALTA LANÇAMENTO",
AND(B307&lt;&gt;"",M307=""),"FALTA O PEDIDO",
AND(M307&lt;&gt;"",O307=""),"FALTA NF",
O307&lt;&gt;"","CONCLUÍDO")</f>
        <v>CONCLUÍDO</v>
      </c>
      <c r="R307" s="36"/>
    </row>
    <row r="308" spans="1:18" hidden="1">
      <c r="A308" s="16">
        <v>46043</v>
      </c>
      <c r="B308" s="16">
        <v>46052</v>
      </c>
      <c r="C308" s="21">
        <v>61521081</v>
      </c>
      <c r="D308" s="16" t="str">
        <f>IFERROR(VLOOKUP(Tabela5[[#This Row],[PREFIXO ]],Tabela4[#All],2,0),"CENTRO DE CUSTO")</f>
        <v>CAV MEC EXT PES VOLVO FH 540</v>
      </c>
      <c r="E308" s="18" t="s">
        <v>353</v>
      </c>
      <c r="F308" s="21">
        <v>13494222</v>
      </c>
      <c r="G308" s="22">
        <v>2769.72</v>
      </c>
      <c r="H308" s="22">
        <v>13901.21</v>
      </c>
      <c r="I308" s="22">
        <f t="shared" si="5"/>
        <v>16670.93</v>
      </c>
      <c r="J308" s="18" t="s">
        <v>1085</v>
      </c>
      <c r="K308" s="18">
        <v>9753249</v>
      </c>
      <c r="L308" s="18">
        <v>852540</v>
      </c>
      <c r="M308" s="18" t="s">
        <v>1544</v>
      </c>
      <c r="N308" s="16" t="s">
        <v>1284</v>
      </c>
      <c r="O308" s="18" t="s">
        <v>1545</v>
      </c>
      <c r="P308" s="18" t="s">
        <v>1546</v>
      </c>
      <c r="Q308" s="29" t="str" cm="1">
        <f t="array" ref="Q308">_xlfn.IFS(
A308="","",
AND(A308&lt;&gt;"",B308=""),"FALTA LANÇAMENTO",
AND(B308&lt;&gt;"",M308=""),"FALTA O PEDIDO",
AND(M308&lt;&gt;"",O308=""),"FALTA NF",
O308&lt;&gt;"","CONCLUÍDO")</f>
        <v>CONCLUÍDO</v>
      </c>
      <c r="R308" s="36"/>
    </row>
    <row r="309" spans="1:18" hidden="1">
      <c r="A309" s="16">
        <v>46043</v>
      </c>
      <c r="B309" s="16">
        <v>46052</v>
      </c>
      <c r="C309" s="21">
        <v>61521010</v>
      </c>
      <c r="D309" s="16" t="str">
        <f>IFERROR(VLOOKUP(Tabela5[[#This Row],[PREFIXO ]],Tabela4[#All],2,0),"CENTRO DE CUSTO")</f>
        <v>CAV MEC PES MERC BENZ AXOR 2644</v>
      </c>
      <c r="E309" s="18" t="s">
        <v>87</v>
      </c>
      <c r="F309" s="21">
        <v>1814</v>
      </c>
      <c r="G309" s="22">
        <v>268</v>
      </c>
      <c r="H309" s="22"/>
      <c r="I309" s="22">
        <f t="shared" si="5"/>
        <v>268</v>
      </c>
      <c r="J309" s="18" t="s">
        <v>1085</v>
      </c>
      <c r="K309" s="18">
        <v>9751431</v>
      </c>
      <c r="L309" s="18" t="s">
        <v>1095</v>
      </c>
      <c r="M309" s="18" t="s">
        <v>1095</v>
      </c>
      <c r="N309" s="16" t="s">
        <v>1095</v>
      </c>
      <c r="O309" s="18" t="s">
        <v>1095</v>
      </c>
      <c r="P309" s="18" t="s">
        <v>1095</v>
      </c>
      <c r="Q309" s="29" t="str" cm="1">
        <f t="array" ref="Q309">_xlfn.IFS(
A309="","",
AND(A309&lt;&gt;"",B309=""),"FALTA LANÇAMENTO",
AND(B309&lt;&gt;"",M309=""),"FALTA O PEDIDO",
AND(M309&lt;&gt;"",O309=""),"FALTA NF",
O309&lt;&gt;"","CONCLUÍDO")</f>
        <v>CONCLUÍDO</v>
      </c>
      <c r="R309" s="36"/>
    </row>
    <row r="310" spans="1:18" hidden="1">
      <c r="A310" s="16">
        <v>46043</v>
      </c>
      <c r="B310" s="16">
        <v>46062</v>
      </c>
      <c r="C310" s="21">
        <v>500580263</v>
      </c>
      <c r="D310" s="16" t="str">
        <f>IFERROR(VLOOKUP(Tabela5[[#This Row],[PREFIXO ]],Tabela4[#All],2,0),"CENTRO DE CUSTO")</f>
        <v>Colheit. Grãos-Axial</v>
      </c>
      <c r="E310" s="18" t="s">
        <v>218</v>
      </c>
      <c r="F310" s="21">
        <v>26378</v>
      </c>
      <c r="G310" s="22">
        <v>17594.8</v>
      </c>
      <c r="H310" s="22">
        <v>70617.67</v>
      </c>
      <c r="I310" s="22">
        <f t="shared" si="5"/>
        <v>88212.47</v>
      </c>
      <c r="J310" s="18" t="s">
        <v>1123</v>
      </c>
      <c r="K310" s="18">
        <v>5019061</v>
      </c>
      <c r="L310" s="18">
        <v>856711</v>
      </c>
      <c r="M310" s="18" t="s">
        <v>1547</v>
      </c>
      <c r="N310" s="16" t="s">
        <v>1463</v>
      </c>
      <c r="O310" s="18" t="s">
        <v>1548</v>
      </c>
      <c r="P310" s="18" t="s">
        <v>1549</v>
      </c>
      <c r="Q310" s="29" t="str" cm="1">
        <f t="array" ref="Q310">_xlfn.IFS(
A310="","",
AND(A310&lt;&gt;"",B310=""),"FALTA LANÇAMENTO",
AND(B310&lt;&gt;"",M310=""),"FALTA O PEDIDO",
AND(M310&lt;&gt;"",O310=""),"FALTA NF",
O310&lt;&gt;"","CONCLUÍDO")</f>
        <v>CONCLUÍDO</v>
      </c>
      <c r="R310" s="36"/>
    </row>
    <row r="311" spans="1:18" hidden="1">
      <c r="A311" s="16">
        <v>46043</v>
      </c>
      <c r="B311" s="16">
        <v>46059</v>
      </c>
      <c r="C311" s="21">
        <v>500580263</v>
      </c>
      <c r="D311" s="16" t="str">
        <f>IFERROR(VLOOKUP(Tabela5[[#This Row],[PREFIXO ]],Tabela4[#All],2,0),"CENTRO DE CUSTO")</f>
        <v>Colheit. Grãos-Axial</v>
      </c>
      <c r="E311" s="18" t="s">
        <v>218</v>
      </c>
      <c r="F311" s="21">
        <v>26373</v>
      </c>
      <c r="G311" s="22">
        <v>18460</v>
      </c>
      <c r="H311" s="22">
        <v>52853.95</v>
      </c>
      <c r="I311" s="22">
        <f t="shared" si="5"/>
        <v>71313.95</v>
      </c>
      <c r="J311" s="18" t="s">
        <v>1123</v>
      </c>
      <c r="K311" s="18">
        <v>5019060</v>
      </c>
      <c r="L311" s="18">
        <v>852217</v>
      </c>
      <c r="M311" s="18" t="s">
        <v>1550</v>
      </c>
      <c r="N311" s="16" t="s">
        <v>1551</v>
      </c>
      <c r="O311" s="18" t="s">
        <v>1552</v>
      </c>
      <c r="P311" s="18" t="s">
        <v>1553</v>
      </c>
      <c r="Q311" s="29" t="str" cm="1">
        <f t="array" ref="Q311">_xlfn.IFS(
A311="","",
AND(A311&lt;&gt;"",B311=""),"FALTA LANÇAMENTO",
AND(B311&lt;&gt;"",M311=""),"FALTA O PEDIDO",
AND(M311&lt;&gt;"",O311=""),"FALTA NF",
O311&lt;&gt;"","CONCLUÍDO")</f>
        <v>CONCLUÍDO</v>
      </c>
      <c r="R311" s="36"/>
    </row>
    <row r="312" spans="1:18" hidden="1">
      <c r="A312" s="16">
        <v>46043</v>
      </c>
      <c r="B312" s="16">
        <v>46052</v>
      </c>
      <c r="C312" s="21">
        <v>500580579</v>
      </c>
      <c r="D312" s="16" t="str">
        <f>IFERROR(VLOOKUP(Tabela5[[#This Row],[PREFIXO ]],Tabela4[#All],2,0),"CENTRO DE CUSTO")</f>
        <v>Pátio de Vendas</v>
      </c>
      <c r="E312" s="18" t="s">
        <v>224</v>
      </c>
      <c r="F312" s="21">
        <v>2440</v>
      </c>
      <c r="G312" s="22">
        <v>4000</v>
      </c>
      <c r="H312" s="22"/>
      <c r="I312" s="22">
        <f t="shared" si="5"/>
        <v>4000</v>
      </c>
      <c r="J312" s="18" t="s">
        <v>1123</v>
      </c>
      <c r="K312" s="18">
        <v>5019165</v>
      </c>
      <c r="L312" s="18" t="s">
        <v>1095</v>
      </c>
      <c r="M312" s="18" t="s">
        <v>1095</v>
      </c>
      <c r="N312" s="16" t="s">
        <v>1095</v>
      </c>
      <c r="O312" s="18" t="s">
        <v>1095</v>
      </c>
      <c r="P312" s="18" t="s">
        <v>1095</v>
      </c>
      <c r="Q312" s="29" t="str" cm="1">
        <f t="array" ref="Q312">_xlfn.IFS(
A312="","",
AND(A312&lt;&gt;"",B312=""),"FALTA LANÇAMENTO",
AND(B312&lt;&gt;"",M312=""),"FALTA O PEDIDO",
AND(M312&lt;&gt;"",O312=""),"FALTA NF",
O312&lt;&gt;"","CONCLUÍDO")</f>
        <v>CONCLUÍDO</v>
      </c>
      <c r="R312" s="36"/>
    </row>
    <row r="313" spans="1:18" hidden="1">
      <c r="A313" s="16">
        <v>46043</v>
      </c>
      <c r="B313" s="16">
        <v>46052</v>
      </c>
      <c r="C313" s="21">
        <v>500580579</v>
      </c>
      <c r="D313" s="16" t="str">
        <f>IFERROR(VLOOKUP(Tabela5[[#This Row],[PREFIXO ]],Tabela4[#All],2,0),"CENTRO DE CUSTO")</f>
        <v>Pátio de Vendas</v>
      </c>
      <c r="E313" s="18" t="s">
        <v>224</v>
      </c>
      <c r="F313" s="21">
        <v>2089</v>
      </c>
      <c r="G313" s="22">
        <v>1570</v>
      </c>
      <c r="H313" s="22"/>
      <c r="I313" s="22">
        <f t="shared" si="5"/>
        <v>1570</v>
      </c>
      <c r="J313" s="18" t="s">
        <v>1152</v>
      </c>
      <c r="K313" s="18">
        <v>5019165</v>
      </c>
      <c r="L313" s="18" t="s">
        <v>1095</v>
      </c>
      <c r="M313" s="18" t="s">
        <v>1095</v>
      </c>
      <c r="N313" s="16" t="s">
        <v>1095</v>
      </c>
      <c r="O313" s="18" t="s">
        <v>1095</v>
      </c>
      <c r="P313" s="18" t="s">
        <v>1095</v>
      </c>
      <c r="Q313" s="29" t="str" cm="1">
        <f t="array" ref="Q313">_xlfn.IFS(
A313="","",
AND(A313&lt;&gt;"",B313=""),"FALTA LANÇAMENTO",
AND(B313&lt;&gt;"",M313=""),"FALTA O PEDIDO",
AND(M313&lt;&gt;"",O313=""),"FALTA NF",
O313&lt;&gt;"","CONCLUÍDO")</f>
        <v>CONCLUÍDO</v>
      </c>
      <c r="R313" s="36"/>
    </row>
    <row r="314" spans="1:18" hidden="1">
      <c r="A314" s="16">
        <v>46043</v>
      </c>
      <c r="B314" s="16">
        <v>46050</v>
      </c>
      <c r="C314" s="21">
        <v>61521202</v>
      </c>
      <c r="D314" s="16" t="str">
        <f>IFERROR(VLOOKUP(Tabela5[[#This Row],[PREFIXO ]],Tabela4[#All],2,0),"CENTRO DE CUSTO")</f>
        <v>CENTRO DE CUSTO</v>
      </c>
      <c r="E314" s="18" t="s">
        <v>238</v>
      </c>
      <c r="F314" s="21">
        <v>7958</v>
      </c>
      <c r="G314" s="22">
        <v>1910</v>
      </c>
      <c r="H314" s="22"/>
      <c r="I314" s="22">
        <f t="shared" si="5"/>
        <v>1910</v>
      </c>
      <c r="J314" s="18" t="s">
        <v>1085</v>
      </c>
      <c r="K314" s="18">
        <v>9746185</v>
      </c>
      <c r="L314" s="18">
        <v>850520</v>
      </c>
      <c r="M314" s="18" t="s">
        <v>1554</v>
      </c>
      <c r="N314" s="16" t="s">
        <v>1427</v>
      </c>
      <c r="O314" s="18" t="s">
        <v>1555</v>
      </c>
      <c r="P314" s="18" t="s">
        <v>1556</v>
      </c>
      <c r="Q314" s="29" t="str" cm="1">
        <f t="array" ref="Q314">_xlfn.IFS(
A314="","",
AND(A314&lt;&gt;"",B314=""),"FALTA LANÇAMENTO",
AND(B314&lt;&gt;"",M314=""),"FALTA O PEDIDO",
AND(M314&lt;&gt;"",O314=""),"FALTA NF",
O314&lt;&gt;"","CONCLUÍDO")</f>
        <v>CONCLUÍDO</v>
      </c>
      <c r="R314" s="36"/>
    </row>
    <row r="315" spans="1:18" hidden="1">
      <c r="A315" s="16">
        <v>46043</v>
      </c>
      <c r="B315" s="16">
        <v>46050</v>
      </c>
      <c r="C315" s="21">
        <v>61521012</v>
      </c>
      <c r="D315" s="16" t="str">
        <f>IFERROR(VLOOKUP(Tabela5[[#This Row],[PREFIXO ]],Tabela4[#All],2,0),"CENTRO DE CUSTO")</f>
        <v>CAM COMBOIO MERC BENZ ATRON 2729</v>
      </c>
      <c r="E315" s="18" t="s">
        <v>238</v>
      </c>
      <c r="F315" s="21">
        <v>7957</v>
      </c>
      <c r="G315" s="22">
        <v>1645</v>
      </c>
      <c r="H315" s="22"/>
      <c r="I315" s="22">
        <f t="shared" si="5"/>
        <v>1645</v>
      </c>
      <c r="J315" s="18" t="s">
        <v>1085</v>
      </c>
      <c r="K315" s="18">
        <v>9746189</v>
      </c>
      <c r="L315" s="18">
        <v>850502</v>
      </c>
      <c r="M315" s="18" t="s">
        <v>1557</v>
      </c>
      <c r="N315" s="16" t="s">
        <v>1507</v>
      </c>
      <c r="O315" s="18" t="s">
        <v>1558</v>
      </c>
      <c r="P315" s="18" t="s">
        <v>1556</v>
      </c>
      <c r="Q315" s="29" t="str" cm="1">
        <f t="array" ref="Q315">_xlfn.IFS(
A315="","",
AND(A315&lt;&gt;"",B315=""),"FALTA LANÇAMENTO",
AND(B315&lt;&gt;"",M315=""),"FALTA O PEDIDO",
AND(M315&lt;&gt;"",O315=""),"FALTA NF",
O315&lt;&gt;"","CONCLUÍDO")</f>
        <v>CONCLUÍDO</v>
      </c>
      <c r="R315" s="36"/>
    </row>
    <row r="316" spans="1:18" hidden="1">
      <c r="A316" s="16">
        <v>46043</v>
      </c>
      <c r="B316" s="16">
        <v>46049</v>
      </c>
      <c r="C316" s="21">
        <v>85048065</v>
      </c>
      <c r="D316" s="16" t="str">
        <f>IFERROR(VLOOKUP(Tabela5[[#This Row],[PREFIXO ]],Tabela4[#All],2,0),"CENTRO DE CUSTO")</f>
        <v>SUBSOLADOR GTS TERRUS DUO 15H</v>
      </c>
      <c r="E316" s="18" t="s">
        <v>68</v>
      </c>
      <c r="F316" s="21">
        <v>1780</v>
      </c>
      <c r="G316" s="22">
        <v>959</v>
      </c>
      <c r="H316" s="22"/>
      <c r="I316" s="22">
        <f t="shared" si="5"/>
        <v>959</v>
      </c>
      <c r="J316" s="18" t="s">
        <v>1097</v>
      </c>
      <c r="K316" s="18">
        <v>9746384</v>
      </c>
      <c r="L316" s="18">
        <v>850103</v>
      </c>
      <c r="M316" s="18" t="s">
        <v>1559</v>
      </c>
      <c r="N316" s="16" t="s">
        <v>1507</v>
      </c>
      <c r="O316" s="18" t="s">
        <v>1095</v>
      </c>
      <c r="P316" s="18" t="s">
        <v>1095</v>
      </c>
      <c r="Q316" s="29" t="str" cm="1">
        <f t="array" ref="Q316">_xlfn.IFS(
A316="","",
AND(A316&lt;&gt;"",B316=""),"FALTA LANÇAMENTO",
AND(B316&lt;&gt;"",M316=""),"FALTA O PEDIDO",
AND(M316&lt;&gt;"",O316=""),"FALTA NF",
O316&lt;&gt;"","CONCLUÍDO")</f>
        <v>CONCLUÍDO</v>
      </c>
      <c r="R316" s="36"/>
    </row>
    <row r="317" spans="1:18" hidden="1">
      <c r="A317" s="16">
        <v>46043</v>
      </c>
      <c r="B317" s="16">
        <v>46050</v>
      </c>
      <c r="C317" s="21">
        <v>85048068</v>
      </c>
      <c r="D317" s="16" t="str">
        <f>IFERROR(VLOOKUP(Tabela5[[#This Row],[PREFIXO ]],Tabela4[#All],2,0),"CENTRO DE CUSTO")</f>
        <v>SUBSOLADOR GTS TERRUS DUO 15H</v>
      </c>
      <c r="E317" s="18" t="s">
        <v>68</v>
      </c>
      <c r="F317" s="21">
        <v>1785</v>
      </c>
      <c r="G317" s="22">
        <v>208</v>
      </c>
      <c r="H317" s="22"/>
      <c r="I317" s="22">
        <f t="shared" si="5"/>
        <v>208</v>
      </c>
      <c r="J317" s="18" t="s">
        <v>1097</v>
      </c>
      <c r="K317" s="18">
        <v>9746386</v>
      </c>
      <c r="L317" s="18" t="s">
        <v>1095</v>
      </c>
      <c r="M317" s="18" t="s">
        <v>1095</v>
      </c>
      <c r="N317" s="16" t="s">
        <v>1095</v>
      </c>
      <c r="O317" s="18" t="s">
        <v>1095</v>
      </c>
      <c r="P317" s="18" t="s">
        <v>1095</v>
      </c>
      <c r="Q317" s="29" t="str" cm="1">
        <f t="array" ref="Q317">_xlfn.IFS(
A317="","",
AND(A317&lt;&gt;"",B317=""),"FALTA LANÇAMENTO",
AND(B317&lt;&gt;"",M317=""),"FALTA O PEDIDO",
AND(M317&lt;&gt;"",O317=""),"FALTA NF",
O317&lt;&gt;"","CONCLUÍDO")</f>
        <v>CONCLUÍDO</v>
      </c>
      <c r="R317" s="36"/>
    </row>
    <row r="318" spans="1:18" hidden="1">
      <c r="A318" s="16">
        <v>46043</v>
      </c>
      <c r="B318" s="16">
        <v>46050</v>
      </c>
      <c r="C318" s="21">
        <v>900324</v>
      </c>
      <c r="D318" s="16" t="str">
        <f>IFERROR(VLOOKUP(Tabela5[[#This Row],[PREFIXO ]],Tabela4[#All],2,0),"CENTRO DE CUSTO")</f>
        <v>BOOM ARTICULADO AUTOPROPELIDO Z-45/25</v>
      </c>
      <c r="E318" s="18" t="s">
        <v>247</v>
      </c>
      <c r="F318" s="21">
        <v>133711</v>
      </c>
      <c r="G318" s="22">
        <v>684</v>
      </c>
      <c r="H318" s="22"/>
      <c r="I318" s="22">
        <f t="shared" si="5"/>
        <v>684</v>
      </c>
      <c r="J318" s="18" t="s">
        <v>1199</v>
      </c>
      <c r="K318" s="18">
        <v>9746130</v>
      </c>
      <c r="L318" s="18">
        <v>850529</v>
      </c>
      <c r="M318" s="18" t="s">
        <v>1560</v>
      </c>
      <c r="N318" s="16" t="s">
        <v>1427</v>
      </c>
      <c r="O318" s="18" t="s">
        <v>1561</v>
      </c>
      <c r="P318" s="18" t="s">
        <v>1288</v>
      </c>
      <c r="Q318" s="29" t="str" cm="1">
        <f t="array" ref="Q318">_xlfn.IFS(
A318="","",
AND(A318&lt;&gt;"",B318=""),"FALTA LANÇAMENTO",
AND(B318&lt;&gt;"",M318=""),"FALTA O PEDIDO",
AND(M318&lt;&gt;"",O318=""),"FALTA NF",
O318&lt;&gt;"","CONCLUÍDO")</f>
        <v>CONCLUÍDO</v>
      </c>
      <c r="R318" s="36"/>
    </row>
    <row r="319" spans="1:18" hidden="1">
      <c r="A319" s="16">
        <v>46043</v>
      </c>
      <c r="B319" s="16">
        <v>46052</v>
      </c>
      <c r="C319" s="21">
        <v>11521030</v>
      </c>
      <c r="D319" s="16" t="str">
        <f>IFERROR(VLOOKUP(Tabela5[[#This Row],[PREFIXO ]],Tabela4[#All],2,0),"CENTRO DE CUSTO")</f>
        <v>TRAT PN EXT PES FENDT 1046 VARIO</v>
      </c>
      <c r="E319" s="18" t="s">
        <v>259</v>
      </c>
      <c r="F319" s="21" t="s">
        <v>1562</v>
      </c>
      <c r="G319" s="22">
        <v>49.99</v>
      </c>
      <c r="H319" s="22">
        <v>12590.99</v>
      </c>
      <c r="I319" s="22">
        <f t="shared" si="5"/>
        <v>12640.98</v>
      </c>
      <c r="J319" s="18" t="s">
        <v>1199</v>
      </c>
      <c r="K319" s="18">
        <v>9746136</v>
      </c>
      <c r="L319" s="18">
        <v>852483</v>
      </c>
      <c r="M319" s="18" t="s">
        <v>1563</v>
      </c>
      <c r="N319" s="16" t="s">
        <v>1284</v>
      </c>
      <c r="O319" s="18" t="s">
        <v>1564</v>
      </c>
      <c r="P319" s="18" t="s">
        <v>1565</v>
      </c>
      <c r="Q319" s="29" t="str" cm="1">
        <f t="array" ref="Q319">_xlfn.IFS(
A319="","",
AND(A319&lt;&gt;"",B319=""),"FALTA LANÇAMENTO",
AND(B319&lt;&gt;"",M319=""),"FALTA O PEDIDO",
AND(M319&lt;&gt;"",O319=""),"FALTA NF",
O319&lt;&gt;"","CONCLUÍDO")</f>
        <v>CONCLUÍDO</v>
      </c>
      <c r="R319" s="36"/>
    </row>
    <row r="320" spans="1:18" hidden="1">
      <c r="A320" s="16">
        <v>46043</v>
      </c>
      <c r="B320" s="16">
        <v>46049</v>
      </c>
      <c r="C320" s="21" t="s">
        <v>1566</v>
      </c>
      <c r="D320" s="16" t="str">
        <f>IFERROR(VLOOKUP(Tabela5[[#This Row],[PREFIXO ]],Tabela4[#All],2,0),"CENTRO DE CUSTO")</f>
        <v>CENTRO DE CUSTO</v>
      </c>
      <c r="E320" s="18" t="s">
        <v>346</v>
      </c>
      <c r="F320" s="21" t="s">
        <v>1301</v>
      </c>
      <c r="G320" s="22">
        <v>10398</v>
      </c>
      <c r="H320" s="22"/>
      <c r="I320" s="22">
        <f t="shared" ref="I320:I383" si="6">G320+H320</f>
        <v>10398</v>
      </c>
      <c r="J320" s="18" t="s">
        <v>1113</v>
      </c>
      <c r="K320" s="18">
        <v>5019064</v>
      </c>
      <c r="L320" s="18">
        <v>850087</v>
      </c>
      <c r="M320" s="18" t="s">
        <v>1567</v>
      </c>
      <c r="N320" s="16" t="s">
        <v>1427</v>
      </c>
      <c r="O320" s="18" t="s">
        <v>1304</v>
      </c>
      <c r="P320" s="18" t="s">
        <v>1433</v>
      </c>
      <c r="Q320" s="29" t="str" cm="1">
        <f t="array" ref="Q320">_xlfn.IFS(
A320="","",
AND(A320&lt;&gt;"",B320=""),"FALTA LANÇAMENTO",
AND(B320&lt;&gt;"",M320=""),"FALTA O PEDIDO",
AND(M320&lt;&gt;"",O320=""),"FALTA NF",
O320&lt;&gt;"","CONCLUÍDO")</f>
        <v>CONCLUÍDO</v>
      </c>
      <c r="R320" s="36"/>
    </row>
    <row r="321" spans="1:18" hidden="1">
      <c r="A321" s="16">
        <v>46043</v>
      </c>
      <c r="B321" s="16">
        <v>46049</v>
      </c>
      <c r="C321" s="21" t="s">
        <v>1568</v>
      </c>
      <c r="D321" s="16" t="str">
        <f>IFERROR(VLOOKUP(Tabela5[[#This Row],[PREFIXO ]],Tabela4[#All],2,0),"CENTRO DE CUSTO")</f>
        <v>CENTRO DE CUSTO</v>
      </c>
      <c r="E321" s="18" t="s">
        <v>346</v>
      </c>
      <c r="F321" s="21" t="s">
        <v>1303</v>
      </c>
      <c r="G321" s="22">
        <v>1981</v>
      </c>
      <c r="H321" s="22"/>
      <c r="I321" s="22">
        <f t="shared" si="6"/>
        <v>1981</v>
      </c>
      <c r="J321" s="18" t="s">
        <v>1113</v>
      </c>
      <c r="K321" s="18">
        <v>5019063</v>
      </c>
      <c r="L321" s="18">
        <v>850087</v>
      </c>
      <c r="M321" s="18" t="s">
        <v>1567</v>
      </c>
      <c r="N321" s="16" t="s">
        <v>1427</v>
      </c>
      <c r="O321" s="18" t="s">
        <v>1304</v>
      </c>
      <c r="P321" s="18" t="s">
        <v>1433</v>
      </c>
      <c r="Q321" s="29" t="str" cm="1">
        <f t="array" ref="Q321">_xlfn.IFS(
A321="","",
AND(A321&lt;&gt;"",B321=""),"FALTA LANÇAMENTO",
AND(B321&lt;&gt;"",M321=""),"FALTA O PEDIDO",
AND(M321&lt;&gt;"",O321=""),"FALTA NF",
O321&lt;&gt;"","CONCLUÍDO")</f>
        <v>CONCLUÍDO</v>
      </c>
      <c r="R321" s="36"/>
    </row>
    <row r="322" spans="1:18" hidden="1">
      <c r="A322" s="16">
        <v>46049</v>
      </c>
      <c r="B322" s="16">
        <v>46058</v>
      </c>
      <c r="C322" s="21">
        <v>11040045</v>
      </c>
      <c r="D322" s="16" t="str">
        <f>IFERROR(VLOOKUP(Tabela5[[#This Row],[PREFIXO ]],Tabela4[#All],2,0),"CENTRO DE CUSTO")</f>
        <v>CENTRO DE CUSTO</v>
      </c>
      <c r="E322" s="18" t="s">
        <v>29</v>
      </c>
      <c r="F322" s="21">
        <v>54671</v>
      </c>
      <c r="G322" s="22">
        <v>7321</v>
      </c>
      <c r="H322" s="22">
        <v>11779.53</v>
      </c>
      <c r="I322" s="22">
        <f t="shared" si="6"/>
        <v>19100.53</v>
      </c>
      <c r="J322" s="18" t="s">
        <v>1085</v>
      </c>
      <c r="K322" s="18">
        <v>9759056</v>
      </c>
      <c r="L322" s="18">
        <v>856760</v>
      </c>
      <c r="M322" s="18" t="s">
        <v>1569</v>
      </c>
      <c r="N322" s="16" t="s">
        <v>1551</v>
      </c>
      <c r="O322" s="18" t="s">
        <v>1570</v>
      </c>
      <c r="P322" s="18" t="s">
        <v>1571</v>
      </c>
      <c r="Q322" s="29" t="str" cm="1">
        <f t="array" ref="Q322">_xlfn.IFS(
A322="","",
AND(A322&lt;&gt;"",B322=""),"FALTA LANÇAMENTO",
AND(B322&lt;&gt;"",M322=""),"FALTA O PEDIDO",
AND(M322&lt;&gt;"",O322=""),"FALTA NF",
O322&lt;&gt;"","CONCLUÍDO")</f>
        <v>CONCLUÍDO</v>
      </c>
      <c r="R322" s="36"/>
    </row>
    <row r="323" spans="1:18" hidden="1">
      <c r="A323" s="16">
        <v>46049</v>
      </c>
      <c r="B323" s="16">
        <v>46057</v>
      </c>
      <c r="C323" s="21">
        <v>81521344</v>
      </c>
      <c r="D323" s="16" t="str">
        <f>IFERROR(VLOOKUP(Tabela5[[#This Row],[PREFIXO ]],Tabela4[#All],2,0),"CENTRO DE CUSTO")</f>
        <v>SEMI REBOQ TANQUE 45.000L AI</v>
      </c>
      <c r="E323" s="18" t="s">
        <v>29</v>
      </c>
      <c r="F323" s="21">
        <v>54586</v>
      </c>
      <c r="G323" s="22">
        <v>884</v>
      </c>
      <c r="H323" s="22">
        <v>2047.87</v>
      </c>
      <c r="I323" s="22">
        <f t="shared" si="6"/>
        <v>2931.87</v>
      </c>
      <c r="J323" s="18" t="s">
        <v>1085</v>
      </c>
      <c r="K323" s="18">
        <v>9743497</v>
      </c>
      <c r="L323" s="18">
        <v>856175</v>
      </c>
      <c r="M323" s="18" t="s">
        <v>1572</v>
      </c>
      <c r="N323" s="16" t="s">
        <v>1418</v>
      </c>
      <c r="O323" s="18" t="s">
        <v>1573</v>
      </c>
      <c r="P323" s="18" t="s">
        <v>1574</v>
      </c>
      <c r="Q323" s="29" t="str" cm="1">
        <f t="array" ref="Q323">_xlfn.IFS(
A323="","",
AND(A323&lt;&gt;"",B323=""),"FALTA LANÇAMENTO",
AND(B323&lt;&gt;"",M323=""),"FALTA O PEDIDO",
AND(M323&lt;&gt;"",O323=""),"FALTA NF",
O323&lt;&gt;"","CONCLUÍDO")</f>
        <v>CONCLUÍDO</v>
      </c>
      <c r="R323" s="36"/>
    </row>
    <row r="324" spans="1:18" hidden="1">
      <c r="A324" s="16">
        <v>46049</v>
      </c>
      <c r="B324" s="16">
        <v>46057</v>
      </c>
      <c r="C324" s="21">
        <v>11040017</v>
      </c>
      <c r="D324" s="16" t="str">
        <f>IFERROR(VLOOKUP(Tabela5[[#This Row],[PREFIXO ]],Tabela4[#All],2,0),"CENTRO DE CUSTO")</f>
        <v>CAV MEC EXT PES SCANIA R500</v>
      </c>
      <c r="E324" s="18" t="s">
        <v>29</v>
      </c>
      <c r="F324" s="21">
        <v>54585</v>
      </c>
      <c r="G324" s="22">
        <v>711</v>
      </c>
      <c r="H324" s="22">
        <v>1056.8599999999999</v>
      </c>
      <c r="I324" s="22">
        <f t="shared" si="6"/>
        <v>1767.86</v>
      </c>
      <c r="J324" s="18" t="s">
        <v>1085</v>
      </c>
      <c r="K324" s="18">
        <v>9743560</v>
      </c>
      <c r="L324" s="18">
        <v>855351</v>
      </c>
      <c r="M324" s="18" t="s">
        <v>1575</v>
      </c>
      <c r="N324" s="16" t="s">
        <v>1092</v>
      </c>
      <c r="O324" s="18" t="s">
        <v>1576</v>
      </c>
      <c r="P324" s="18" t="s">
        <v>1574</v>
      </c>
      <c r="Q324" s="29" t="str" cm="1">
        <f t="array" ref="Q324">_xlfn.IFS(
A324="","",
AND(A324&lt;&gt;"",B324=""),"FALTA LANÇAMENTO",
AND(B324&lt;&gt;"",M324=""),"FALTA O PEDIDO",
AND(M324&lt;&gt;"",O324=""),"FALTA NF",
O324&lt;&gt;"","CONCLUÍDO")</f>
        <v>CONCLUÍDO</v>
      </c>
      <c r="R324" s="36"/>
    </row>
    <row r="325" spans="1:18" hidden="1">
      <c r="A325" s="16">
        <v>46049</v>
      </c>
      <c r="B325" s="16">
        <v>46057</v>
      </c>
      <c r="C325" s="21">
        <v>6173012</v>
      </c>
      <c r="D325" s="16" t="str">
        <f>IFERROR(VLOOKUP(Tabela5[[#This Row],[PREFIXO ]],Tabela4[#All],2,0),"CENTRO DE CUSTO")</f>
        <v>CAM TRANSP LIXO MERC BENZ MB 1620</v>
      </c>
      <c r="E325" s="18" t="s">
        <v>29</v>
      </c>
      <c r="F325" s="21">
        <v>54708</v>
      </c>
      <c r="G325" s="22">
        <v>100</v>
      </c>
      <c r="H325" s="22">
        <v>1287.42</v>
      </c>
      <c r="I325" s="22">
        <f t="shared" si="6"/>
        <v>1387.42</v>
      </c>
      <c r="J325" s="18" t="s">
        <v>1085</v>
      </c>
      <c r="K325" s="18">
        <v>9743572</v>
      </c>
      <c r="L325" s="18">
        <v>855733</v>
      </c>
      <c r="M325" s="18" t="s">
        <v>1577</v>
      </c>
      <c r="N325" s="16" t="s">
        <v>1092</v>
      </c>
      <c r="O325" s="18" t="s">
        <v>1578</v>
      </c>
      <c r="P325" s="18" t="s">
        <v>1468</v>
      </c>
      <c r="Q325" s="29" t="str" cm="1">
        <f t="array" ref="Q325">_xlfn.IFS(
A325="","",
AND(A325&lt;&gt;"",B325=""),"FALTA LANÇAMENTO",
AND(B325&lt;&gt;"",M325=""),"FALTA O PEDIDO",
AND(M325&lt;&gt;"",O325=""),"FALTA NF",
O325&lt;&gt;"","CONCLUÍDO")</f>
        <v>CONCLUÍDO</v>
      </c>
      <c r="R325" s="36"/>
    </row>
    <row r="326" spans="1:18" hidden="1">
      <c r="A326" s="16">
        <v>46049</v>
      </c>
      <c r="B326" s="16">
        <v>46057</v>
      </c>
      <c r="C326" s="21">
        <v>61521012</v>
      </c>
      <c r="D326" s="16" t="str">
        <f>IFERROR(VLOOKUP(Tabela5[[#This Row],[PREFIXO ]],Tabela4[#All],2,0),"CENTRO DE CUSTO")</f>
        <v>CAM COMBOIO MERC BENZ ATRON 2729</v>
      </c>
      <c r="E326" s="18" t="s">
        <v>29</v>
      </c>
      <c r="F326" s="21">
        <v>54661</v>
      </c>
      <c r="G326" s="22">
        <v>45</v>
      </c>
      <c r="H326" s="22">
        <v>1113.9000000000001</v>
      </c>
      <c r="I326" s="22">
        <f t="shared" si="6"/>
        <v>1158.9000000000001</v>
      </c>
      <c r="J326" s="18" t="s">
        <v>1085</v>
      </c>
      <c r="K326" s="18">
        <v>9743567</v>
      </c>
      <c r="L326" s="18">
        <v>855747</v>
      </c>
      <c r="M326" s="18" t="s">
        <v>1579</v>
      </c>
      <c r="N326" s="16" t="s">
        <v>1092</v>
      </c>
      <c r="O326" s="18" t="s">
        <v>1580</v>
      </c>
      <c r="P326" s="18" t="s">
        <v>1468</v>
      </c>
      <c r="Q326" s="29" t="str" cm="1">
        <f t="array" ref="Q326">_xlfn.IFS(
A326="","",
AND(A326&lt;&gt;"",B326=""),"FALTA LANÇAMENTO",
AND(B326&lt;&gt;"",M326=""),"FALTA O PEDIDO",
AND(M326&lt;&gt;"",O326=""),"FALTA NF",
O326&lt;&gt;"","CONCLUÍDO")</f>
        <v>CONCLUÍDO</v>
      </c>
      <c r="R326" s="36"/>
    </row>
    <row r="327" spans="1:18" hidden="1">
      <c r="A327" s="16">
        <v>46049</v>
      </c>
      <c r="B327" s="16">
        <v>46057</v>
      </c>
      <c r="C327" s="21">
        <v>61521061</v>
      </c>
      <c r="D327" s="16" t="str">
        <f>IFERROR(VLOOKUP(Tabela5[[#This Row],[PREFIXO ]],Tabela4[#All],2,0),"CENTRO DE CUSTO")</f>
        <v>ONIB RODOVIÁRIO MERC BENZ MARCOPOLO TORI</v>
      </c>
      <c r="E327" s="18" t="s">
        <v>29</v>
      </c>
      <c r="F327" s="21">
        <v>54647</v>
      </c>
      <c r="G327" s="22">
        <v>80</v>
      </c>
      <c r="H327" s="22">
        <v>928.25</v>
      </c>
      <c r="I327" s="22">
        <f t="shared" si="6"/>
        <v>1008.25</v>
      </c>
      <c r="J327" s="18" t="s">
        <v>1085</v>
      </c>
      <c r="K327" s="18">
        <v>9743564</v>
      </c>
      <c r="L327" s="18">
        <v>855719</v>
      </c>
      <c r="M327" s="18" t="s">
        <v>1581</v>
      </c>
      <c r="N327" s="16" t="s">
        <v>1092</v>
      </c>
      <c r="O327" s="18" t="s">
        <v>1582</v>
      </c>
      <c r="P327" s="18" t="s">
        <v>1468</v>
      </c>
      <c r="Q327" s="29" t="str" cm="1">
        <f t="array" ref="Q327">_xlfn.IFS(
A327="","",
AND(A327&lt;&gt;"",B327=""),"FALTA LANÇAMENTO",
AND(B327&lt;&gt;"",M327=""),"FALTA O PEDIDO",
AND(M327&lt;&gt;"",O327=""),"FALTA NF",
O327&lt;&gt;"","CONCLUÍDO")</f>
        <v>CONCLUÍDO</v>
      </c>
      <c r="R327" s="36"/>
    </row>
    <row r="328" spans="1:18" hidden="1">
      <c r="A328" s="16">
        <v>46049</v>
      </c>
      <c r="B328" s="16">
        <v>46057</v>
      </c>
      <c r="C328" s="21">
        <v>6173059</v>
      </c>
      <c r="D328" s="16" t="str">
        <f>IFERROR(VLOOKUP(Tabela5[[#This Row],[PREFIXO ]],Tabela4[#All],2,0),"CENTRO DE CUSTO")</f>
        <v>CAM CARGA SECA FORD F-4000</v>
      </c>
      <c r="E328" s="18" t="s">
        <v>29</v>
      </c>
      <c r="F328" s="21">
        <v>54717</v>
      </c>
      <c r="G328" s="22">
        <v>80</v>
      </c>
      <c r="H328" s="22">
        <v>623.75</v>
      </c>
      <c r="I328" s="22">
        <f t="shared" si="6"/>
        <v>703.75</v>
      </c>
      <c r="J328" s="18" t="s">
        <v>1085</v>
      </c>
      <c r="K328" s="18">
        <v>9743605</v>
      </c>
      <c r="L328" s="18">
        <v>855754</v>
      </c>
      <c r="M328" s="18" t="s">
        <v>1583</v>
      </c>
      <c r="N328" s="16" t="s">
        <v>1092</v>
      </c>
      <c r="O328" s="18" t="s">
        <v>1584</v>
      </c>
      <c r="P328" s="18" t="s">
        <v>1468</v>
      </c>
      <c r="Q328" s="29" t="str" cm="1">
        <f t="array" ref="Q328">_xlfn.IFS(
A328="","",
AND(A328&lt;&gt;"",B328=""),"FALTA LANÇAMENTO",
AND(B328&lt;&gt;"",M328=""),"FALTA O PEDIDO",
AND(M328&lt;&gt;"",O328=""),"FALTA NF",
O328&lt;&gt;"","CONCLUÍDO")</f>
        <v>CONCLUÍDO</v>
      </c>
      <c r="R328" s="36"/>
    </row>
    <row r="329" spans="1:18" hidden="1">
      <c r="A329" s="16">
        <v>46049</v>
      </c>
      <c r="B329" s="16">
        <v>46057</v>
      </c>
      <c r="C329" s="21">
        <v>61521083</v>
      </c>
      <c r="D329" s="16" t="str">
        <f>IFERROR(VLOOKUP(Tabela5[[#This Row],[PREFIXO ]],Tabela4[#All],2,0),"CENTRO DE CUSTO")</f>
        <v>CAM COMBOIO VOLVO VM 330</v>
      </c>
      <c r="E329" s="18" t="s">
        <v>29</v>
      </c>
      <c r="F329" s="21">
        <v>54622</v>
      </c>
      <c r="G329" s="22">
        <v>80</v>
      </c>
      <c r="H329" s="22">
        <v>493.5</v>
      </c>
      <c r="I329" s="22">
        <f t="shared" si="6"/>
        <v>573.5</v>
      </c>
      <c r="J329" s="18" t="s">
        <v>1085</v>
      </c>
      <c r="K329" s="18">
        <v>9743493</v>
      </c>
      <c r="L329" s="18">
        <v>855725</v>
      </c>
      <c r="M329" s="18" t="s">
        <v>1585</v>
      </c>
      <c r="N329" s="16" t="s">
        <v>1092</v>
      </c>
      <c r="O329" s="18" t="s">
        <v>1586</v>
      </c>
      <c r="P329" s="18" t="s">
        <v>1468</v>
      </c>
      <c r="Q329" s="29" t="str" cm="1">
        <f t="array" ref="Q329">_xlfn.IFS(
A329="","",
AND(A329&lt;&gt;"",B329=""),"FALTA LANÇAMENTO",
AND(B329&lt;&gt;"",M329=""),"FALTA O PEDIDO",
AND(M329&lt;&gt;"",O329=""),"FALTA NF",
O329&lt;&gt;"","CONCLUÍDO")</f>
        <v>CONCLUÍDO</v>
      </c>
      <c r="R329" s="36"/>
    </row>
    <row r="330" spans="1:18" hidden="1">
      <c r="A330" s="16">
        <v>46049</v>
      </c>
      <c r="B330" s="16">
        <v>46057</v>
      </c>
      <c r="C330" s="21">
        <v>11040045</v>
      </c>
      <c r="D330" s="16" t="str">
        <f>IFERROR(VLOOKUP(Tabela5[[#This Row],[PREFIXO ]],Tabela4[#All],2,0),"CENTRO DE CUSTO")</f>
        <v>CENTRO DE CUSTO</v>
      </c>
      <c r="E330" s="18" t="s">
        <v>29</v>
      </c>
      <c r="F330" s="21">
        <v>54720</v>
      </c>
      <c r="G330" s="22">
        <v>520</v>
      </c>
      <c r="H330" s="22">
        <v>13.16</v>
      </c>
      <c r="I330" s="22">
        <f t="shared" si="6"/>
        <v>533.16</v>
      </c>
      <c r="J330" s="18" t="s">
        <v>1085</v>
      </c>
      <c r="K330" s="18">
        <v>9743607</v>
      </c>
      <c r="L330" s="18">
        <v>9757249</v>
      </c>
      <c r="M330" s="18" t="s">
        <v>1095</v>
      </c>
      <c r="N330" s="16" t="s">
        <v>1095</v>
      </c>
      <c r="O330" s="18" t="s">
        <v>1095</v>
      </c>
      <c r="P330" s="18" t="s">
        <v>1095</v>
      </c>
      <c r="Q330" s="29" t="str" cm="1">
        <f t="array" ref="Q330">_xlfn.IFS(
A330="","",
AND(A330&lt;&gt;"",B330=""),"FALTA LANÇAMENTO",
AND(B330&lt;&gt;"",M330=""),"FALTA O PEDIDO",
AND(M330&lt;&gt;"",O330=""),"FALTA NF",
O330&lt;&gt;"","CONCLUÍDO")</f>
        <v>CONCLUÍDO</v>
      </c>
      <c r="R330" s="36"/>
    </row>
    <row r="331" spans="1:18" hidden="1">
      <c r="A331" s="16">
        <v>46049</v>
      </c>
      <c r="B331" s="16">
        <v>46057</v>
      </c>
      <c r="C331" s="21">
        <v>61521076</v>
      </c>
      <c r="D331" s="16" t="str">
        <f>IFERROR(VLOOKUP(Tabela5[[#This Row],[PREFIXO ]],Tabela4[#All],2,0),"CENTRO DE CUSTO")</f>
        <v>CAM CARGA SECA MERC BENZ ACCELO 815</v>
      </c>
      <c r="E331" s="18" t="s">
        <v>29</v>
      </c>
      <c r="F331" s="21">
        <v>54657</v>
      </c>
      <c r="G331" s="22">
        <v>165</v>
      </c>
      <c r="H331" s="22">
        <v>203.32</v>
      </c>
      <c r="I331" s="22">
        <f t="shared" si="6"/>
        <v>368.32</v>
      </c>
      <c r="J331" s="18" t="s">
        <v>1085</v>
      </c>
      <c r="K331" s="18">
        <v>9743565</v>
      </c>
      <c r="L331" s="18">
        <v>855708</v>
      </c>
      <c r="M331" s="18" t="s">
        <v>1587</v>
      </c>
      <c r="N331" s="16" t="s">
        <v>1418</v>
      </c>
      <c r="O331" s="18" t="s">
        <v>1588</v>
      </c>
      <c r="P331" s="18" t="s">
        <v>1589</v>
      </c>
      <c r="Q331" s="29" t="str" cm="1">
        <f t="array" ref="Q331">_xlfn.IFS(
A331="","",
AND(A331&lt;&gt;"",B331=""),"FALTA LANÇAMENTO",
AND(B331&lt;&gt;"",M331=""),"FALTA O PEDIDO",
AND(M331&lt;&gt;"",O331=""),"FALTA NF",
O331&lt;&gt;"","CONCLUÍDO")</f>
        <v>CONCLUÍDO</v>
      </c>
      <c r="R331" s="36"/>
    </row>
    <row r="332" spans="1:18" hidden="1">
      <c r="A332" s="16">
        <v>46049</v>
      </c>
      <c r="B332" s="16">
        <v>46050</v>
      </c>
      <c r="C332" s="21">
        <v>50050263</v>
      </c>
      <c r="D332" s="16" t="str">
        <f>IFERROR(VLOOKUP(Tabela5[[#This Row],[PREFIXO ]],Tabela4[#All],2,0),"CENTRO DE CUSTO")</f>
        <v>CENTRO DE CUSTO</v>
      </c>
      <c r="E332" s="18" t="s">
        <v>33</v>
      </c>
      <c r="F332" s="21">
        <v>136</v>
      </c>
      <c r="G332" s="22">
        <v>1970</v>
      </c>
      <c r="H332" s="22"/>
      <c r="I332" s="22">
        <f t="shared" si="6"/>
        <v>1970</v>
      </c>
      <c r="J332" s="18" t="s">
        <v>1113</v>
      </c>
      <c r="K332" s="18">
        <v>5019174</v>
      </c>
      <c r="L332" s="18" t="s">
        <v>1095</v>
      </c>
      <c r="M332" s="18" t="s">
        <v>1095</v>
      </c>
      <c r="N332" s="16" t="s">
        <v>1095</v>
      </c>
      <c r="O332" s="18" t="s">
        <v>1095</v>
      </c>
      <c r="P332" s="18" t="s">
        <v>1095</v>
      </c>
      <c r="Q332" s="29" t="str" cm="1">
        <f t="array" ref="Q332">_xlfn.IFS(
A332="","",
AND(A332&lt;&gt;"",B332=""),"FALTA LANÇAMENTO",
AND(B332&lt;&gt;"",M332=""),"FALTA O PEDIDO",
AND(M332&lt;&gt;"",O332=""),"FALTA NF",
O332&lt;&gt;"","CONCLUÍDO")</f>
        <v>CONCLUÍDO</v>
      </c>
      <c r="R332" s="36"/>
    </row>
    <row r="333" spans="1:18" hidden="1">
      <c r="A333" s="16">
        <v>46049</v>
      </c>
      <c r="B333" s="16">
        <v>46058</v>
      </c>
      <c r="C333" s="21">
        <v>1315004</v>
      </c>
      <c r="D333" s="16" t="str">
        <f>IFERROR(VLOOKUP(Tabela5[[#This Row],[PREFIXO ]],Tabela4[#All],2,0),"CENTRO DE CUSTO")</f>
        <v>CENTRO DE CUSTO</v>
      </c>
      <c r="E333" s="18" t="s">
        <v>66</v>
      </c>
      <c r="F333" s="21">
        <v>46965</v>
      </c>
      <c r="G333" s="22"/>
      <c r="H333" s="22">
        <v>15399.93</v>
      </c>
      <c r="I333" s="22">
        <f t="shared" si="6"/>
        <v>15399.93</v>
      </c>
      <c r="J333" s="18" t="s">
        <v>1265</v>
      </c>
      <c r="K333" s="18">
        <v>9750764</v>
      </c>
      <c r="L333" s="18">
        <v>857178</v>
      </c>
      <c r="M333" s="18" t="s">
        <v>1590</v>
      </c>
      <c r="N333" s="16" t="s">
        <v>1125</v>
      </c>
      <c r="O333" s="18" t="s">
        <v>1591</v>
      </c>
      <c r="P333" s="18" t="s">
        <v>1501</v>
      </c>
      <c r="Q333" s="29" t="str" cm="1">
        <f t="array" ref="Q333">_xlfn.IFS(
A333="","",
AND(A333&lt;&gt;"",B333=""),"FALTA LANÇAMENTO",
AND(B333&lt;&gt;"",M333=""),"FALTA O PEDIDO",
AND(M333&lt;&gt;"",O333=""),"FALTA NF",
O333&lt;&gt;"","CONCLUÍDO")</f>
        <v>CONCLUÍDO</v>
      </c>
      <c r="R333" s="36"/>
    </row>
    <row r="334" spans="1:18" hidden="1">
      <c r="A334" s="16">
        <v>46049</v>
      </c>
      <c r="B334" s="16">
        <v>46058</v>
      </c>
      <c r="C334" s="21">
        <v>31521015</v>
      </c>
      <c r="D334" s="16" t="str">
        <f>IFERROR(VLOOKUP(Tabela5[[#This Row],[PREFIXO ]],Tabela4[#All],2,0),"CENTRO DE CUSTO")</f>
        <v>PULV AUTOPROP JACTO UNIPORT 3030</v>
      </c>
      <c r="E334" s="18" t="s">
        <v>66</v>
      </c>
      <c r="F334" s="21">
        <v>48878</v>
      </c>
      <c r="G334" s="22"/>
      <c r="H334" s="22">
        <v>3865.22</v>
      </c>
      <c r="I334" s="22">
        <f t="shared" si="6"/>
        <v>3865.22</v>
      </c>
      <c r="J334" s="18" t="s">
        <v>1080</v>
      </c>
      <c r="K334" s="18">
        <v>9750702</v>
      </c>
      <c r="L334" s="18">
        <v>856732</v>
      </c>
      <c r="M334" s="18" t="s">
        <v>1592</v>
      </c>
      <c r="N334" s="16" t="s">
        <v>1125</v>
      </c>
      <c r="O334" s="18" t="s">
        <v>1593</v>
      </c>
      <c r="P334" s="18" t="s">
        <v>1594</v>
      </c>
      <c r="Q334" s="29" t="str" cm="1">
        <f t="array" ref="Q334">_xlfn.IFS(
A334="","",
AND(A334&lt;&gt;"",B334=""),"FALTA LANÇAMENTO",
AND(B334&lt;&gt;"",M334=""),"FALTA O PEDIDO",
AND(M334&lt;&gt;"",O334=""),"FALTA NF",
O334&lt;&gt;"","CONCLUÍDO")</f>
        <v>CONCLUÍDO</v>
      </c>
      <c r="R334" s="36"/>
    </row>
    <row r="335" spans="1:18" hidden="1">
      <c r="A335" s="16">
        <v>46049</v>
      </c>
      <c r="B335" s="16">
        <v>46058</v>
      </c>
      <c r="C335" s="21">
        <v>1315004</v>
      </c>
      <c r="D335" s="16" t="str">
        <f>IFERROR(VLOOKUP(Tabela5[[#This Row],[PREFIXO ]],Tabela4[#All],2,0),"CENTRO DE CUSTO")</f>
        <v>CENTRO DE CUSTO</v>
      </c>
      <c r="E335" s="18" t="s">
        <v>66</v>
      </c>
      <c r="F335" s="21">
        <v>9079</v>
      </c>
      <c r="G335" s="22">
        <v>1000</v>
      </c>
      <c r="H335" s="22"/>
      <c r="I335" s="22">
        <f t="shared" si="6"/>
        <v>1000</v>
      </c>
      <c r="J335" s="18" t="s">
        <v>1265</v>
      </c>
      <c r="K335" s="18">
        <v>9750764</v>
      </c>
      <c r="L335" s="18">
        <v>857178</v>
      </c>
      <c r="M335" s="18" t="s">
        <v>1590</v>
      </c>
      <c r="N335" s="16" t="s">
        <v>1125</v>
      </c>
      <c r="O335" s="18" t="s">
        <v>1591</v>
      </c>
      <c r="P335" s="18" t="s">
        <v>1501</v>
      </c>
      <c r="Q335" s="29" t="str" cm="1">
        <f t="array" ref="Q335">_xlfn.IFS(
A335="","",
AND(A335&lt;&gt;"",B335=""),"FALTA LANÇAMENTO",
AND(B335&lt;&gt;"",M335=""),"FALTA O PEDIDO",
AND(M335&lt;&gt;"",O335=""),"FALTA NF",
O335&lt;&gt;"","CONCLUÍDO")</f>
        <v>CONCLUÍDO</v>
      </c>
      <c r="R335" s="36"/>
    </row>
    <row r="336" spans="1:18" hidden="1">
      <c r="A336" s="16">
        <v>46049</v>
      </c>
      <c r="B336" s="16">
        <v>46058</v>
      </c>
      <c r="C336" s="21">
        <v>31521015</v>
      </c>
      <c r="D336" s="16" t="str">
        <f>IFERROR(VLOOKUP(Tabela5[[#This Row],[PREFIXO ]],Tabela4[#All],2,0),"CENTRO DE CUSTO")</f>
        <v>PULV AUTOPROP JACTO UNIPORT 3030</v>
      </c>
      <c r="E336" s="18" t="s">
        <v>66</v>
      </c>
      <c r="F336" s="21">
        <v>8609</v>
      </c>
      <c r="G336" s="22">
        <v>200</v>
      </c>
      <c r="H336" s="22"/>
      <c r="I336" s="22">
        <f t="shared" si="6"/>
        <v>200</v>
      </c>
      <c r="J336" s="18" t="s">
        <v>1080</v>
      </c>
      <c r="K336" s="18">
        <v>9750702</v>
      </c>
      <c r="L336" s="18">
        <v>856732</v>
      </c>
      <c r="M336" s="18" t="s">
        <v>1595</v>
      </c>
      <c r="N336" s="16" t="s">
        <v>1125</v>
      </c>
      <c r="O336" s="18" t="s">
        <v>1596</v>
      </c>
      <c r="P336" s="18" t="s">
        <v>1597</v>
      </c>
      <c r="Q336" s="29" t="str" cm="1">
        <f t="array" ref="Q336">_xlfn.IFS(
A336="","",
AND(A336&lt;&gt;"",B336=""),"FALTA LANÇAMENTO",
AND(B336&lt;&gt;"",M336=""),"FALTA O PEDIDO",
AND(M336&lt;&gt;"",O336=""),"FALTA NF",
O336&lt;&gt;"","CONCLUÍDO")</f>
        <v>CONCLUÍDO</v>
      </c>
      <c r="R336" s="36"/>
    </row>
    <row r="337" spans="1:18" hidden="1">
      <c r="A337" s="16">
        <v>46049</v>
      </c>
      <c r="B337" s="16">
        <v>46057</v>
      </c>
      <c r="C337" s="21">
        <v>23120018</v>
      </c>
      <c r="D337" s="16" t="str">
        <f>IFERROR(VLOOKUP(Tabela5[[#This Row],[PREFIXO ]],Tabela4[#All],2,0),"CENTRO DE CUSTO")</f>
        <v>EMPILHA COMBUST TOYOTA 8FGU30</v>
      </c>
      <c r="E337" s="18" t="s">
        <v>96</v>
      </c>
      <c r="F337" s="21">
        <v>4014</v>
      </c>
      <c r="G337" s="22">
        <v>450</v>
      </c>
      <c r="H337" s="22"/>
      <c r="I337" s="22">
        <f t="shared" si="6"/>
        <v>450</v>
      </c>
      <c r="J337" s="18" t="s">
        <v>1085</v>
      </c>
      <c r="K337" s="18">
        <v>9750829</v>
      </c>
      <c r="L337" s="18">
        <v>855475</v>
      </c>
      <c r="M337" s="18" t="s">
        <v>1598</v>
      </c>
      <c r="N337" s="16" t="s">
        <v>1418</v>
      </c>
      <c r="O337" s="18" t="s">
        <v>1599</v>
      </c>
      <c r="P337" s="18" t="s">
        <v>1495</v>
      </c>
      <c r="Q337" s="29" t="str" cm="1">
        <f t="array" ref="Q337">_xlfn.IFS(
A337="","",
AND(A337&lt;&gt;"",B337=""),"FALTA LANÇAMENTO",
AND(B337&lt;&gt;"",M337=""),"FALTA O PEDIDO",
AND(M337&lt;&gt;"",O337=""),"FALTA NF",
O337&lt;&gt;"","CONCLUÍDO")</f>
        <v>CONCLUÍDO</v>
      </c>
      <c r="R337" s="36"/>
    </row>
    <row r="338" spans="1:18" hidden="1">
      <c r="A338" s="16">
        <v>46049</v>
      </c>
      <c r="B338" s="16">
        <v>46057</v>
      </c>
      <c r="C338" s="21">
        <v>23120018</v>
      </c>
      <c r="D338" s="16" t="str">
        <f>IFERROR(VLOOKUP(Tabela5[[#This Row],[PREFIXO ]],Tabela4[#All],2,0),"CENTRO DE CUSTO")</f>
        <v>EMPILHA COMBUST TOYOTA 8FGU30</v>
      </c>
      <c r="E338" s="18" t="s">
        <v>96</v>
      </c>
      <c r="F338" s="21">
        <v>4015</v>
      </c>
      <c r="G338" s="22">
        <v>315</v>
      </c>
      <c r="H338" s="22"/>
      <c r="I338" s="22">
        <f t="shared" si="6"/>
        <v>315</v>
      </c>
      <c r="J338" s="18" t="s">
        <v>1085</v>
      </c>
      <c r="K338" s="18">
        <v>9750828</v>
      </c>
      <c r="L338" s="18">
        <v>855597</v>
      </c>
      <c r="M338" s="18" t="s">
        <v>1600</v>
      </c>
      <c r="N338" s="16" t="s">
        <v>1092</v>
      </c>
      <c r="O338" s="18" t="s">
        <v>1601</v>
      </c>
      <c r="P338" s="18" t="s">
        <v>1495</v>
      </c>
      <c r="Q338" s="29" t="str" cm="1">
        <f t="array" ref="Q338">_xlfn.IFS(
A338="","",
AND(A338&lt;&gt;"",B338=""),"FALTA LANÇAMENTO",
AND(B338&lt;&gt;"",M338=""),"FALTA O PEDIDO",
AND(M338&lt;&gt;"",O338=""),"FALTA NF",
O338&lt;&gt;"","CONCLUÍDO")</f>
        <v>CONCLUÍDO</v>
      </c>
      <c r="R338" s="36"/>
    </row>
    <row r="339" spans="1:18" hidden="1">
      <c r="A339" s="16">
        <v>46049</v>
      </c>
      <c r="B339" s="16">
        <v>46057</v>
      </c>
      <c r="C339" s="21">
        <v>23120018</v>
      </c>
      <c r="D339" s="16" t="str">
        <f>IFERROR(VLOOKUP(Tabela5[[#This Row],[PREFIXO ]],Tabela4[#All],2,0),"CENTRO DE CUSTO")</f>
        <v>EMPILHA COMBUST TOYOTA 8FGU30</v>
      </c>
      <c r="E339" s="18" t="s">
        <v>96</v>
      </c>
      <c r="F339" s="21">
        <v>15060</v>
      </c>
      <c r="G339" s="22"/>
      <c r="H339" s="22">
        <v>154.75</v>
      </c>
      <c r="I339" s="22">
        <f t="shared" si="6"/>
        <v>154.75</v>
      </c>
      <c r="J339" s="18" t="s">
        <v>1085</v>
      </c>
      <c r="K339" s="18">
        <v>9750828</v>
      </c>
      <c r="L339" s="18">
        <v>855597</v>
      </c>
      <c r="M339" s="18" t="s">
        <v>1602</v>
      </c>
      <c r="N339" s="16" t="s">
        <v>1092</v>
      </c>
      <c r="O339" s="18" t="s">
        <v>1603</v>
      </c>
      <c r="P339" s="18" t="s">
        <v>1489</v>
      </c>
      <c r="Q339" s="29" t="str" cm="1">
        <f t="array" ref="Q339">_xlfn.IFS(
A339="","",
AND(A339&lt;&gt;"",B339=""),"FALTA LANÇAMENTO",
AND(B339&lt;&gt;"",M339=""),"FALTA O PEDIDO",
AND(M339&lt;&gt;"",O339=""),"FALTA NF",
O339&lt;&gt;"","CONCLUÍDO")</f>
        <v>CONCLUÍDO</v>
      </c>
      <c r="R339" s="36"/>
    </row>
    <row r="340" spans="1:18" hidden="1">
      <c r="A340" s="16">
        <v>46049</v>
      </c>
      <c r="B340" s="16">
        <v>46057</v>
      </c>
      <c r="C340" s="21">
        <v>23120018</v>
      </c>
      <c r="D340" s="16" t="str">
        <f>IFERROR(VLOOKUP(Tabela5[[#This Row],[PREFIXO ]],Tabela4[#All],2,0),"CENTRO DE CUSTO")</f>
        <v>EMPILHA COMBUST TOYOTA 8FGU30</v>
      </c>
      <c r="E340" s="18" t="s">
        <v>96</v>
      </c>
      <c r="F340" s="21">
        <v>15061</v>
      </c>
      <c r="G340" s="22"/>
      <c r="H340" s="22">
        <v>125.75</v>
      </c>
      <c r="I340" s="22">
        <f t="shared" si="6"/>
        <v>125.75</v>
      </c>
      <c r="J340" s="18" t="s">
        <v>1085</v>
      </c>
      <c r="K340" s="18">
        <v>9750829</v>
      </c>
      <c r="L340" s="18">
        <v>855475</v>
      </c>
      <c r="M340" s="18" t="s">
        <v>1604</v>
      </c>
      <c r="N340" s="16" t="s">
        <v>1418</v>
      </c>
      <c r="O340" s="18" t="s">
        <v>1095</v>
      </c>
      <c r="P340" s="18" t="s">
        <v>1095</v>
      </c>
      <c r="Q340" s="29" t="str" cm="1">
        <f t="array" ref="Q340">_xlfn.IFS(
A340="","",
AND(A340&lt;&gt;"",B340=""),"FALTA LANÇAMENTO",
AND(B340&lt;&gt;"",M340=""),"FALTA O PEDIDO",
AND(M340&lt;&gt;"",O340=""),"FALTA NF",
O340&lt;&gt;"","CONCLUÍDO")</f>
        <v>CONCLUÍDO</v>
      </c>
      <c r="R340" s="36"/>
    </row>
    <row r="341" spans="1:18" hidden="1">
      <c r="A341" s="16">
        <v>46049</v>
      </c>
      <c r="B341" s="16">
        <v>46052</v>
      </c>
      <c r="C341" s="21">
        <v>500580090</v>
      </c>
      <c r="D341" s="16" t="str">
        <f>IFERROR(VLOOKUP(Tabela5[[#This Row],[PREFIXO ]],Tabela4[#All],2,0),"CENTRO DE CUSTO")</f>
        <v>Plantadeiras</v>
      </c>
      <c r="E341" s="18" t="s">
        <v>179</v>
      </c>
      <c r="F341" s="21">
        <v>2256</v>
      </c>
      <c r="G341" s="22"/>
      <c r="H341" s="22">
        <v>1256.93</v>
      </c>
      <c r="I341" s="22">
        <f t="shared" si="6"/>
        <v>1256.93</v>
      </c>
      <c r="J341" s="18" t="s">
        <v>1199</v>
      </c>
      <c r="K341" s="18">
        <v>5019176</v>
      </c>
      <c r="L341" s="18">
        <v>852663</v>
      </c>
      <c r="M341" s="18" t="s">
        <v>1605</v>
      </c>
      <c r="N341" s="16" t="s">
        <v>1284</v>
      </c>
      <c r="O341" s="18" t="s">
        <v>1606</v>
      </c>
      <c r="P341" s="18" t="s">
        <v>1607</v>
      </c>
      <c r="Q341" s="29" t="str" cm="1">
        <f t="array" ref="Q341">_xlfn.IFS(
A341="","",
AND(A341&lt;&gt;"",B341=""),"FALTA LANÇAMENTO",
AND(B341&lt;&gt;"",M341=""),"FALTA O PEDIDO",
AND(M341&lt;&gt;"",O341=""),"FALTA NF",
O341&lt;&gt;"","CONCLUÍDO")</f>
        <v>CONCLUÍDO</v>
      </c>
      <c r="R341" s="36"/>
    </row>
    <row r="342" spans="1:18" hidden="1">
      <c r="A342" s="16">
        <v>46049</v>
      </c>
      <c r="B342" s="16">
        <v>46050</v>
      </c>
      <c r="C342" s="21">
        <v>500580263</v>
      </c>
      <c r="D342" s="16" t="str">
        <f>IFERROR(VLOOKUP(Tabela5[[#This Row],[PREFIXO ]],Tabela4[#All],2,0),"CENTRO DE CUSTO")</f>
        <v>Colheit. Grãos-Axial</v>
      </c>
      <c r="E342" s="18" t="s">
        <v>308</v>
      </c>
      <c r="F342" s="21" t="s">
        <v>1303</v>
      </c>
      <c r="G342" s="22">
        <v>11371</v>
      </c>
      <c r="H342" s="22"/>
      <c r="I342" s="22">
        <f t="shared" si="6"/>
        <v>11371</v>
      </c>
      <c r="J342" s="18" t="s">
        <v>1123</v>
      </c>
      <c r="K342" s="18">
        <v>5019137</v>
      </c>
      <c r="L342" s="18">
        <v>851088</v>
      </c>
      <c r="M342" s="18" t="s">
        <v>1608</v>
      </c>
      <c r="N342" s="16" t="s">
        <v>1267</v>
      </c>
      <c r="O342" s="18" t="s">
        <v>1336</v>
      </c>
      <c r="P342" s="18" t="s">
        <v>1288</v>
      </c>
      <c r="Q342" s="29" t="str" cm="1">
        <f t="array" ref="Q342">_xlfn.IFS(
A342="","",
AND(A342&lt;&gt;"",B342=""),"FALTA LANÇAMENTO",
AND(B342&lt;&gt;"",M342=""),"FALTA O PEDIDO",
AND(M342&lt;&gt;"",O342=""),"FALTA NF",
O342&lt;&gt;"","CONCLUÍDO")</f>
        <v>CONCLUÍDO</v>
      </c>
      <c r="R342" s="36"/>
    </row>
    <row r="343" spans="1:18" hidden="1">
      <c r="A343" s="16">
        <v>46049</v>
      </c>
      <c r="B343" s="16">
        <v>46052</v>
      </c>
      <c r="C343" s="21">
        <v>51521085</v>
      </c>
      <c r="D343" s="16" t="str">
        <f>IFERROR(VLOOKUP(Tabela5[[#This Row],[PREFIXO ]],Tabela4[#All],2,0),"CENTRO DE CUSTO")</f>
        <v>COLHEIT DE GRÃOS N.HOLLAND CR 8.90</v>
      </c>
      <c r="E343" s="18" t="s">
        <v>308</v>
      </c>
      <c r="F343" s="21" t="s">
        <v>1304</v>
      </c>
      <c r="G343" s="22">
        <v>1902</v>
      </c>
      <c r="H343" s="22"/>
      <c r="I343" s="22">
        <f t="shared" si="6"/>
        <v>1902</v>
      </c>
      <c r="J343" s="18" t="s">
        <v>1123</v>
      </c>
      <c r="K343" s="18">
        <v>9750868</v>
      </c>
      <c r="L343" s="18">
        <v>852617</v>
      </c>
      <c r="M343" s="18" t="s">
        <v>1609</v>
      </c>
      <c r="N343" s="16" t="s">
        <v>1284</v>
      </c>
      <c r="O343" s="18" t="s">
        <v>1119</v>
      </c>
      <c r="P343" s="18" t="s">
        <v>1288</v>
      </c>
      <c r="Q343" s="29" t="str" cm="1">
        <f t="array" ref="Q343">_xlfn.IFS(
A343="","",
AND(A343&lt;&gt;"",B343=""),"FALTA LANÇAMENTO",
AND(B343&lt;&gt;"",M343=""),"FALTA O PEDIDO",
AND(M343&lt;&gt;"",O343=""),"FALTA NF",
O343&lt;&gt;"","CONCLUÍDO")</f>
        <v>CONCLUÍDO</v>
      </c>
      <c r="R343" s="36"/>
    </row>
    <row r="344" spans="1:18" hidden="1">
      <c r="A344" s="16">
        <v>46049</v>
      </c>
      <c r="B344" s="16">
        <v>46050</v>
      </c>
      <c r="C344" s="21" t="s">
        <v>1610</v>
      </c>
      <c r="D344" s="16" t="str">
        <f>IFERROR(VLOOKUP(Tabela5[[#This Row],[PREFIXO ]],Tabela4[#All],2,0),"CENTRO DE CUSTO")</f>
        <v>CENTRO DE CUSTO</v>
      </c>
      <c r="E344" s="18" t="s">
        <v>308</v>
      </c>
      <c r="F344" s="21" t="s">
        <v>1258</v>
      </c>
      <c r="G344" s="22">
        <v>1125</v>
      </c>
      <c r="H344" s="22"/>
      <c r="I344" s="22">
        <f t="shared" si="6"/>
        <v>1125</v>
      </c>
      <c r="J344" s="18" t="s">
        <v>1123</v>
      </c>
      <c r="K344" s="18">
        <v>5019138</v>
      </c>
      <c r="L344" s="18">
        <v>851148</v>
      </c>
      <c r="M344" s="18" t="s">
        <v>1611</v>
      </c>
      <c r="N344" s="16" t="s">
        <v>1427</v>
      </c>
      <c r="O344" s="18" t="s">
        <v>1334</v>
      </c>
      <c r="P344" s="18" t="s">
        <v>1288</v>
      </c>
      <c r="Q344" s="29" t="str" cm="1">
        <f t="array" ref="Q344">_xlfn.IFS(
A344="","",
AND(A344&lt;&gt;"",B344=""),"FALTA LANÇAMENTO",
AND(B344&lt;&gt;"",M344=""),"FALTA O PEDIDO",
AND(M344&lt;&gt;"",O344=""),"FALTA NF",
O344&lt;&gt;"","CONCLUÍDO")</f>
        <v>CONCLUÍDO</v>
      </c>
      <c r="R344" s="36"/>
    </row>
    <row r="345" spans="1:18" hidden="1">
      <c r="A345" s="16">
        <v>46049</v>
      </c>
      <c r="B345" s="16">
        <v>46058</v>
      </c>
      <c r="C345" s="21">
        <v>430800001</v>
      </c>
      <c r="D345" s="16" t="str">
        <f>IFERROR(VLOOKUP(Tabela5[[#This Row],[PREFIXO ]],Tabela4[#All],2,0),"CENTRO DE CUSTO")</f>
        <v>CENTRO DE CUSTO</v>
      </c>
      <c r="E345" s="18" t="s">
        <v>196</v>
      </c>
      <c r="F345" s="21">
        <v>63649</v>
      </c>
      <c r="G345" s="22">
        <v>2826</v>
      </c>
      <c r="H345" s="22">
        <v>1799.36</v>
      </c>
      <c r="I345" s="22">
        <f t="shared" si="6"/>
        <v>4625.3599999999997</v>
      </c>
      <c r="J345" s="18" t="s">
        <v>1199</v>
      </c>
      <c r="K345" s="18">
        <v>9750642</v>
      </c>
      <c r="L345" s="18">
        <v>857268</v>
      </c>
      <c r="M345" s="18" t="s">
        <v>1612</v>
      </c>
      <c r="N345" s="16" t="s">
        <v>1125</v>
      </c>
      <c r="O345" s="18" t="s">
        <v>1613</v>
      </c>
      <c r="P345" s="18" t="s">
        <v>1614</v>
      </c>
      <c r="Q345" s="29" t="str" cm="1">
        <f t="array" ref="Q345">_xlfn.IFS(
A345="","",
AND(A345&lt;&gt;"",B345=""),"FALTA LANÇAMENTO",
AND(B345&lt;&gt;"",M345=""),"FALTA O PEDIDO",
AND(M345&lt;&gt;"",O345=""),"FALTA NF",
O345&lt;&gt;"","CONCLUÍDO")</f>
        <v>CONCLUÍDO</v>
      </c>
      <c r="R345" s="36"/>
    </row>
    <row r="346" spans="1:18" hidden="1">
      <c r="A346" s="16">
        <v>46049</v>
      </c>
      <c r="B346" s="16">
        <v>46057</v>
      </c>
      <c r="C346" s="21" t="s">
        <v>1615</v>
      </c>
      <c r="D346" s="16" t="str">
        <f>IFERROR(VLOOKUP(Tabela5[[#This Row],[PREFIXO ]],Tabela4[#All],2,0),"CENTRO DE CUSTO")</f>
        <v>CENTRO DE CUSTO</v>
      </c>
      <c r="E346" s="18" t="s">
        <v>71</v>
      </c>
      <c r="F346" s="21">
        <v>7666</v>
      </c>
      <c r="G346" s="22">
        <v>15462</v>
      </c>
      <c r="H346" s="22">
        <v>2479.63</v>
      </c>
      <c r="I346" s="22">
        <f t="shared" si="6"/>
        <v>17941.63</v>
      </c>
      <c r="J346" s="18" t="s">
        <v>1123</v>
      </c>
      <c r="K346" s="18" t="s">
        <v>1616</v>
      </c>
      <c r="L346" s="18">
        <v>852777</v>
      </c>
      <c r="M346" s="18" t="s">
        <v>1617</v>
      </c>
      <c r="N346" s="16" t="s">
        <v>1418</v>
      </c>
      <c r="O346" s="18" t="s">
        <v>1618</v>
      </c>
      <c r="P346" s="18" t="s">
        <v>1571</v>
      </c>
      <c r="Q346" s="29" t="str" cm="1">
        <f t="array" ref="Q346">_xlfn.IFS(
A346="","",
AND(A346&lt;&gt;"",B346=""),"FALTA LANÇAMENTO",
AND(B346&lt;&gt;"",M346=""),"FALTA O PEDIDO",
AND(M346&lt;&gt;"",O346=""),"FALTA NF",
O346&lt;&gt;"","CONCLUÍDO")</f>
        <v>CONCLUÍDO</v>
      </c>
      <c r="R346" s="36"/>
    </row>
    <row r="347" spans="1:18" hidden="1">
      <c r="A347" s="16">
        <v>46049</v>
      </c>
      <c r="B347" s="16">
        <v>46057</v>
      </c>
      <c r="C347" s="21">
        <v>13100003</v>
      </c>
      <c r="D347" s="16" t="str">
        <f>IFERROR(VLOOKUP(Tabela5[[#This Row],[PREFIXO ]],Tabela4[#All],2,0),"CENTRO DE CUSTO")</f>
        <v>TRAT PN PES JOHN DEERE 8400R</v>
      </c>
      <c r="E347" s="18" t="s">
        <v>71</v>
      </c>
      <c r="F347" s="21">
        <v>7668</v>
      </c>
      <c r="G347" s="22">
        <v>1510</v>
      </c>
      <c r="H347" s="22">
        <v>1149.22</v>
      </c>
      <c r="I347" s="22">
        <f t="shared" si="6"/>
        <v>2659.2200000000003</v>
      </c>
      <c r="J347" s="18" t="s">
        <v>1199</v>
      </c>
      <c r="K347" s="18" t="s">
        <v>1619</v>
      </c>
      <c r="L347" s="18">
        <v>855536</v>
      </c>
      <c r="M347" s="18" t="s">
        <v>1620</v>
      </c>
      <c r="N347" s="16" t="s">
        <v>1418</v>
      </c>
      <c r="O347" s="18" t="s">
        <v>1621</v>
      </c>
      <c r="P347" s="18" t="s">
        <v>1571</v>
      </c>
      <c r="Q347" s="29" t="str" cm="1">
        <f t="array" ref="Q347">_xlfn.IFS(
A347="","",
AND(A347&lt;&gt;"",B347=""),"FALTA LANÇAMENTO",
AND(B347&lt;&gt;"",M347=""),"FALTA O PEDIDO",
AND(M347&lt;&gt;"",O347=""),"FALTA NF",
O347&lt;&gt;"","CONCLUÍDO")</f>
        <v>CONCLUÍDO</v>
      </c>
      <c r="R347" s="36"/>
    </row>
    <row r="348" spans="1:18" hidden="1">
      <c r="A348" s="16">
        <v>46049</v>
      </c>
      <c r="B348" s="16">
        <v>46057</v>
      </c>
      <c r="C348" s="21" t="s">
        <v>1622</v>
      </c>
      <c r="D348" s="16" t="str">
        <f>IFERROR(VLOOKUP(Tabela5[[#This Row],[PREFIXO ]],Tabela4[#All],2,0),"CENTRO DE CUSTO")</f>
        <v>CENTRO DE CUSTO</v>
      </c>
      <c r="E348" s="18" t="s">
        <v>71</v>
      </c>
      <c r="F348" s="21">
        <v>7670</v>
      </c>
      <c r="G348" s="22">
        <v>960</v>
      </c>
      <c r="H348" s="22">
        <v>1149.22</v>
      </c>
      <c r="I348" s="22">
        <f t="shared" si="6"/>
        <v>2109.2200000000003</v>
      </c>
      <c r="J348" s="18" t="s">
        <v>1199</v>
      </c>
      <c r="K348" s="18" t="s">
        <v>1623</v>
      </c>
      <c r="L348" s="18">
        <v>855515</v>
      </c>
      <c r="M348" s="18" t="s">
        <v>1624</v>
      </c>
      <c r="N348" s="16" t="s">
        <v>1418</v>
      </c>
      <c r="O348" s="18" t="s">
        <v>1625</v>
      </c>
      <c r="P348" s="18" t="s">
        <v>1626</v>
      </c>
      <c r="Q348" s="29" t="str" cm="1">
        <f t="array" ref="Q348">_xlfn.IFS(
A348="","",
AND(A348&lt;&gt;"",B348=""),"FALTA LANÇAMENTO",
AND(B348&lt;&gt;"",M348=""),"FALTA O PEDIDO",
AND(M348&lt;&gt;"",O348=""),"FALTA NF",
O348&lt;&gt;"","CONCLUÍDO")</f>
        <v>CONCLUÍDO</v>
      </c>
      <c r="R348" s="36"/>
    </row>
    <row r="349" spans="1:18" hidden="1">
      <c r="A349" s="16">
        <v>46049</v>
      </c>
      <c r="B349" s="16">
        <v>46057</v>
      </c>
      <c r="C349" s="21" t="s">
        <v>1627</v>
      </c>
      <c r="D349" s="16" t="str">
        <f>IFERROR(VLOOKUP(Tabela5[[#This Row],[PREFIXO ]],Tabela4[#All],2,0),"CENTRO DE CUSTO")</f>
        <v>CENTRO DE CUSTO</v>
      </c>
      <c r="E349" s="18" t="s">
        <v>71</v>
      </c>
      <c r="F349" s="21">
        <v>7669</v>
      </c>
      <c r="G349" s="22">
        <v>960</v>
      </c>
      <c r="H349" s="22">
        <v>1149.22</v>
      </c>
      <c r="I349" s="22">
        <f t="shared" si="6"/>
        <v>2109.2200000000003</v>
      </c>
      <c r="J349" s="18" t="s">
        <v>1199</v>
      </c>
      <c r="K349" s="18" t="s">
        <v>1628</v>
      </c>
      <c r="L349" s="18">
        <v>855491</v>
      </c>
      <c r="M349" s="18" t="s">
        <v>1629</v>
      </c>
      <c r="N349" s="16" t="s">
        <v>1418</v>
      </c>
      <c r="O349" s="18" t="s">
        <v>1630</v>
      </c>
      <c r="P349" s="18" t="s">
        <v>1343</v>
      </c>
      <c r="Q349" s="29" t="str" cm="1">
        <f t="array" ref="Q349">_xlfn.IFS(
A349="","",
AND(A349&lt;&gt;"",B349=""),"FALTA LANÇAMENTO",
AND(B349&lt;&gt;"",M349=""),"FALTA O PEDIDO",
AND(M349&lt;&gt;"",O349=""),"FALTA NF",
O349&lt;&gt;"","CONCLUÍDO")</f>
        <v>CONCLUÍDO</v>
      </c>
      <c r="R349" s="36"/>
    </row>
    <row r="350" spans="1:18" hidden="1">
      <c r="A350" s="16">
        <v>46049</v>
      </c>
      <c r="B350" s="16">
        <v>46058</v>
      </c>
      <c r="C350" s="21" t="s">
        <v>1232</v>
      </c>
      <c r="D350" s="16" t="str">
        <f>IFERROR(VLOOKUP(Tabela5[[#This Row],[PREFIXO ]],Tabela4[#All],2,0),"CENTRO DE CUSTO")</f>
        <v>CENTRO DE CUSTO</v>
      </c>
      <c r="E350" s="18" t="s">
        <v>218</v>
      </c>
      <c r="F350" s="21">
        <v>26399</v>
      </c>
      <c r="G350" s="22">
        <v>18045</v>
      </c>
      <c r="H350" s="22">
        <v>29156.62</v>
      </c>
      <c r="I350" s="22">
        <f t="shared" si="6"/>
        <v>47201.619999999995</v>
      </c>
      <c r="J350" s="18" t="s">
        <v>1123</v>
      </c>
      <c r="K350" s="18">
        <v>5019160</v>
      </c>
      <c r="L350" s="18">
        <v>856680</v>
      </c>
      <c r="M350" s="18" t="s">
        <v>1631</v>
      </c>
      <c r="N350" s="16" t="s">
        <v>1125</v>
      </c>
      <c r="O350" s="18" t="s">
        <v>1632</v>
      </c>
      <c r="P350" s="18" t="s">
        <v>1553</v>
      </c>
      <c r="Q350" s="29" t="str" cm="1">
        <f t="array" ref="Q350">_xlfn.IFS(
A350="","",
AND(A350&lt;&gt;"",B350=""),"FALTA LANÇAMENTO",
AND(B350&lt;&gt;"",M350=""),"FALTA O PEDIDO",
AND(M350&lt;&gt;"",O350=""),"FALTA NF",
O350&lt;&gt;"","CONCLUÍDO")</f>
        <v>CONCLUÍDO</v>
      </c>
      <c r="R350" s="36"/>
    </row>
    <row r="351" spans="1:18" hidden="1">
      <c r="A351" s="16">
        <v>46049</v>
      </c>
      <c r="B351" s="16">
        <v>46058</v>
      </c>
      <c r="C351" s="21" t="s">
        <v>1633</v>
      </c>
      <c r="D351" s="16" t="str">
        <f>IFERROR(VLOOKUP(Tabela5[[#This Row],[PREFIXO ]],Tabela4[#All],2,0),"CENTRO DE CUSTO")</f>
        <v>CENTRO DE CUSTO</v>
      </c>
      <c r="E351" s="18" t="s">
        <v>218</v>
      </c>
      <c r="F351" s="21">
        <v>26404</v>
      </c>
      <c r="G351" s="22">
        <v>17700</v>
      </c>
      <c r="H351" s="22">
        <v>26098.57</v>
      </c>
      <c r="I351" s="22">
        <f t="shared" si="6"/>
        <v>43798.57</v>
      </c>
      <c r="J351" s="18" t="s">
        <v>1123</v>
      </c>
      <c r="K351" s="18">
        <v>5019164</v>
      </c>
      <c r="L351" s="18">
        <v>856162</v>
      </c>
      <c r="M351" s="18" t="s">
        <v>1634</v>
      </c>
      <c r="N351" s="16" t="s">
        <v>1125</v>
      </c>
      <c r="O351" s="18" t="s">
        <v>1635</v>
      </c>
      <c r="P351" s="18" t="s">
        <v>1553</v>
      </c>
      <c r="Q351" s="29" t="str" cm="1">
        <f t="array" ref="Q351">_xlfn.IFS(
A351="","",
AND(A351&lt;&gt;"",B351=""),"FALTA LANÇAMENTO",
AND(B351&lt;&gt;"",M351=""),"FALTA O PEDIDO",
AND(M351&lt;&gt;"",O351=""),"FALTA NF",
O351&lt;&gt;"","CONCLUÍDO")</f>
        <v>CONCLUÍDO</v>
      </c>
      <c r="R351" s="36"/>
    </row>
    <row r="352" spans="1:18" hidden="1">
      <c r="A352" s="16">
        <v>46049</v>
      </c>
      <c r="B352" s="16">
        <v>46062</v>
      </c>
      <c r="C352" s="21">
        <v>51521095</v>
      </c>
      <c r="D352" s="16" t="str">
        <f>IFERROR(VLOOKUP(Tabela5[[#This Row],[PREFIXO ]],Tabela4[#All],2,0),"CENTRO DE CUSTO")</f>
        <v>COLHEIT DE GRÃOS N.HOLLAND CR 8.90</v>
      </c>
      <c r="E352" s="18" t="s">
        <v>218</v>
      </c>
      <c r="F352" s="21">
        <v>25893</v>
      </c>
      <c r="G352" s="22">
        <v>972</v>
      </c>
      <c r="H352" s="22">
        <v>13050.39</v>
      </c>
      <c r="I352" s="22">
        <f t="shared" si="6"/>
        <v>14022.39</v>
      </c>
      <c r="J352" s="18" t="s">
        <v>1123</v>
      </c>
      <c r="K352" s="18">
        <v>9750719</v>
      </c>
      <c r="L352" s="18">
        <v>856657</v>
      </c>
      <c r="M352" s="18" t="s">
        <v>1636</v>
      </c>
      <c r="N352" s="16" t="s">
        <v>1463</v>
      </c>
      <c r="O352" s="18" t="s">
        <v>1637</v>
      </c>
      <c r="P352" s="18" t="s">
        <v>1549</v>
      </c>
      <c r="Q352" s="29" t="str" cm="1">
        <f t="array" ref="Q352">_xlfn.IFS(
A352="","",
AND(A352&lt;&gt;"",B352=""),"FALTA LANÇAMENTO",
AND(B352&lt;&gt;"",M352=""),"FALTA O PEDIDO",
AND(M352&lt;&gt;"",O352=""),"FALTA NF",
O352&lt;&gt;"","CONCLUÍDO")</f>
        <v>CONCLUÍDO</v>
      </c>
      <c r="R352" s="36"/>
    </row>
    <row r="353" spans="1:18" hidden="1">
      <c r="A353" s="16">
        <v>46049</v>
      </c>
      <c r="B353" s="16">
        <v>46058</v>
      </c>
      <c r="C353" s="21" t="s">
        <v>1633</v>
      </c>
      <c r="D353" s="16" t="str">
        <f>IFERROR(VLOOKUP(Tabela5[[#This Row],[PREFIXO ]],Tabela4[#All],2,0),"CENTRO DE CUSTO")</f>
        <v>CENTRO DE CUSTO</v>
      </c>
      <c r="E353" s="18" t="s">
        <v>218</v>
      </c>
      <c r="F353" s="21">
        <v>26430</v>
      </c>
      <c r="G353" s="22">
        <v>3781</v>
      </c>
      <c r="H353" s="22"/>
      <c r="I353" s="22">
        <f t="shared" si="6"/>
        <v>3781</v>
      </c>
      <c r="J353" s="18" t="s">
        <v>1123</v>
      </c>
      <c r="K353" s="18">
        <v>5019166</v>
      </c>
      <c r="L353" s="18">
        <v>857244</v>
      </c>
      <c r="M353" s="18" t="s">
        <v>1638</v>
      </c>
      <c r="N353" s="16" t="s">
        <v>1125</v>
      </c>
      <c r="O353" s="18" t="s">
        <v>1639</v>
      </c>
      <c r="P353" s="18" t="s">
        <v>1492</v>
      </c>
      <c r="Q353" s="29" t="str" cm="1">
        <f t="array" ref="Q353">_xlfn.IFS(
A353="","",
AND(A353&lt;&gt;"",B353=""),"FALTA LANÇAMENTO",
AND(B353&lt;&gt;"",M353=""),"FALTA O PEDIDO",
AND(M353&lt;&gt;"",O353=""),"FALTA NF",
O353&lt;&gt;"","CONCLUÍDO")</f>
        <v>CONCLUÍDO</v>
      </c>
      <c r="R353" s="36"/>
    </row>
    <row r="354" spans="1:18" hidden="1">
      <c r="A354" s="16">
        <v>46049</v>
      </c>
      <c r="B354" s="16">
        <v>46053</v>
      </c>
      <c r="C354" s="21" t="s">
        <v>1134</v>
      </c>
      <c r="D354" s="16" t="str">
        <f>IFERROR(VLOOKUP(Tabela5[[#This Row],[PREFIXO ]],Tabela4[#All],2,0),"CENTRO DE CUSTO")</f>
        <v>CENTRO DE CUSTO</v>
      </c>
      <c r="E354" s="18" t="s">
        <v>218</v>
      </c>
      <c r="F354" s="21">
        <v>26429</v>
      </c>
      <c r="G354" s="22">
        <v>3751</v>
      </c>
      <c r="H354" s="22"/>
      <c r="I354" s="22">
        <f t="shared" si="6"/>
        <v>3751</v>
      </c>
      <c r="J354" s="18" t="s">
        <v>1123</v>
      </c>
      <c r="K354" s="18">
        <v>5019163</v>
      </c>
      <c r="L354" s="18">
        <v>852588</v>
      </c>
      <c r="M354" s="18" t="s">
        <v>1640</v>
      </c>
      <c r="N354" s="16" t="s">
        <v>1284</v>
      </c>
      <c r="O354" s="18" t="s">
        <v>1641</v>
      </c>
      <c r="P354" s="18" t="s">
        <v>1288</v>
      </c>
      <c r="Q354" s="29" t="str" cm="1">
        <f t="array" ref="Q354">_xlfn.IFS(
A354="","",
AND(A354&lt;&gt;"",B354=""),"FALTA LANÇAMENTO",
AND(B354&lt;&gt;"",M354=""),"FALTA O PEDIDO",
AND(M354&lt;&gt;"",O354=""),"FALTA NF",
O354&lt;&gt;"","CONCLUÍDO")</f>
        <v>CONCLUÍDO</v>
      </c>
      <c r="R354" s="36"/>
    </row>
    <row r="355" spans="1:18" hidden="1">
      <c r="A355" s="16">
        <v>46049</v>
      </c>
      <c r="B355" s="16">
        <v>46052</v>
      </c>
      <c r="C355" s="21">
        <v>500580579</v>
      </c>
      <c r="D355" s="16" t="str">
        <f>IFERROR(VLOOKUP(Tabela5[[#This Row],[PREFIXO ]],Tabela4[#All],2,0),"CENTRO DE CUSTO")</f>
        <v>Pátio de Vendas</v>
      </c>
      <c r="E355" s="18" t="s">
        <v>224</v>
      </c>
      <c r="F355" s="21">
        <v>1641</v>
      </c>
      <c r="G355" s="22">
        <v>3912.5</v>
      </c>
      <c r="H355" s="22"/>
      <c r="I355" s="22">
        <f t="shared" si="6"/>
        <v>3912.5</v>
      </c>
      <c r="J355" s="18" t="s">
        <v>1251</v>
      </c>
      <c r="K355" s="18">
        <v>5019165</v>
      </c>
      <c r="L355" s="18" t="s">
        <v>1095</v>
      </c>
      <c r="M355" s="18" t="s">
        <v>1095</v>
      </c>
      <c r="N355" s="16" t="s">
        <v>1095</v>
      </c>
      <c r="O355" s="18" t="s">
        <v>1095</v>
      </c>
      <c r="P355" s="18" t="s">
        <v>1095</v>
      </c>
      <c r="Q355" s="29" t="str" cm="1">
        <f t="array" ref="Q355">_xlfn.IFS(
A355="","",
AND(A355&lt;&gt;"",B355=""),"FALTA LANÇAMENTO",
AND(B355&lt;&gt;"",M355=""),"FALTA O PEDIDO",
AND(M355&lt;&gt;"",O355=""),"FALTA NF",
O355&lt;&gt;"","CONCLUÍDO")</f>
        <v>CONCLUÍDO</v>
      </c>
      <c r="R355" s="36"/>
    </row>
    <row r="356" spans="1:18" hidden="1">
      <c r="A356" s="16">
        <v>46049</v>
      </c>
      <c r="B356" s="16">
        <v>46052</v>
      </c>
      <c r="C356" s="21">
        <v>500580579</v>
      </c>
      <c r="D356" s="16" t="str">
        <f>IFERROR(VLOOKUP(Tabela5[[#This Row],[PREFIXO ]],Tabela4[#All],2,0),"CENTRO DE CUSTO")</f>
        <v>Pátio de Vendas</v>
      </c>
      <c r="E356" s="18" t="s">
        <v>224</v>
      </c>
      <c r="F356" s="21">
        <v>1640</v>
      </c>
      <c r="G356" s="22">
        <v>3912.5</v>
      </c>
      <c r="H356" s="22"/>
      <c r="I356" s="22">
        <f t="shared" si="6"/>
        <v>3912.5</v>
      </c>
      <c r="J356" s="18" t="s">
        <v>1251</v>
      </c>
      <c r="K356" s="18">
        <v>5019165</v>
      </c>
      <c r="L356" s="18" t="s">
        <v>1095</v>
      </c>
      <c r="M356" s="18" t="s">
        <v>1095</v>
      </c>
      <c r="N356" s="16" t="s">
        <v>1095</v>
      </c>
      <c r="O356" s="18" t="s">
        <v>1095</v>
      </c>
      <c r="P356" s="18" t="s">
        <v>1095</v>
      </c>
      <c r="Q356" s="29" t="str" cm="1">
        <f t="array" ref="Q356">_xlfn.IFS(
A356="","",
AND(A356&lt;&gt;"",B356=""),"FALTA LANÇAMENTO",
AND(B356&lt;&gt;"",M356=""),"FALTA O PEDIDO",
AND(M356&lt;&gt;"",O356=""),"FALTA NF",
O356&lt;&gt;"","CONCLUÍDO")</f>
        <v>CONCLUÍDO</v>
      </c>
      <c r="R356" s="36"/>
    </row>
    <row r="357" spans="1:18" hidden="1">
      <c r="A357" s="16">
        <v>46049</v>
      </c>
      <c r="B357" s="16">
        <v>46052</v>
      </c>
      <c r="C357" s="21">
        <v>500580579</v>
      </c>
      <c r="D357" s="16" t="str">
        <f>IFERROR(VLOOKUP(Tabela5[[#This Row],[PREFIXO ]],Tabela4[#All],2,0),"CENTRO DE CUSTO")</f>
        <v>Pátio de Vendas</v>
      </c>
      <c r="E357" s="18" t="s">
        <v>224</v>
      </c>
      <c r="F357" s="21">
        <v>2444</v>
      </c>
      <c r="G357" s="22">
        <v>2600</v>
      </c>
      <c r="H357" s="22"/>
      <c r="I357" s="22">
        <f t="shared" si="6"/>
        <v>2600</v>
      </c>
      <c r="J357" s="18" t="s">
        <v>1251</v>
      </c>
      <c r="K357" s="18">
        <v>5019165</v>
      </c>
      <c r="L357" s="18" t="s">
        <v>1095</v>
      </c>
      <c r="M357" s="18" t="s">
        <v>1095</v>
      </c>
      <c r="N357" s="16" t="s">
        <v>1095</v>
      </c>
      <c r="O357" s="18" t="s">
        <v>1095</v>
      </c>
      <c r="P357" s="18" t="s">
        <v>1095</v>
      </c>
      <c r="Q357" s="29" t="str" cm="1">
        <f t="array" ref="Q357">_xlfn.IFS(
A357="","",
AND(A357&lt;&gt;"",B357=""),"FALTA LANÇAMENTO",
AND(B357&lt;&gt;"",M357=""),"FALTA O PEDIDO",
AND(M357&lt;&gt;"",O357=""),"FALTA NF",
O357&lt;&gt;"","CONCLUÍDO")</f>
        <v>CONCLUÍDO</v>
      </c>
      <c r="R357" s="36"/>
    </row>
    <row r="358" spans="1:18" hidden="1">
      <c r="A358" s="16">
        <v>46049</v>
      </c>
      <c r="B358" s="16">
        <v>46052</v>
      </c>
      <c r="C358" s="21">
        <v>500580579</v>
      </c>
      <c r="D358" s="16" t="str">
        <f>IFERROR(VLOOKUP(Tabela5[[#This Row],[PREFIXO ]],Tabela4[#All],2,0),"CENTRO DE CUSTO")</f>
        <v>Pátio de Vendas</v>
      </c>
      <c r="E358" s="18" t="s">
        <v>224</v>
      </c>
      <c r="F358" s="21">
        <v>2350</v>
      </c>
      <c r="G358" s="22">
        <v>2600</v>
      </c>
      <c r="H358" s="22"/>
      <c r="I358" s="22">
        <f t="shared" si="6"/>
        <v>2600</v>
      </c>
      <c r="J358" s="18" t="s">
        <v>1251</v>
      </c>
      <c r="K358" s="18">
        <v>5019165</v>
      </c>
      <c r="L358" s="18" t="s">
        <v>1095</v>
      </c>
      <c r="M358" s="18" t="s">
        <v>1095</v>
      </c>
      <c r="N358" s="16" t="s">
        <v>1095</v>
      </c>
      <c r="O358" s="18" t="s">
        <v>1095</v>
      </c>
      <c r="P358" s="18" t="s">
        <v>1095</v>
      </c>
      <c r="Q358" s="29" t="str" cm="1">
        <f t="array" ref="Q358">_xlfn.IFS(
A358="","",
AND(A358&lt;&gt;"",B358=""),"FALTA LANÇAMENTO",
AND(B358&lt;&gt;"",M358=""),"FALTA O PEDIDO",
AND(M358&lt;&gt;"",O358=""),"FALTA NF",
O358&lt;&gt;"","CONCLUÍDO")</f>
        <v>CONCLUÍDO</v>
      </c>
      <c r="R358" s="36"/>
    </row>
    <row r="359" spans="1:18" hidden="1">
      <c r="A359" s="16">
        <v>46049</v>
      </c>
      <c r="B359" s="16">
        <v>46052</v>
      </c>
      <c r="C359" s="21">
        <v>500580579</v>
      </c>
      <c r="D359" s="16" t="str">
        <f>IFERROR(VLOOKUP(Tabela5[[#This Row],[PREFIXO ]],Tabela4[#All],2,0),"CENTRO DE CUSTO")</f>
        <v>Pátio de Vendas</v>
      </c>
      <c r="E359" s="18" t="s">
        <v>224</v>
      </c>
      <c r="F359" s="21">
        <v>2345</v>
      </c>
      <c r="G359" s="22">
        <v>2600</v>
      </c>
      <c r="H359" s="22"/>
      <c r="I359" s="22">
        <f t="shared" si="6"/>
        <v>2600</v>
      </c>
      <c r="J359" s="18" t="s">
        <v>1251</v>
      </c>
      <c r="K359" s="18">
        <v>5019165</v>
      </c>
      <c r="L359" s="18" t="s">
        <v>1095</v>
      </c>
      <c r="M359" s="18" t="s">
        <v>1095</v>
      </c>
      <c r="N359" s="16" t="s">
        <v>1095</v>
      </c>
      <c r="O359" s="18" t="s">
        <v>1095</v>
      </c>
      <c r="P359" s="18" t="s">
        <v>1095</v>
      </c>
      <c r="Q359" s="29" t="str" cm="1">
        <f t="array" ref="Q359">_xlfn.IFS(
A359="","",
AND(A359&lt;&gt;"",B359=""),"FALTA LANÇAMENTO",
AND(B359&lt;&gt;"",M359=""),"FALTA O PEDIDO",
AND(M359&lt;&gt;"",O359=""),"FALTA NF",
O359&lt;&gt;"","CONCLUÍDO")</f>
        <v>CONCLUÍDO</v>
      </c>
      <c r="R359" s="36"/>
    </row>
    <row r="360" spans="1:18" hidden="1">
      <c r="A360" s="16">
        <v>46049</v>
      </c>
      <c r="B360" s="16">
        <v>46052</v>
      </c>
      <c r="C360" s="21">
        <v>12010016</v>
      </c>
      <c r="D360" s="16" t="str">
        <f>IFERROR(VLOOKUP(Tabela5[[#This Row],[PREFIXO ]],Tabela4[#All],2,0),"CENTRO DE CUSTO")</f>
        <v>CENTRO DE CUSTO</v>
      </c>
      <c r="E360" s="18" t="s">
        <v>227</v>
      </c>
      <c r="F360" s="21">
        <v>219931</v>
      </c>
      <c r="G360" s="22">
        <v>114</v>
      </c>
      <c r="H360" s="22">
        <v>4305</v>
      </c>
      <c r="I360" s="22">
        <f t="shared" si="6"/>
        <v>4419</v>
      </c>
      <c r="J360" s="18" t="s">
        <v>1085</v>
      </c>
      <c r="K360" s="18">
        <v>9750866</v>
      </c>
      <c r="L360" s="18" t="s">
        <v>1095</v>
      </c>
      <c r="M360" s="18" t="s">
        <v>1095</v>
      </c>
      <c r="N360" s="16" t="s">
        <v>1095</v>
      </c>
      <c r="O360" s="18" t="s">
        <v>1095</v>
      </c>
      <c r="P360" s="18" t="s">
        <v>1095</v>
      </c>
      <c r="Q360" s="29" t="str" cm="1">
        <f t="array" ref="Q360">_xlfn.IFS(
A360="","",
AND(A360&lt;&gt;"",B360=""),"FALTA LANÇAMENTO",
AND(B360&lt;&gt;"",M360=""),"FALTA O PEDIDO",
AND(M360&lt;&gt;"",O360=""),"FALTA NF",
O360&lt;&gt;"","CONCLUÍDO")</f>
        <v>CONCLUÍDO</v>
      </c>
      <c r="R360" s="36"/>
    </row>
    <row r="361" spans="1:18" hidden="1">
      <c r="A361" s="16">
        <v>46049</v>
      </c>
      <c r="B361" s="16">
        <v>46052</v>
      </c>
      <c r="C361" s="21">
        <v>12010016</v>
      </c>
      <c r="D361" s="16" t="str">
        <f>IFERROR(VLOOKUP(Tabela5[[#This Row],[PREFIXO ]],Tabela4[#All],2,0),"CENTRO DE CUSTO")</f>
        <v>CENTRO DE CUSTO</v>
      </c>
      <c r="E361" s="18" t="s">
        <v>227</v>
      </c>
      <c r="F361" s="21">
        <v>222827</v>
      </c>
      <c r="G361" s="22">
        <v>524.4</v>
      </c>
      <c r="H361" s="22"/>
      <c r="I361" s="22">
        <f t="shared" si="6"/>
        <v>524.4</v>
      </c>
      <c r="J361" s="18" t="s">
        <v>1085</v>
      </c>
      <c r="K361" s="18">
        <v>9750864</v>
      </c>
      <c r="L361" s="18" t="s">
        <v>1095</v>
      </c>
      <c r="M361" s="18" t="s">
        <v>1095</v>
      </c>
      <c r="N361" s="16" t="s">
        <v>1095</v>
      </c>
      <c r="O361" s="18" t="s">
        <v>1095</v>
      </c>
      <c r="P361" s="18" t="s">
        <v>1095</v>
      </c>
      <c r="Q361" s="29" t="str" cm="1">
        <f t="array" ref="Q361">_xlfn.IFS(
A361="","",
AND(A361&lt;&gt;"",B361=""),"FALTA LANÇAMENTO",
AND(B361&lt;&gt;"",M361=""),"FALTA O PEDIDO",
AND(M361&lt;&gt;"",O361=""),"FALTA NF",
O361&lt;&gt;"","CONCLUÍDO")</f>
        <v>CONCLUÍDO</v>
      </c>
      <c r="R361" s="36"/>
    </row>
    <row r="362" spans="1:18" hidden="1">
      <c r="A362" s="16">
        <v>46049</v>
      </c>
      <c r="B362" s="16">
        <v>46052</v>
      </c>
      <c r="C362" s="21">
        <v>11040015</v>
      </c>
      <c r="D362" s="16" t="str">
        <f>IFERROR(VLOOKUP(Tabela5[[#This Row],[PREFIXO ]],Tabela4[#All],2,0),"CENTRO DE CUSTO")</f>
        <v>CAV MEC EXT PES SCANIA R500</v>
      </c>
      <c r="E362" s="18" t="s">
        <v>227</v>
      </c>
      <c r="F362" s="21">
        <v>219784</v>
      </c>
      <c r="G362" s="22">
        <v>120</v>
      </c>
      <c r="H362" s="22"/>
      <c r="I362" s="22">
        <f t="shared" si="6"/>
        <v>120</v>
      </c>
      <c r="J362" s="18" t="s">
        <v>1085</v>
      </c>
      <c r="K362" s="18">
        <v>9750836</v>
      </c>
      <c r="L362" s="18" t="s">
        <v>1095</v>
      </c>
      <c r="M362" s="18" t="s">
        <v>1095</v>
      </c>
      <c r="N362" s="16" t="s">
        <v>1095</v>
      </c>
      <c r="O362" s="18" t="s">
        <v>1095</v>
      </c>
      <c r="P362" s="18" t="s">
        <v>1095</v>
      </c>
      <c r="Q362" s="29" t="str" cm="1">
        <f t="array" ref="Q362">_xlfn.IFS(
A362="","",
AND(A362&lt;&gt;"",B362=""),"FALTA LANÇAMENTO",
AND(B362&lt;&gt;"",M362=""),"FALTA O PEDIDO",
AND(M362&lt;&gt;"",O362=""),"FALTA NF",
O362&lt;&gt;"","CONCLUÍDO")</f>
        <v>CONCLUÍDO</v>
      </c>
      <c r="R362" s="36"/>
    </row>
    <row r="363" spans="1:18" hidden="1">
      <c r="A363" s="16">
        <v>46049</v>
      </c>
      <c r="B363" s="16">
        <v>46050</v>
      </c>
      <c r="C363" s="21">
        <v>11521031</v>
      </c>
      <c r="D363" s="16" t="str">
        <f>IFERROR(VLOOKUP(Tabela5[[#This Row],[PREFIXO ]],Tabela4[#All],2,0),"CENTRO DE CUSTO")</f>
        <v>TRAT PN EXT PES FENDT 1046 VARIO</v>
      </c>
      <c r="E363" s="18" t="s">
        <v>247</v>
      </c>
      <c r="F363" s="21">
        <v>133759</v>
      </c>
      <c r="G363" s="22">
        <v>494</v>
      </c>
      <c r="H363" s="22"/>
      <c r="I363" s="22">
        <f t="shared" si="6"/>
        <v>494</v>
      </c>
      <c r="J363" s="18" t="s">
        <v>1199</v>
      </c>
      <c r="K363" s="18">
        <v>9750666</v>
      </c>
      <c r="L363" s="18">
        <v>851111</v>
      </c>
      <c r="M363" s="18" t="s">
        <v>1642</v>
      </c>
      <c r="N363" s="16" t="s">
        <v>1427</v>
      </c>
      <c r="O363" s="18" t="s">
        <v>1643</v>
      </c>
      <c r="P363" s="18" t="s">
        <v>1288</v>
      </c>
      <c r="Q363" s="29" t="str" cm="1">
        <f t="array" ref="Q363">_xlfn.IFS(
A363="","",
AND(A363&lt;&gt;"",B363=""),"FALTA LANÇAMENTO",
AND(B363&lt;&gt;"",M363=""),"FALTA O PEDIDO",
AND(M363&lt;&gt;"",O363=""),"FALTA NF",
O363&lt;&gt;"","CONCLUÍDO")</f>
        <v>CONCLUÍDO</v>
      </c>
      <c r="R363" s="36"/>
    </row>
    <row r="364" spans="1:18" hidden="1">
      <c r="A364" s="16">
        <v>46049</v>
      </c>
      <c r="B364" s="16">
        <v>46052</v>
      </c>
      <c r="C364" s="21">
        <v>23180045</v>
      </c>
      <c r="D364" s="16" t="str">
        <f>IFERROR(VLOOKUP(Tabela5[[#This Row],[PREFIXO ]],Tabela4[#All],2,0),"CENTRO DE CUSTO")</f>
        <v>COLHEIT DE GRÃOS JOHN DEERE S 780</v>
      </c>
      <c r="E364" s="18" t="s">
        <v>255</v>
      </c>
      <c r="F364" s="21">
        <v>836</v>
      </c>
      <c r="G364" s="22">
        <v>1700</v>
      </c>
      <c r="H364" s="22"/>
      <c r="I364" s="22">
        <f t="shared" si="6"/>
        <v>1700</v>
      </c>
      <c r="J364" s="18" t="s">
        <v>1113</v>
      </c>
      <c r="K364" s="18">
        <v>9750531</v>
      </c>
      <c r="L364" s="18">
        <v>843945</v>
      </c>
      <c r="M364" s="18" t="s">
        <v>1644</v>
      </c>
      <c r="N364" s="16" t="s">
        <v>1284</v>
      </c>
      <c r="O364" s="18" t="s">
        <v>1119</v>
      </c>
      <c r="P364" s="18" t="s">
        <v>1288</v>
      </c>
      <c r="Q364" s="29" t="str" cm="1">
        <f t="array" ref="Q364">_xlfn.IFS(
A364="","",
AND(A364&lt;&gt;"",B364=""),"FALTA LANÇAMENTO",
AND(B364&lt;&gt;"",M364=""),"FALTA O PEDIDO",
AND(M364&lt;&gt;"",O364=""),"FALTA NF",
O364&lt;&gt;"","CONCLUÍDO")</f>
        <v>CONCLUÍDO</v>
      </c>
      <c r="R364" s="36"/>
    </row>
    <row r="365" spans="1:18" hidden="1">
      <c r="A365" s="16">
        <v>46049</v>
      </c>
      <c r="B365" s="16">
        <v>46052</v>
      </c>
      <c r="C365" s="21">
        <v>51521045</v>
      </c>
      <c r="D365" s="16" t="str">
        <f>IFERROR(VLOOKUP(Tabela5[[#This Row],[PREFIXO ]],Tabela4[#All],2,0),"CENTRO DE CUSTO")</f>
        <v>COLHED ALGODÃO JOHN DEERE CP 690</v>
      </c>
      <c r="E365" s="18" t="s">
        <v>255</v>
      </c>
      <c r="F365" s="21">
        <v>835</v>
      </c>
      <c r="G365" s="22">
        <v>1600</v>
      </c>
      <c r="H365" s="22"/>
      <c r="I365" s="22">
        <f t="shared" si="6"/>
        <v>1600</v>
      </c>
      <c r="J365" s="18" t="s">
        <v>1113</v>
      </c>
      <c r="K365" s="18">
        <v>9750581</v>
      </c>
      <c r="L365" s="18">
        <v>843945</v>
      </c>
      <c r="M365" s="18" t="s">
        <v>1644</v>
      </c>
      <c r="N365" s="16" t="s">
        <v>1284</v>
      </c>
      <c r="O365" s="18" t="s">
        <v>1119</v>
      </c>
      <c r="P365" s="18" t="s">
        <v>1288</v>
      </c>
      <c r="Q365" s="29" t="str" cm="1">
        <f t="array" ref="Q365">_xlfn.IFS(
A365="","",
AND(A365&lt;&gt;"",B365=""),"FALTA LANÇAMENTO",
AND(B365&lt;&gt;"",M365=""),"FALTA O PEDIDO",
AND(M365&lt;&gt;"",O365=""),"FALTA NF",
O365&lt;&gt;"","CONCLUÍDO")</f>
        <v>CONCLUÍDO</v>
      </c>
      <c r="R365" s="36"/>
    </row>
    <row r="366" spans="1:18" hidden="1">
      <c r="A366" s="16">
        <v>46049</v>
      </c>
      <c r="B366" s="16">
        <v>46052</v>
      </c>
      <c r="C366" s="21">
        <v>51521071</v>
      </c>
      <c r="D366" s="16" t="str">
        <f>IFERROR(VLOOKUP(Tabela5[[#This Row],[PREFIXO ]],Tabela4[#All],2,0),"CENTRO DE CUSTO")</f>
        <v>COLHED ALGODÃO JOHN DEERE CP 690</v>
      </c>
      <c r="E366" s="18" t="s">
        <v>255</v>
      </c>
      <c r="F366" s="21">
        <v>838</v>
      </c>
      <c r="G366" s="22">
        <v>1520</v>
      </c>
      <c r="H366" s="22"/>
      <c r="I366" s="22">
        <f t="shared" si="6"/>
        <v>1520</v>
      </c>
      <c r="J366" s="18" t="s">
        <v>1113</v>
      </c>
      <c r="K366" s="18">
        <v>9750550</v>
      </c>
      <c r="L366" s="18">
        <v>843945</v>
      </c>
      <c r="M366" s="18" t="s">
        <v>1644</v>
      </c>
      <c r="N366" s="16" t="s">
        <v>1284</v>
      </c>
      <c r="O366" s="18" t="s">
        <v>1119</v>
      </c>
      <c r="P366" s="18" t="s">
        <v>1288</v>
      </c>
      <c r="Q366" s="29" t="str" cm="1">
        <f t="array" ref="Q366">_xlfn.IFS(
A366="","",
AND(A366&lt;&gt;"",B366=""),"FALTA LANÇAMENTO",
AND(B366&lt;&gt;"",M366=""),"FALTA O PEDIDO",
AND(M366&lt;&gt;"",O366=""),"FALTA NF",
O366&lt;&gt;"","CONCLUÍDO")</f>
        <v>CONCLUÍDO</v>
      </c>
      <c r="R366" s="36"/>
    </row>
    <row r="367" spans="1:18" hidden="1">
      <c r="A367" s="16">
        <v>46049</v>
      </c>
      <c r="B367" s="16">
        <v>46052</v>
      </c>
      <c r="C367" s="21">
        <v>51521047</v>
      </c>
      <c r="D367" s="16" t="str">
        <f>IFERROR(VLOOKUP(Tabela5[[#This Row],[PREFIXO ]],Tabela4[#All],2,0),"CENTRO DE CUSTO")</f>
        <v>COLHED ALGODÃO JOHN DEERE CP 690</v>
      </c>
      <c r="E367" s="18" t="s">
        <v>255</v>
      </c>
      <c r="F367" s="21">
        <v>839</v>
      </c>
      <c r="G367" s="22">
        <v>1500</v>
      </c>
      <c r="H367" s="22"/>
      <c r="I367" s="22">
        <f t="shared" si="6"/>
        <v>1500</v>
      </c>
      <c r="J367" s="18" t="s">
        <v>1113</v>
      </c>
      <c r="K367" s="18">
        <v>9750621</v>
      </c>
      <c r="L367" s="18">
        <v>843945</v>
      </c>
      <c r="M367" s="18" t="s">
        <v>1644</v>
      </c>
      <c r="N367" s="16" t="s">
        <v>1284</v>
      </c>
      <c r="O367" s="18" t="s">
        <v>1119</v>
      </c>
      <c r="P367" s="18" t="s">
        <v>1288</v>
      </c>
      <c r="Q367" s="29" t="str" cm="1">
        <f t="array" ref="Q367">_xlfn.IFS(
A367="","",
AND(A367&lt;&gt;"",B367=""),"FALTA LANÇAMENTO",
AND(B367&lt;&gt;"",M367=""),"FALTA O PEDIDO",
AND(M367&lt;&gt;"",O367=""),"FALTA NF",
O367&lt;&gt;"","CONCLUÍDO")</f>
        <v>CONCLUÍDO</v>
      </c>
      <c r="R367" s="36"/>
    </row>
    <row r="368" spans="1:18" hidden="1">
      <c r="A368" s="16">
        <v>46049</v>
      </c>
      <c r="B368" s="16">
        <v>46052</v>
      </c>
      <c r="C368" s="21">
        <v>51521068</v>
      </c>
      <c r="D368" s="16" t="str">
        <f>IFERROR(VLOOKUP(Tabela5[[#This Row],[PREFIXO ]],Tabela4[#All],2,0),"CENTRO DE CUSTO")</f>
        <v>COLHED ALGODÃO JOHN DEERE CP 690</v>
      </c>
      <c r="E368" s="18" t="s">
        <v>255</v>
      </c>
      <c r="F368" s="21">
        <v>833</v>
      </c>
      <c r="G368" s="22">
        <v>800</v>
      </c>
      <c r="H368" s="22"/>
      <c r="I368" s="22">
        <f t="shared" si="6"/>
        <v>800</v>
      </c>
      <c r="J368" s="18" t="s">
        <v>1113</v>
      </c>
      <c r="K368" s="18">
        <v>9750593</v>
      </c>
      <c r="L368" s="18">
        <v>843945</v>
      </c>
      <c r="M368" s="18" t="s">
        <v>1644</v>
      </c>
      <c r="N368" s="16" t="s">
        <v>1284</v>
      </c>
      <c r="O368" s="18" t="s">
        <v>1119</v>
      </c>
      <c r="P368" s="18" t="s">
        <v>1288</v>
      </c>
      <c r="Q368" s="29" t="str" cm="1">
        <f t="array" ref="Q368">_xlfn.IFS(
A368="","",
AND(A368&lt;&gt;"",B368=""),"FALTA LANÇAMENTO",
AND(B368&lt;&gt;"",M368=""),"FALTA O PEDIDO",
AND(M368&lt;&gt;"",O368=""),"FALTA NF",
O368&lt;&gt;"","CONCLUÍDO")</f>
        <v>CONCLUÍDO</v>
      </c>
      <c r="R368" s="36"/>
    </row>
    <row r="369" spans="1:18" hidden="1">
      <c r="A369" s="16">
        <v>46049</v>
      </c>
      <c r="B369" s="16">
        <v>46052</v>
      </c>
      <c r="C369" s="21">
        <v>11521001</v>
      </c>
      <c r="D369" s="16" t="str">
        <f>IFERROR(VLOOKUP(Tabela5[[#This Row],[PREFIXO ]],Tabela4[#All],2,0),"CENTRO DE CUSTO")</f>
        <v>TRAT PN EXT PES CASE STEIGER 620</v>
      </c>
      <c r="E369" s="18" t="s">
        <v>255</v>
      </c>
      <c r="F369" s="21">
        <v>837</v>
      </c>
      <c r="G369" s="22">
        <v>750</v>
      </c>
      <c r="H369" s="22"/>
      <c r="I369" s="22">
        <f t="shared" si="6"/>
        <v>750</v>
      </c>
      <c r="J369" s="18" t="s">
        <v>1199</v>
      </c>
      <c r="K369" s="18">
        <v>9750535</v>
      </c>
      <c r="L369" s="18">
        <v>843945</v>
      </c>
      <c r="M369" s="18" t="s">
        <v>1644</v>
      </c>
      <c r="N369" s="16" t="s">
        <v>1284</v>
      </c>
      <c r="O369" s="18" t="s">
        <v>1119</v>
      </c>
      <c r="P369" s="18" t="s">
        <v>1288</v>
      </c>
      <c r="Q369" s="29" t="str" cm="1">
        <f t="array" ref="Q369">_xlfn.IFS(
A369="","",
AND(A369&lt;&gt;"",B369=""),"FALTA LANÇAMENTO",
AND(B369&lt;&gt;"",M369=""),"FALTA O PEDIDO",
AND(M369&lt;&gt;"",O369=""),"FALTA NF",
O369&lt;&gt;"","CONCLUÍDO")</f>
        <v>CONCLUÍDO</v>
      </c>
      <c r="R369" s="36"/>
    </row>
    <row r="370" spans="1:18" hidden="1">
      <c r="A370" s="16">
        <v>46049</v>
      </c>
      <c r="B370" s="16">
        <v>46052</v>
      </c>
      <c r="C370" s="21">
        <v>51521085</v>
      </c>
      <c r="D370" s="16" t="str">
        <f>IFERROR(VLOOKUP(Tabela5[[#This Row],[PREFIXO ]],Tabela4[#All],2,0),"CENTRO DE CUSTO")</f>
        <v>COLHEIT DE GRÃOS N.HOLLAND CR 8.90</v>
      </c>
      <c r="E370" s="18" t="s">
        <v>255</v>
      </c>
      <c r="F370" s="21">
        <v>834</v>
      </c>
      <c r="G370" s="22">
        <v>750</v>
      </c>
      <c r="H370" s="22"/>
      <c r="I370" s="22">
        <f t="shared" si="6"/>
        <v>750</v>
      </c>
      <c r="J370" s="18" t="s">
        <v>1113</v>
      </c>
      <c r="K370" s="18">
        <v>9750540</v>
      </c>
      <c r="L370" s="18">
        <v>843945</v>
      </c>
      <c r="M370" s="18" t="s">
        <v>1644</v>
      </c>
      <c r="N370" s="16" t="s">
        <v>1284</v>
      </c>
      <c r="O370" s="18" t="s">
        <v>1119</v>
      </c>
      <c r="P370" s="18" t="s">
        <v>1288</v>
      </c>
      <c r="Q370" s="29" t="str" cm="1">
        <f t="array" ref="Q370">_xlfn.IFS(
A370="","",
AND(A370&lt;&gt;"",B370=""),"FALTA LANÇAMENTO",
AND(B370&lt;&gt;"",M370=""),"FALTA O PEDIDO",
AND(M370&lt;&gt;"",O370=""),"FALTA NF",
O370&lt;&gt;"","CONCLUÍDO")</f>
        <v>CONCLUÍDO</v>
      </c>
      <c r="R370" s="36"/>
    </row>
    <row r="371" spans="1:18" hidden="1">
      <c r="A371" s="16">
        <v>46051</v>
      </c>
      <c r="B371" s="16">
        <v>46052</v>
      </c>
      <c r="C371" s="21">
        <v>12010022</v>
      </c>
      <c r="D371" s="16" t="str">
        <f>IFERROR(VLOOKUP(Tabela5[[#This Row],[PREFIXO ]],Tabela4[#All],2,0),"CENTRO DE CUSTO")</f>
        <v>CENTRO DE CUSTO</v>
      </c>
      <c r="E371" s="18" t="s">
        <v>354</v>
      </c>
      <c r="F371" s="21">
        <v>130045</v>
      </c>
      <c r="G371" s="22">
        <v>950</v>
      </c>
      <c r="H371" s="22">
        <v>2496.3000000000002</v>
      </c>
      <c r="I371" s="22">
        <f t="shared" si="6"/>
        <v>3446.3</v>
      </c>
      <c r="J371" s="18" t="s">
        <v>1085</v>
      </c>
      <c r="K371" s="18">
        <v>9752549</v>
      </c>
      <c r="L371" s="18">
        <v>851167</v>
      </c>
      <c r="M371" s="18" t="s">
        <v>1645</v>
      </c>
      <c r="N371" s="16" t="s">
        <v>1284</v>
      </c>
      <c r="O371" s="18" t="s">
        <v>1646</v>
      </c>
      <c r="P371" s="18" t="s">
        <v>1094</v>
      </c>
      <c r="Q371" s="29" t="str" cm="1">
        <f t="array" ref="Q371">_xlfn.IFS(
A371="","",
AND(A371&lt;&gt;"",B371=""),"FALTA LANÇAMENTO",
AND(B371&lt;&gt;"",M371=""),"FALTA O PEDIDO",
AND(M371&lt;&gt;"",O371=""),"FALTA NF",
O371&lt;&gt;"","CONCLUÍDO")</f>
        <v>CONCLUÍDO</v>
      </c>
      <c r="R371" s="36"/>
    </row>
    <row r="372" spans="1:18" hidden="1">
      <c r="A372" s="16">
        <v>46051</v>
      </c>
      <c r="B372" s="16">
        <v>46052</v>
      </c>
      <c r="C372" s="21" t="s">
        <v>1647</v>
      </c>
      <c r="D372" s="16" t="str">
        <f>IFERROR(VLOOKUP(Tabela5[[#This Row],[PREFIXO ]],Tabela4[#All],2,0),"CENTRO DE CUSTO")</f>
        <v>CENTRO DE CUSTO</v>
      </c>
      <c r="E372" s="18" t="s">
        <v>183</v>
      </c>
      <c r="F372" s="21">
        <v>493</v>
      </c>
      <c r="G372" s="22">
        <v>1000</v>
      </c>
      <c r="H372" s="22"/>
      <c r="I372" s="22">
        <f t="shared" si="6"/>
        <v>1000</v>
      </c>
      <c r="J372" s="18" t="s">
        <v>1251</v>
      </c>
      <c r="K372" s="18" t="s">
        <v>1648</v>
      </c>
      <c r="L372" s="18" t="s">
        <v>1095</v>
      </c>
      <c r="M372" s="18" t="s">
        <v>1095</v>
      </c>
      <c r="N372" s="16" t="s">
        <v>1095</v>
      </c>
      <c r="O372" s="18" t="s">
        <v>1095</v>
      </c>
      <c r="P372" s="18" t="s">
        <v>1095</v>
      </c>
      <c r="Q372" s="29" t="str" cm="1">
        <f t="array" ref="Q372">_xlfn.IFS(
A372="","",
AND(A372&lt;&gt;"",B372=""),"FALTA LANÇAMENTO",
AND(B372&lt;&gt;"",M372=""),"FALTA O PEDIDO",
AND(M372&lt;&gt;"",O372=""),"FALTA NF",
O372&lt;&gt;"","CONCLUÍDO")</f>
        <v>CONCLUÍDO</v>
      </c>
      <c r="R372" s="36"/>
    </row>
    <row r="373" spans="1:18" hidden="1">
      <c r="A373" s="16">
        <v>46051</v>
      </c>
      <c r="B373" s="16">
        <v>46052</v>
      </c>
      <c r="C373" s="21" t="s">
        <v>1649</v>
      </c>
      <c r="D373" s="16" t="str">
        <f>IFERROR(VLOOKUP(Tabela5[[#This Row],[PREFIXO ]],Tabela4[#All],2,0),"CENTRO DE CUSTO")</f>
        <v>CENTRO DE CUSTO</v>
      </c>
      <c r="E373" s="18" t="s">
        <v>183</v>
      </c>
      <c r="F373" s="21">
        <v>355</v>
      </c>
      <c r="G373" s="22">
        <v>1000</v>
      </c>
      <c r="H373" s="22"/>
      <c r="I373" s="22">
        <f t="shared" si="6"/>
        <v>1000</v>
      </c>
      <c r="J373" s="18" t="s">
        <v>1251</v>
      </c>
      <c r="K373" s="18" t="s">
        <v>1650</v>
      </c>
      <c r="L373" s="18" t="s">
        <v>1095</v>
      </c>
      <c r="M373" s="18" t="s">
        <v>1095</v>
      </c>
      <c r="N373" s="16" t="s">
        <v>1095</v>
      </c>
      <c r="O373" s="18" t="s">
        <v>1095</v>
      </c>
      <c r="P373" s="18" t="s">
        <v>1095</v>
      </c>
      <c r="Q373" s="29" t="str" cm="1">
        <f t="array" ref="Q373">_xlfn.IFS(
A373="","",
AND(A373&lt;&gt;"",B373=""),"FALTA LANÇAMENTO",
AND(B373&lt;&gt;"",M373=""),"FALTA O PEDIDO",
AND(M373&lt;&gt;"",O373=""),"FALTA NF",
O373&lt;&gt;"","CONCLUÍDO")</f>
        <v>CONCLUÍDO</v>
      </c>
      <c r="R373" s="36"/>
    </row>
    <row r="374" spans="1:18" hidden="1">
      <c r="A374" s="16">
        <v>46051</v>
      </c>
      <c r="B374" s="16">
        <v>46052</v>
      </c>
      <c r="C374" s="21" t="s">
        <v>1647</v>
      </c>
      <c r="D374" s="16" t="str">
        <f>IFERROR(VLOOKUP(Tabela5[[#This Row],[PREFIXO ]],Tabela4[#All],2,0),"CENTRO DE CUSTO")</f>
        <v>CENTRO DE CUSTO</v>
      </c>
      <c r="E374" s="18" t="s">
        <v>333</v>
      </c>
      <c r="F374" s="21" t="s">
        <v>1651</v>
      </c>
      <c r="G374" s="22">
        <v>5585</v>
      </c>
      <c r="H374" s="22"/>
      <c r="I374" s="22">
        <f t="shared" si="6"/>
        <v>5585</v>
      </c>
      <c r="J374" s="18" t="s">
        <v>1251</v>
      </c>
      <c r="K374" s="18" t="s">
        <v>1652</v>
      </c>
      <c r="L374" s="18" t="s">
        <v>1095</v>
      </c>
      <c r="M374" s="18" t="s">
        <v>1095</v>
      </c>
      <c r="N374" s="16" t="s">
        <v>1095</v>
      </c>
      <c r="O374" s="18" t="s">
        <v>1095</v>
      </c>
      <c r="P374" s="18" t="s">
        <v>1095</v>
      </c>
      <c r="Q374" s="29" t="str" cm="1">
        <f t="array" ref="Q374">_xlfn.IFS(
A374="","",
AND(A374&lt;&gt;"",B374=""),"FALTA LANÇAMENTO",
AND(B374&lt;&gt;"",M374=""),"FALTA O PEDIDO",
AND(M374&lt;&gt;"",O374=""),"FALTA NF",
O374&lt;&gt;"","CONCLUÍDO")</f>
        <v>CONCLUÍDO</v>
      </c>
      <c r="R374" s="36"/>
    </row>
    <row r="375" spans="1:18" hidden="1">
      <c r="A375" s="16">
        <v>46056</v>
      </c>
      <c r="B375" s="16">
        <v>46059</v>
      </c>
      <c r="C375" s="21">
        <v>71521002</v>
      </c>
      <c r="D375" s="16" t="str">
        <f>IFERROR(VLOOKUP(Tabela5[[#This Row],[PREFIXO ]],Tabela4[#All],2,0),"CENTRO DE CUSTO")</f>
        <v>CORTADOR DE GRAMA GIRO ZERO MZ54</v>
      </c>
      <c r="E375" s="18" t="s">
        <v>88</v>
      </c>
      <c r="F375" s="21">
        <v>400564</v>
      </c>
      <c r="G375" s="22">
        <v>800</v>
      </c>
      <c r="H375" s="22"/>
      <c r="I375" s="22">
        <f t="shared" si="6"/>
        <v>800</v>
      </c>
      <c r="J375" s="18" t="s">
        <v>1085</v>
      </c>
      <c r="K375" s="18">
        <v>9758578</v>
      </c>
      <c r="L375" s="18">
        <v>857999</v>
      </c>
      <c r="M375" s="18" t="s">
        <v>1653</v>
      </c>
      <c r="N375" s="16" t="s">
        <v>1125</v>
      </c>
      <c r="O375" s="18" t="s">
        <v>1654</v>
      </c>
      <c r="P375" s="18" t="s">
        <v>1551</v>
      </c>
      <c r="Q375" s="29" t="str" cm="1">
        <f t="array" ref="Q375">_xlfn.IFS(
A375="","",
AND(A375&lt;&gt;"",B375=""),"FALTA LANÇAMENTO",
AND(B375&lt;&gt;"",M375=""),"FALTA O PEDIDO",
AND(M375&lt;&gt;"",O375=""),"FALTA NF",
O375&lt;&gt;"","CONCLUÍDO")</f>
        <v>CONCLUÍDO</v>
      </c>
      <c r="R375" s="36"/>
    </row>
    <row r="376" spans="1:18" hidden="1">
      <c r="A376" s="16">
        <v>46056</v>
      </c>
      <c r="B376" s="16">
        <v>46064</v>
      </c>
      <c r="C376" s="21">
        <v>81521205</v>
      </c>
      <c r="D376" s="16" t="str">
        <f>IFERROR(VLOOKUP(Tabela5[[#This Row],[PREFIXO ]],Tabela4[#All],2,0),"CENTRO DE CUSTO")</f>
        <v>SEMI REBOQUE PRANCHA FACCHINI SRCT 4E</v>
      </c>
      <c r="E376" s="18" t="s">
        <v>24</v>
      </c>
      <c r="F376" s="21">
        <v>152249</v>
      </c>
      <c r="G376" s="22"/>
      <c r="H376" s="22">
        <v>4216.5</v>
      </c>
      <c r="I376" s="22">
        <f t="shared" si="6"/>
        <v>4216.5</v>
      </c>
      <c r="J376" s="18" t="s">
        <v>1085</v>
      </c>
      <c r="K376" s="18">
        <v>9757300</v>
      </c>
      <c r="L376" s="18">
        <v>859875</v>
      </c>
      <c r="M376" s="18" t="s">
        <v>1655</v>
      </c>
      <c r="N376" s="16" t="s">
        <v>1492</v>
      </c>
      <c r="O376" s="18" t="s">
        <v>1656</v>
      </c>
      <c r="P376" s="18" t="s">
        <v>1492</v>
      </c>
      <c r="Q376" s="29" t="str" cm="1">
        <f t="array" ref="Q376">_xlfn.IFS(
A376="","",
AND(A376&lt;&gt;"",B376=""),"FALTA LANÇAMENTO",
AND(B376&lt;&gt;"",M376=""),"FALTA O PEDIDO",
AND(M376&lt;&gt;"",O376=""),"FALTA NF",
O376&lt;&gt;"","CONCLUÍDO")</f>
        <v>CONCLUÍDO</v>
      </c>
      <c r="R376" s="36"/>
    </row>
    <row r="377" spans="1:18" hidden="1">
      <c r="A377" s="16">
        <v>46056</v>
      </c>
      <c r="B377" s="16">
        <v>46064</v>
      </c>
      <c r="C377" s="21">
        <v>81521205</v>
      </c>
      <c r="D377" s="16" t="str">
        <f>IFERROR(VLOOKUP(Tabela5[[#This Row],[PREFIXO ]],Tabela4[#All],2,0),"CENTRO DE CUSTO")</f>
        <v>SEMI REBOQUE PRANCHA FACCHINI SRCT 4E</v>
      </c>
      <c r="E377" s="18" t="s">
        <v>24</v>
      </c>
      <c r="F377" s="21">
        <v>15706</v>
      </c>
      <c r="G377" s="22">
        <v>2604.6</v>
      </c>
      <c r="H377" s="22"/>
      <c r="I377" s="22">
        <f t="shared" si="6"/>
        <v>2604.6</v>
      </c>
      <c r="J377" s="18" t="s">
        <v>1085</v>
      </c>
      <c r="K377" s="18">
        <v>9757300</v>
      </c>
      <c r="L377" s="18">
        <v>859875</v>
      </c>
      <c r="M377" s="18" t="s">
        <v>1657</v>
      </c>
      <c r="N377" s="16" t="s">
        <v>1492</v>
      </c>
      <c r="O377" s="18" t="s">
        <v>1658</v>
      </c>
      <c r="P377" s="18" t="s">
        <v>1127</v>
      </c>
      <c r="Q377" s="29" t="str" cm="1">
        <f t="array" ref="Q377">_xlfn.IFS(
A377="","",
AND(A377&lt;&gt;"",B377=""),"FALTA LANÇAMENTO",
AND(B377&lt;&gt;"",M377=""),"FALTA O PEDIDO",
AND(M377&lt;&gt;"",O377=""),"FALTA NF",
O377&lt;&gt;"","CONCLUÍDO")</f>
        <v>CONCLUÍDO</v>
      </c>
      <c r="R377" s="36"/>
    </row>
    <row r="378" spans="1:18" hidden="1">
      <c r="A378" s="16">
        <v>46056</v>
      </c>
      <c r="B378" s="16">
        <v>46059</v>
      </c>
      <c r="C378" s="21">
        <v>61521080</v>
      </c>
      <c r="D378" s="16" t="str">
        <f>IFERROR(VLOOKUP(Tabela5[[#This Row],[PREFIXO ]],Tabela4[#All],2,0),"CENTRO DE CUSTO")</f>
        <v>CAV MEC EXT PES VOLVO FH 540</v>
      </c>
      <c r="E378" s="18" t="s">
        <v>24</v>
      </c>
      <c r="F378" s="21">
        <v>15705</v>
      </c>
      <c r="G378" s="22">
        <v>198</v>
      </c>
      <c r="H378" s="22"/>
      <c r="I378" s="22">
        <f t="shared" si="6"/>
        <v>198</v>
      </c>
      <c r="J378" s="18" t="s">
        <v>1085</v>
      </c>
      <c r="K378" s="18">
        <v>9757306</v>
      </c>
      <c r="L378" s="18">
        <v>857534</v>
      </c>
      <c r="M378" s="18" t="s">
        <v>1659</v>
      </c>
      <c r="N378" s="16" t="s">
        <v>1125</v>
      </c>
      <c r="O378" s="18" t="s">
        <v>1660</v>
      </c>
      <c r="P378" s="18" t="s">
        <v>1459</v>
      </c>
      <c r="Q378" s="29" t="str" cm="1">
        <f t="array" ref="Q378">_xlfn.IFS(
A378="","",
AND(A378&lt;&gt;"",B378=""),"FALTA LANÇAMENTO",
AND(B378&lt;&gt;"",M378=""),"FALTA O PEDIDO",
AND(M378&lt;&gt;"",O378=""),"FALTA NF",
O378&lt;&gt;"","CONCLUÍDO")</f>
        <v>CONCLUÍDO</v>
      </c>
      <c r="R378" s="36"/>
    </row>
    <row r="379" spans="1:18" hidden="1">
      <c r="A379" s="16">
        <v>46056</v>
      </c>
      <c r="B379" s="16">
        <v>46062</v>
      </c>
      <c r="C379" s="21">
        <v>61521062</v>
      </c>
      <c r="D379" s="16" t="str">
        <f>IFERROR(VLOOKUP(Tabela5[[#This Row],[PREFIXO ]],Tabela4[#All],2,0),"CENTRO DE CUSTO")</f>
        <v>ONIB RODOVIÁRIO MERC BENZ MARCOPOLO TORI</v>
      </c>
      <c r="E379" s="18" t="s">
        <v>29</v>
      </c>
      <c r="F379" s="21">
        <v>54743</v>
      </c>
      <c r="G379" s="22">
        <v>3130</v>
      </c>
      <c r="H379" s="22">
        <v>20761</v>
      </c>
      <c r="I379" s="22">
        <f t="shared" si="6"/>
        <v>23891</v>
      </c>
      <c r="J379" s="18" t="s">
        <v>1085</v>
      </c>
      <c r="K379" s="18">
        <v>9750304</v>
      </c>
      <c r="L379" s="18">
        <v>859421</v>
      </c>
      <c r="M379" s="18" t="s">
        <v>1661</v>
      </c>
      <c r="N379" s="16" t="s">
        <v>1463</v>
      </c>
      <c r="O379" s="18" t="s">
        <v>1662</v>
      </c>
      <c r="P379" s="18" t="s">
        <v>1465</v>
      </c>
      <c r="Q379" s="29" t="str" cm="1">
        <f t="array" ref="Q379">_xlfn.IFS(
A379="","",
AND(A379&lt;&gt;"",B379=""),"FALTA LANÇAMENTO",
AND(B379&lt;&gt;"",M379=""),"FALTA O PEDIDO",
AND(M379&lt;&gt;"",O379=""),"FALTA NF",
O379&lt;&gt;"","CONCLUÍDO")</f>
        <v>CONCLUÍDO</v>
      </c>
      <c r="R379" s="36"/>
    </row>
    <row r="380" spans="1:18" hidden="1">
      <c r="A380" s="16">
        <v>46056</v>
      </c>
      <c r="B380" s="16">
        <v>46063</v>
      </c>
      <c r="C380" s="21">
        <v>61521042</v>
      </c>
      <c r="D380" s="16" t="str">
        <f>IFERROR(VLOOKUP(Tabela5[[#This Row],[PREFIXO ]],Tabela4[#All],2,0),"CENTRO DE CUSTO")</f>
        <v>ONIB RODOVIÁRIO MASCARELLO GRAN MIDI</v>
      </c>
      <c r="E380" s="18" t="s">
        <v>29</v>
      </c>
      <c r="F380" s="21">
        <v>54734</v>
      </c>
      <c r="G380" s="22">
        <v>3415</v>
      </c>
      <c r="H380" s="22">
        <v>12410.26</v>
      </c>
      <c r="I380" s="22">
        <f t="shared" si="6"/>
        <v>15825.26</v>
      </c>
      <c r="J380" s="18" t="s">
        <v>1085</v>
      </c>
      <c r="K380" s="18">
        <v>9750307</v>
      </c>
      <c r="L380" s="18">
        <v>859391</v>
      </c>
      <c r="M380" s="18" t="s">
        <v>1663</v>
      </c>
      <c r="N380" s="16" t="s">
        <v>1120</v>
      </c>
      <c r="O380" s="18" t="s">
        <v>1664</v>
      </c>
      <c r="P380" s="18" t="s">
        <v>1553</v>
      </c>
      <c r="Q380" s="29" t="str" cm="1">
        <f t="array" ref="Q380">_xlfn.IFS(
A380="","",
AND(A380&lt;&gt;"",B380=""),"FALTA LANÇAMENTO",
AND(B380&lt;&gt;"",M380=""),"FALTA O PEDIDO",
AND(M380&lt;&gt;"",O380=""),"FALTA NF",
O380&lt;&gt;"","CONCLUÍDO")</f>
        <v>CONCLUÍDO</v>
      </c>
      <c r="R380" s="36"/>
    </row>
    <row r="381" spans="1:18" hidden="1">
      <c r="A381" s="16">
        <v>46056</v>
      </c>
      <c r="B381" s="16">
        <v>46064</v>
      </c>
      <c r="C381" s="21">
        <v>61521041</v>
      </c>
      <c r="D381" s="16" t="str">
        <f>IFERROR(VLOOKUP(Tabela5[[#This Row],[PREFIXO ]],Tabela4[#All],2,0),"CENTRO DE CUSTO")</f>
        <v>ONIB RODOVIÁRIO MASCARELLO GRAN MIDI</v>
      </c>
      <c r="E381" s="18" t="s">
        <v>29</v>
      </c>
      <c r="F381" s="21">
        <v>54840</v>
      </c>
      <c r="G381" s="22">
        <v>2026</v>
      </c>
      <c r="H381" s="22">
        <v>4130.3599999999997</v>
      </c>
      <c r="I381" s="22">
        <f t="shared" si="6"/>
        <v>6156.36</v>
      </c>
      <c r="J381" s="18" t="s">
        <v>1085</v>
      </c>
      <c r="K381" s="18">
        <v>9753164</v>
      </c>
      <c r="L381" s="18">
        <v>859954</v>
      </c>
      <c r="M381" s="18" t="s">
        <v>1665</v>
      </c>
      <c r="N381" s="16" t="s">
        <v>1492</v>
      </c>
      <c r="O381" s="18" t="s">
        <v>1666</v>
      </c>
      <c r="P381" s="18" t="s">
        <v>1549</v>
      </c>
      <c r="Q381" s="29" t="str" cm="1">
        <f t="array" ref="Q381">_xlfn.IFS(
A381="","",
AND(A381&lt;&gt;"",B381=""),"FALTA LANÇAMENTO",
AND(B381&lt;&gt;"",M381=""),"FALTA O PEDIDO",
AND(M381&lt;&gt;"",O381=""),"FALTA NF",
O381&lt;&gt;"","CONCLUÍDO")</f>
        <v>CONCLUÍDO</v>
      </c>
      <c r="R381" s="36"/>
    </row>
    <row r="382" spans="1:18" hidden="1">
      <c r="A382" s="16">
        <v>46056</v>
      </c>
      <c r="B382" s="16">
        <v>46063</v>
      </c>
      <c r="C382" s="21">
        <v>11040013</v>
      </c>
      <c r="D382" s="16" t="str">
        <f>IFERROR(VLOOKUP(Tabela5[[#This Row],[PREFIXO ]],Tabela4[#All],2,0),"CENTRO DE CUSTO")</f>
        <v>CAV MEC EXT PES SCANIA R500</v>
      </c>
      <c r="E382" s="18" t="s">
        <v>29</v>
      </c>
      <c r="F382" s="21">
        <v>54782</v>
      </c>
      <c r="G382" s="22">
        <v>2168</v>
      </c>
      <c r="H382" s="22">
        <v>1956.94</v>
      </c>
      <c r="I382" s="22">
        <f t="shared" si="6"/>
        <v>4124.9400000000005</v>
      </c>
      <c r="J382" s="18" t="s">
        <v>1085</v>
      </c>
      <c r="K382" s="18">
        <v>9750188</v>
      </c>
      <c r="L382" s="18">
        <v>859861</v>
      </c>
      <c r="M382" s="18" t="s">
        <v>1667</v>
      </c>
      <c r="N382" s="16" t="s">
        <v>1120</v>
      </c>
      <c r="O382" s="18" t="s">
        <v>1668</v>
      </c>
      <c r="P382" s="18" t="s">
        <v>1553</v>
      </c>
      <c r="Q382" s="29" t="str" cm="1">
        <f t="array" ref="Q382">_xlfn.IFS(
A382="","",
AND(A382&lt;&gt;"",B382=""),"FALTA LANÇAMENTO",
AND(B382&lt;&gt;"",M382=""),"FALTA O PEDIDO",
AND(M382&lt;&gt;"",O382=""),"FALTA NF",
O382&lt;&gt;"","CONCLUÍDO")</f>
        <v>CONCLUÍDO</v>
      </c>
      <c r="R382" s="36"/>
    </row>
    <row r="383" spans="1:18" hidden="1">
      <c r="A383" s="16">
        <v>46056</v>
      </c>
      <c r="B383" s="16">
        <v>46062</v>
      </c>
      <c r="C383" s="21">
        <v>8173205</v>
      </c>
      <c r="D383" s="16" t="str">
        <f>IFERROR(VLOOKUP(Tabela5[[#This Row],[PREFIXO ]],Tabela4[#All],2,0),"CENTRO DE CUSTO")</f>
        <v>SEMI REBOQUE TANQUE RANDON 23.000L</v>
      </c>
      <c r="E383" s="18" t="s">
        <v>29</v>
      </c>
      <c r="F383" s="21">
        <v>54784</v>
      </c>
      <c r="G383" s="22">
        <v>100</v>
      </c>
      <c r="H383" s="22">
        <v>2280</v>
      </c>
      <c r="I383" s="22">
        <f t="shared" si="6"/>
        <v>2380</v>
      </c>
      <c r="J383" s="18" t="s">
        <v>1085</v>
      </c>
      <c r="K383" s="18">
        <v>9750310</v>
      </c>
      <c r="L383" s="18">
        <v>857429</v>
      </c>
      <c r="M383" s="18" t="s">
        <v>1669</v>
      </c>
      <c r="N383" s="16" t="s">
        <v>1463</v>
      </c>
      <c r="O383" s="18" t="s">
        <v>1670</v>
      </c>
      <c r="P383" s="18" t="s">
        <v>1671</v>
      </c>
      <c r="Q383" s="29" t="str" cm="1">
        <f t="array" ref="Q383">_xlfn.IFS(
A383="","",
AND(A383&lt;&gt;"",B383=""),"FALTA LANÇAMENTO",
AND(B383&lt;&gt;"",M383=""),"FALTA O PEDIDO",
AND(M383&lt;&gt;"",O383=""),"FALTA NF",
O383&lt;&gt;"","CONCLUÍDO")</f>
        <v>CONCLUÍDO</v>
      </c>
      <c r="R383" s="36"/>
    </row>
    <row r="384" spans="1:18" hidden="1">
      <c r="A384" s="16">
        <v>46056</v>
      </c>
      <c r="B384" s="16">
        <v>46062</v>
      </c>
      <c r="C384" s="21">
        <v>8172116</v>
      </c>
      <c r="D384" s="16" t="str">
        <f>IFERROR(VLOOKUP(Tabela5[[#This Row],[PREFIXO ]],Tabela4[#All],2,0),"CENTRO DE CUSTO")</f>
        <v>SEMI REBOQUE TANQUE RANDON 22.000L</v>
      </c>
      <c r="E384" s="18" t="s">
        <v>29</v>
      </c>
      <c r="F384" s="21">
        <v>54828</v>
      </c>
      <c r="G384" s="22">
        <v>120</v>
      </c>
      <c r="H384" s="22">
        <v>850.93</v>
      </c>
      <c r="I384" s="22">
        <f t="shared" ref="I384:I447" si="7">G384+H384</f>
        <v>970.93</v>
      </c>
      <c r="J384" s="18" t="s">
        <v>1085</v>
      </c>
      <c r="K384" s="18">
        <v>9753175</v>
      </c>
      <c r="L384" s="18">
        <v>857443</v>
      </c>
      <c r="M384" s="18" t="s">
        <v>1672</v>
      </c>
      <c r="N384" s="16" t="s">
        <v>1463</v>
      </c>
      <c r="O384" s="18" t="s">
        <v>1673</v>
      </c>
      <c r="P384" s="18" t="s">
        <v>1671</v>
      </c>
      <c r="Q384" s="29" t="str" cm="1">
        <f t="array" ref="Q384">_xlfn.IFS(
A384="","",
AND(A384&lt;&gt;"",B384=""),"FALTA LANÇAMENTO",
AND(B384&lt;&gt;"",M384=""),"FALTA O PEDIDO",
AND(M384&lt;&gt;"",O384=""),"FALTA NF",
O384&lt;&gt;"","CONCLUÍDO")</f>
        <v>CONCLUÍDO</v>
      </c>
      <c r="R384" s="36"/>
    </row>
    <row r="385" spans="1:18" hidden="1">
      <c r="A385" s="16">
        <v>46056</v>
      </c>
      <c r="B385" s="16">
        <v>46062</v>
      </c>
      <c r="C385" s="21">
        <v>81521061</v>
      </c>
      <c r="D385" s="16" t="str">
        <f>IFERROR(VLOOKUP(Tabela5[[#This Row],[PREFIXO ]],Tabela4[#All],2,0),"CENTRO DE CUSTO")</f>
        <v>SEMI REBOQUE PRANCHA RODOLINEA SRCT 3E</v>
      </c>
      <c r="E385" s="18" t="s">
        <v>29</v>
      </c>
      <c r="F385" s="21">
        <v>54783</v>
      </c>
      <c r="G385" s="22">
        <v>165</v>
      </c>
      <c r="H385" s="22">
        <v>36.659999999999997</v>
      </c>
      <c r="I385" s="22">
        <f t="shared" si="7"/>
        <v>201.66</v>
      </c>
      <c r="J385" s="18" t="s">
        <v>1085</v>
      </c>
      <c r="K385" s="18">
        <v>9750189</v>
      </c>
      <c r="L385" s="18">
        <v>857400</v>
      </c>
      <c r="M385" s="18" t="s">
        <v>1674</v>
      </c>
      <c r="N385" s="16" t="s">
        <v>1463</v>
      </c>
      <c r="O385" s="18" t="s">
        <v>1675</v>
      </c>
      <c r="P385" s="18" t="s">
        <v>1671</v>
      </c>
      <c r="Q385" s="29" t="str" cm="1">
        <f t="array" ref="Q385">_xlfn.IFS(
A385="","",
AND(A385&lt;&gt;"",B385=""),"FALTA LANÇAMENTO",
AND(B385&lt;&gt;"",M385=""),"FALTA O PEDIDO",
AND(M385&lt;&gt;"",O385=""),"FALTA NF",
O385&lt;&gt;"","CONCLUÍDO")</f>
        <v>CONCLUÍDO</v>
      </c>
      <c r="R385" s="36"/>
    </row>
    <row r="386" spans="1:18" hidden="1">
      <c r="A386" s="16">
        <v>46056</v>
      </c>
      <c r="B386" s="16">
        <v>46063</v>
      </c>
      <c r="C386" s="21" t="s">
        <v>1134</v>
      </c>
      <c r="D386" s="16" t="str">
        <f>IFERROR(VLOOKUP(Tabela5[[#This Row],[PREFIXO ]],Tabela4[#All],2,0),"CENTRO DE CUSTO")</f>
        <v>CENTRO DE CUSTO</v>
      </c>
      <c r="E386" s="18" t="s">
        <v>284</v>
      </c>
      <c r="F386" s="21">
        <v>4013</v>
      </c>
      <c r="G386" s="22">
        <v>1647</v>
      </c>
      <c r="H386" s="22">
        <v>2357.9</v>
      </c>
      <c r="I386" s="22">
        <f t="shared" si="7"/>
        <v>4004.9</v>
      </c>
      <c r="J386" s="18" t="s">
        <v>1085</v>
      </c>
      <c r="K386" s="18">
        <v>9757170</v>
      </c>
      <c r="L386" s="18">
        <v>857528</v>
      </c>
      <c r="M386" s="18" t="s">
        <v>1676</v>
      </c>
      <c r="N386" s="16" t="s">
        <v>1120</v>
      </c>
      <c r="O386" s="18" t="s">
        <v>1677</v>
      </c>
      <c r="P386" s="18" t="s">
        <v>1678</v>
      </c>
      <c r="Q386" s="29" t="str" cm="1">
        <f t="array" ref="Q386">_xlfn.IFS(
A386="","",
AND(A386&lt;&gt;"",B386=""),"FALTA LANÇAMENTO",
AND(B386&lt;&gt;"",M386=""),"FALTA O PEDIDO",
AND(M386&lt;&gt;"",O386=""),"FALTA NF",
O386&lt;&gt;"","CONCLUÍDO")</f>
        <v>CONCLUÍDO</v>
      </c>
      <c r="R386" s="36"/>
    </row>
    <row r="387" spans="1:18" hidden="1">
      <c r="A387" s="16">
        <v>46056</v>
      </c>
      <c r="B387" s="16">
        <v>46059</v>
      </c>
      <c r="C387" s="21" t="s">
        <v>1134</v>
      </c>
      <c r="D387" s="16" t="str">
        <f>IFERROR(VLOOKUP(Tabela5[[#This Row],[PREFIXO ]],Tabela4[#All],2,0),"CENTRO DE CUSTO")</f>
        <v>CENTRO DE CUSTO</v>
      </c>
      <c r="E387" s="18" t="s">
        <v>67</v>
      </c>
      <c r="F387" s="21">
        <v>77</v>
      </c>
      <c r="G387" s="22">
        <v>13200</v>
      </c>
      <c r="H387" s="22"/>
      <c r="I387" s="22">
        <f t="shared" si="7"/>
        <v>13200</v>
      </c>
      <c r="J387" s="18" t="s">
        <v>1123</v>
      </c>
      <c r="K387" s="18">
        <v>5019300</v>
      </c>
      <c r="L387" s="18">
        <v>858069</v>
      </c>
      <c r="M387" s="18" t="s">
        <v>1679</v>
      </c>
      <c r="N387" s="16" t="s">
        <v>1551</v>
      </c>
      <c r="O387" s="18" t="s">
        <v>1532</v>
      </c>
      <c r="P387" s="18" t="s">
        <v>1120</v>
      </c>
      <c r="Q387" s="29" t="str" cm="1">
        <f t="array" ref="Q387">_xlfn.IFS(
A387="","",
AND(A387&lt;&gt;"",B387=""),"FALTA LANÇAMENTO",
AND(B387&lt;&gt;"",M387=""),"FALTA O PEDIDO",
AND(M387&lt;&gt;"",O387=""),"FALTA NF",
O387&lt;&gt;"","CONCLUÍDO")</f>
        <v>CONCLUÍDO</v>
      </c>
      <c r="R387" s="36"/>
    </row>
    <row r="388" spans="1:18" hidden="1">
      <c r="A388" s="16">
        <v>46056</v>
      </c>
      <c r="B388" s="16">
        <v>46059</v>
      </c>
      <c r="C388" s="21">
        <v>17320835</v>
      </c>
      <c r="D388" s="16" t="str">
        <f>IFERROR(VLOOKUP(Tabela5[[#This Row],[PREFIXO ]],Tabela4[#All],2,0),"CENTRO DE CUSTO")</f>
        <v>PLANTADEIRA CASE IH FAST RISER 6100</v>
      </c>
      <c r="E388" s="18" t="s">
        <v>67</v>
      </c>
      <c r="F388" s="21">
        <v>85</v>
      </c>
      <c r="G388" s="22">
        <v>8500</v>
      </c>
      <c r="H388" s="22"/>
      <c r="I388" s="22">
        <f t="shared" si="7"/>
        <v>8500</v>
      </c>
      <c r="J388" s="18" t="s">
        <v>1199</v>
      </c>
      <c r="K388" s="18">
        <v>9756739</v>
      </c>
      <c r="L388" s="18">
        <v>857684</v>
      </c>
      <c r="M388" s="18" t="s">
        <v>1680</v>
      </c>
      <c r="N388" s="16" t="s">
        <v>1125</v>
      </c>
      <c r="O388" s="18" t="s">
        <v>1536</v>
      </c>
      <c r="P388" s="18" t="s">
        <v>1120</v>
      </c>
      <c r="Q388" s="29" t="str" cm="1">
        <f t="array" ref="Q388">_xlfn.IFS(
A388="","",
AND(A388&lt;&gt;"",B388=""),"FALTA LANÇAMENTO",
AND(B388&lt;&gt;"",M388=""),"FALTA O PEDIDO",
AND(M388&lt;&gt;"",O388=""),"FALTA NF",
O388&lt;&gt;"","CONCLUÍDO")</f>
        <v>CONCLUÍDO</v>
      </c>
      <c r="R388" s="36"/>
    </row>
    <row r="389" spans="1:18" hidden="1">
      <c r="A389" s="16">
        <v>46056</v>
      </c>
      <c r="B389" s="16">
        <v>46059</v>
      </c>
      <c r="C389" s="21">
        <v>500580263</v>
      </c>
      <c r="D389" s="16" t="str">
        <f>IFERROR(VLOOKUP(Tabela5[[#This Row],[PREFIXO ]],Tabela4[#All],2,0),"CENTRO DE CUSTO")</f>
        <v>Colheit. Grãos-Axial</v>
      </c>
      <c r="E389" s="18" t="s">
        <v>67</v>
      </c>
      <c r="F389" s="21">
        <v>84</v>
      </c>
      <c r="G389" s="22">
        <v>4400</v>
      </c>
      <c r="H389" s="22"/>
      <c r="I389" s="22">
        <f t="shared" si="7"/>
        <v>4400</v>
      </c>
      <c r="J389" s="18" t="s">
        <v>1123</v>
      </c>
      <c r="K389" s="18">
        <v>5019301</v>
      </c>
      <c r="L389" s="18">
        <v>858069</v>
      </c>
      <c r="M389" s="18" t="s">
        <v>1679</v>
      </c>
      <c r="N389" s="16" t="s">
        <v>1551</v>
      </c>
      <c r="O389" s="18" t="s">
        <v>1532</v>
      </c>
      <c r="P389" s="18" t="s">
        <v>1120</v>
      </c>
      <c r="Q389" s="29" t="str" cm="1">
        <f t="array" ref="Q389">_xlfn.IFS(
A389="","",
AND(A389&lt;&gt;"",B389=""),"FALTA LANÇAMENTO",
AND(B389&lt;&gt;"",M389=""),"FALTA O PEDIDO",
AND(M389&lt;&gt;"",O389=""),"FALTA NF",
O389&lt;&gt;"","CONCLUÍDO")</f>
        <v>CONCLUÍDO</v>
      </c>
      <c r="R389" s="36"/>
    </row>
    <row r="390" spans="1:18" hidden="1">
      <c r="A390" s="16">
        <v>46056</v>
      </c>
      <c r="B390" s="16">
        <v>46059</v>
      </c>
      <c r="C390" s="21">
        <v>500580263</v>
      </c>
      <c r="D390" s="16" t="str">
        <f>IFERROR(VLOOKUP(Tabela5[[#This Row],[PREFIXO ]],Tabela4[#All],2,0),"CENTRO DE CUSTO")</f>
        <v>Colheit. Grãos-Axial</v>
      </c>
      <c r="E390" s="18" t="s">
        <v>67</v>
      </c>
      <c r="F390" s="21">
        <v>83</v>
      </c>
      <c r="G390" s="22">
        <v>3921.8</v>
      </c>
      <c r="H390" s="22"/>
      <c r="I390" s="22">
        <f t="shared" si="7"/>
        <v>3921.8</v>
      </c>
      <c r="J390" s="18" t="s">
        <v>1123</v>
      </c>
      <c r="K390" s="18">
        <v>5019279</v>
      </c>
      <c r="L390" s="18">
        <v>858069</v>
      </c>
      <c r="M390" s="18" t="s">
        <v>1679</v>
      </c>
      <c r="N390" s="16" t="s">
        <v>1551</v>
      </c>
      <c r="O390" s="18" t="s">
        <v>1532</v>
      </c>
      <c r="P390" s="18" t="s">
        <v>1120</v>
      </c>
      <c r="Q390" s="29" t="str" cm="1">
        <f t="array" ref="Q390">_xlfn.IFS(
A390="","",
AND(A390&lt;&gt;"",B390=""),"FALTA LANÇAMENTO",
AND(B390&lt;&gt;"",M390=""),"FALTA O PEDIDO",
AND(M390&lt;&gt;"",O390=""),"FALTA NF",
O390&lt;&gt;"","CONCLUÍDO")</f>
        <v>CONCLUÍDO</v>
      </c>
      <c r="R390" s="36"/>
    </row>
    <row r="391" spans="1:18" hidden="1">
      <c r="A391" s="16">
        <v>46056</v>
      </c>
      <c r="B391" s="16">
        <v>46062</v>
      </c>
      <c r="C391" s="21">
        <v>81521352</v>
      </c>
      <c r="D391" s="16" t="str">
        <f>IFERROR(VLOOKUP(Tabela5[[#This Row],[PREFIXO ]],Tabela4[#All],2,0),"CENTRO DE CUSTO")</f>
        <v>PLATAF COLHEITA N.HOLLAND DRAPER 8645P</v>
      </c>
      <c r="E391" s="18" t="s">
        <v>67</v>
      </c>
      <c r="F391" s="21">
        <v>80</v>
      </c>
      <c r="G391" s="22">
        <v>1500</v>
      </c>
      <c r="H391" s="22"/>
      <c r="I391" s="22">
        <f t="shared" si="7"/>
        <v>1500</v>
      </c>
      <c r="J391" s="18" t="s">
        <v>1123</v>
      </c>
      <c r="K391" s="18">
        <v>9758113</v>
      </c>
      <c r="L391" s="18">
        <v>857501</v>
      </c>
      <c r="M391" s="18" t="s">
        <v>1681</v>
      </c>
      <c r="N391" s="16" t="s">
        <v>1463</v>
      </c>
      <c r="O391" s="18" t="s">
        <v>1682</v>
      </c>
      <c r="P391" s="18" t="s">
        <v>1553</v>
      </c>
      <c r="Q391" s="29" t="str" cm="1">
        <f t="array" ref="Q391">_xlfn.IFS(
A391="","",
AND(A391&lt;&gt;"",B391=""),"FALTA LANÇAMENTO",
AND(B391&lt;&gt;"",M391=""),"FALTA O PEDIDO",
AND(M391&lt;&gt;"",O391=""),"FALTA NF",
O391&lt;&gt;"","CONCLUÍDO")</f>
        <v>CONCLUÍDO</v>
      </c>
      <c r="R391" s="36"/>
    </row>
    <row r="392" spans="1:18" hidden="1">
      <c r="A392" s="16">
        <v>46056</v>
      </c>
      <c r="B392" s="16">
        <v>46062</v>
      </c>
      <c r="C392" s="21">
        <v>81521346</v>
      </c>
      <c r="D392" s="16" t="str">
        <f>IFERROR(VLOOKUP(Tabela5[[#This Row],[PREFIXO ]],Tabela4[#All],2,0),"CENTRO DE CUSTO")</f>
        <v>PLATAF COLHEITA N.HOLLAND DRAPER 8645P</v>
      </c>
      <c r="E392" s="18" t="s">
        <v>67</v>
      </c>
      <c r="F392" s="21">
        <v>79</v>
      </c>
      <c r="G392" s="22">
        <v>1500</v>
      </c>
      <c r="H392" s="22"/>
      <c r="I392" s="22">
        <f t="shared" si="7"/>
        <v>1500</v>
      </c>
      <c r="J392" s="18" t="s">
        <v>1123</v>
      </c>
      <c r="K392" s="18">
        <v>9758115</v>
      </c>
      <c r="L392" s="18">
        <v>857497</v>
      </c>
      <c r="M392" s="18" t="s">
        <v>1683</v>
      </c>
      <c r="N392" s="16" t="s">
        <v>1463</v>
      </c>
      <c r="O392" s="18" t="s">
        <v>1684</v>
      </c>
      <c r="P392" s="18" t="s">
        <v>1553</v>
      </c>
      <c r="Q392" s="29" t="str" cm="1">
        <f t="array" ref="Q392">_xlfn.IFS(
A392="","",
AND(A392&lt;&gt;"",B392=""),"FALTA LANÇAMENTO",
AND(B392&lt;&gt;"",M392=""),"FALTA O PEDIDO",
AND(M392&lt;&gt;"",O392=""),"FALTA NF",
O392&lt;&gt;"","CONCLUÍDO")</f>
        <v>CONCLUÍDO</v>
      </c>
      <c r="R392" s="36"/>
    </row>
    <row r="393" spans="1:18" hidden="1">
      <c r="A393" s="16">
        <v>46056</v>
      </c>
      <c r="B393" s="16">
        <v>46062</v>
      </c>
      <c r="C393" s="21">
        <v>81521362</v>
      </c>
      <c r="D393" s="16" t="str">
        <f>IFERROR(VLOOKUP(Tabela5[[#This Row],[PREFIXO ]],Tabela4[#All],2,0),"CENTRO DE CUSTO")</f>
        <v>PLATAF COLHEITA N.HOLLAND DRAPER 8645P</v>
      </c>
      <c r="E393" s="18" t="s">
        <v>67</v>
      </c>
      <c r="F393" s="21">
        <v>78</v>
      </c>
      <c r="G393" s="22">
        <v>1500</v>
      </c>
      <c r="H393" s="22"/>
      <c r="I393" s="22">
        <f t="shared" si="7"/>
        <v>1500</v>
      </c>
      <c r="J393" s="18" t="s">
        <v>1123</v>
      </c>
      <c r="K393" s="18">
        <v>9758118</v>
      </c>
      <c r="L393" s="18">
        <v>857490</v>
      </c>
      <c r="M393" s="18" t="s">
        <v>1685</v>
      </c>
      <c r="N393" s="16" t="s">
        <v>1463</v>
      </c>
      <c r="O393" s="18" t="s">
        <v>1686</v>
      </c>
      <c r="P393" s="18" t="s">
        <v>1553</v>
      </c>
      <c r="Q393" s="29" t="str" cm="1">
        <f t="array" ref="Q393">_xlfn.IFS(
A393="","",
AND(A393&lt;&gt;"",B393=""),"FALTA LANÇAMENTO",
AND(B393&lt;&gt;"",M393=""),"FALTA O PEDIDO",
AND(M393&lt;&gt;"",O393=""),"FALTA NF",
O393&lt;&gt;"","CONCLUÍDO")</f>
        <v>CONCLUÍDO</v>
      </c>
      <c r="R393" s="36"/>
    </row>
    <row r="394" spans="1:18" hidden="1">
      <c r="A394" s="16">
        <v>46056</v>
      </c>
      <c r="B394" s="16">
        <v>46062</v>
      </c>
      <c r="C394" s="21">
        <v>81521334</v>
      </c>
      <c r="D394" s="16" t="str">
        <f>IFERROR(VLOOKUP(Tabela5[[#This Row],[PREFIXO ]],Tabela4[#All],2,0),"CENTRO DE CUSTO")</f>
        <v>PLANT GRÃOS N.HOLLAND PL7000 60 LINHAS</v>
      </c>
      <c r="E394" s="18" t="s">
        <v>67</v>
      </c>
      <c r="F394" s="21">
        <v>81</v>
      </c>
      <c r="G394" s="22">
        <v>1291</v>
      </c>
      <c r="H394" s="22"/>
      <c r="I394" s="22">
        <f t="shared" si="7"/>
        <v>1291</v>
      </c>
      <c r="J394" s="18" t="s">
        <v>1199</v>
      </c>
      <c r="K394" s="18">
        <v>9756767</v>
      </c>
      <c r="L394" s="18">
        <v>857483</v>
      </c>
      <c r="M394" s="18" t="s">
        <v>1687</v>
      </c>
      <c r="N394" s="16" t="s">
        <v>1463</v>
      </c>
      <c r="O394" s="18" t="s">
        <v>1688</v>
      </c>
      <c r="P394" s="18" t="s">
        <v>1553</v>
      </c>
      <c r="Q394" s="29" t="str" cm="1">
        <f t="array" ref="Q394">_xlfn.IFS(
A394="","",
AND(A394&lt;&gt;"",B394=""),"FALTA LANÇAMENTO",
AND(B394&lt;&gt;"",M394=""),"FALTA O PEDIDO",
AND(M394&lt;&gt;"",O394=""),"FALTA NF",
O394&lt;&gt;"","CONCLUÍDO")</f>
        <v>CONCLUÍDO</v>
      </c>
      <c r="R394" s="36"/>
    </row>
    <row r="395" spans="1:18" hidden="1">
      <c r="A395" s="16">
        <v>46056</v>
      </c>
      <c r="B395" s="16">
        <v>46090</v>
      </c>
      <c r="C395" s="21">
        <v>61521077</v>
      </c>
      <c r="D395" s="16" t="str">
        <f>IFERROR(VLOOKUP(Tabela5[[#This Row],[PREFIXO ]],Tabela4[#All],2,0),"CENTRO DE CUSTO")</f>
        <v>CAM PIPA BOMB VOLVO VM 330</v>
      </c>
      <c r="E395" s="18" t="s">
        <v>96</v>
      </c>
      <c r="F395" s="21">
        <v>3932</v>
      </c>
      <c r="G395" s="22">
        <v>4698</v>
      </c>
      <c r="H395" s="22"/>
      <c r="I395" s="22">
        <f t="shared" si="7"/>
        <v>4698</v>
      </c>
      <c r="J395" s="18" t="s">
        <v>1085</v>
      </c>
      <c r="K395" s="18">
        <v>9756915</v>
      </c>
      <c r="L395" s="18">
        <v>871846</v>
      </c>
      <c r="M395" s="18" t="s">
        <v>1689</v>
      </c>
      <c r="N395" s="16" t="s">
        <v>1594</v>
      </c>
      <c r="O395" s="18" t="s">
        <v>1690</v>
      </c>
      <c r="P395" s="18" t="s">
        <v>1691</v>
      </c>
      <c r="Q395" s="29" t="str" cm="1">
        <f t="array" ref="Q395">_xlfn.IFS(
A395="","",
AND(A395&lt;&gt;"",B395=""),"FALTA LANÇAMENTO",
AND(B395&lt;&gt;"",M395=""),"FALTA O PEDIDO",
AND(M395&lt;&gt;"",O395=""),"FALTA NF",
O395&lt;&gt;"","CONCLUÍDO")</f>
        <v>CONCLUÍDO</v>
      </c>
      <c r="R395" s="36"/>
    </row>
    <row r="396" spans="1:18" hidden="1">
      <c r="A396" s="16">
        <v>46056</v>
      </c>
      <c r="B396" s="16">
        <v>46064</v>
      </c>
      <c r="C396" s="21">
        <v>81521367</v>
      </c>
      <c r="D396" s="16" t="str">
        <f>IFERROR(VLOOKUP(Tabela5[[#This Row],[PREFIXO ]],Tabela4[#All],2,0),"CENTRO DE CUSTO")</f>
        <v>PLATAF COLHEITA N.HOLLAND DRAPER 8645P</v>
      </c>
      <c r="E396" s="18" t="s">
        <v>96</v>
      </c>
      <c r="F396" s="21">
        <v>15103</v>
      </c>
      <c r="G396" s="22">
        <v>2778.88</v>
      </c>
      <c r="H396" s="22"/>
      <c r="I396" s="22">
        <f t="shared" si="7"/>
        <v>2778.88</v>
      </c>
      <c r="J396" s="18" t="s">
        <v>1123</v>
      </c>
      <c r="K396" s="18">
        <v>9756821</v>
      </c>
      <c r="L396" s="18">
        <v>861951</v>
      </c>
      <c r="M396" s="18" t="s">
        <v>1692</v>
      </c>
      <c r="N396" s="16" t="s">
        <v>1492</v>
      </c>
      <c r="O396" s="18" t="s">
        <v>1693</v>
      </c>
      <c r="P396" s="18" t="s">
        <v>1492</v>
      </c>
      <c r="Q396" s="29" t="str" cm="1">
        <f t="array" ref="Q396">_xlfn.IFS(
A396="","",
AND(A396&lt;&gt;"",B396=""),"FALTA LANÇAMENTO",
AND(B396&lt;&gt;"",M396=""),"FALTA O PEDIDO",
AND(M396&lt;&gt;"",O396=""),"FALTA NF",
O396&lt;&gt;"","CONCLUÍDO")</f>
        <v>CONCLUÍDO</v>
      </c>
      <c r="R396" s="36"/>
    </row>
    <row r="397" spans="1:18" hidden="1">
      <c r="A397" s="16">
        <v>46056</v>
      </c>
      <c r="B397" s="16">
        <v>46090</v>
      </c>
      <c r="C397" s="21">
        <v>61521077</v>
      </c>
      <c r="D397" s="16" t="str">
        <f>IFERROR(VLOOKUP(Tabela5[[#This Row],[PREFIXO ]],Tabela4[#All],2,0),"CENTRO DE CUSTO")</f>
        <v>CAM PIPA BOMB VOLVO VM 330</v>
      </c>
      <c r="E397" s="18" t="s">
        <v>96</v>
      </c>
      <c r="F397" s="21">
        <v>14884</v>
      </c>
      <c r="G397" s="22"/>
      <c r="H397" s="22">
        <v>2304.4</v>
      </c>
      <c r="I397" s="22">
        <f t="shared" si="7"/>
        <v>2304.4</v>
      </c>
      <c r="J397" s="18" t="s">
        <v>1085</v>
      </c>
      <c r="K397" s="18">
        <v>9756915</v>
      </c>
      <c r="L397" s="18">
        <v>871846</v>
      </c>
      <c r="M397" s="18" t="s">
        <v>1694</v>
      </c>
      <c r="N397" s="16" t="s">
        <v>1594</v>
      </c>
      <c r="O397" s="18" t="s">
        <v>1695</v>
      </c>
      <c r="P397" s="18" t="s">
        <v>1691</v>
      </c>
      <c r="Q397" s="29" t="str" cm="1">
        <f t="array" ref="Q397">_xlfn.IFS(
A397="","",
AND(A397&lt;&gt;"",B397=""),"FALTA LANÇAMENTO",
AND(B397&lt;&gt;"",M397=""),"FALTA O PEDIDO",
AND(M397&lt;&gt;"",O397=""),"FALTA NF",
O397&lt;&gt;"","CONCLUÍDO")</f>
        <v>CONCLUÍDO</v>
      </c>
      <c r="R397" s="36"/>
    </row>
    <row r="398" spans="1:18" hidden="1">
      <c r="A398" s="16">
        <v>46056</v>
      </c>
      <c r="B398" s="16">
        <v>46064</v>
      </c>
      <c r="C398" s="21">
        <v>23120008</v>
      </c>
      <c r="D398" s="16" t="str">
        <f>IFERROR(VLOOKUP(Tabela5[[#This Row],[PREFIXO ]],Tabela4[#All],2,0),"CENTRO DE CUSTO")</f>
        <v>EMPILHA COMBUST TOYOTA 8FGU30</v>
      </c>
      <c r="E398" s="18" t="s">
        <v>96</v>
      </c>
      <c r="F398" s="21">
        <v>14909</v>
      </c>
      <c r="G398" s="22"/>
      <c r="H398" s="22">
        <v>1838.82</v>
      </c>
      <c r="I398" s="22">
        <f t="shared" si="7"/>
        <v>1838.82</v>
      </c>
      <c r="J398" s="18" t="s">
        <v>1085</v>
      </c>
      <c r="K398" s="18">
        <v>9756873</v>
      </c>
      <c r="L398" s="18">
        <v>861446</v>
      </c>
      <c r="M398" s="18" t="s">
        <v>1696</v>
      </c>
      <c r="N398" s="16" t="s">
        <v>1492</v>
      </c>
      <c r="O398" s="18" t="s">
        <v>1697</v>
      </c>
      <c r="P398" s="18" t="s">
        <v>1492</v>
      </c>
      <c r="Q398" s="29" t="str" cm="1">
        <f t="array" ref="Q398">_xlfn.IFS(
A398="","",
AND(A398&lt;&gt;"",B398=""),"FALTA LANÇAMENTO",
AND(B398&lt;&gt;"",M398=""),"FALTA O PEDIDO",
AND(M398&lt;&gt;"",O398=""),"FALTA NF",
O398&lt;&gt;"","CONCLUÍDO")</f>
        <v>CONCLUÍDO</v>
      </c>
      <c r="R398" s="36"/>
    </row>
    <row r="399" spans="1:18" hidden="1">
      <c r="A399" s="16">
        <v>46056</v>
      </c>
      <c r="B399" s="16">
        <v>46069</v>
      </c>
      <c r="C399" s="21">
        <v>61521012</v>
      </c>
      <c r="D399" s="16" t="str">
        <f>IFERROR(VLOOKUP(Tabela5[[#This Row],[PREFIXO ]],Tabela4[#All],2,0),"CENTRO DE CUSTO")</f>
        <v>CAM COMBOIO MERC BENZ ATRON 2729</v>
      </c>
      <c r="E399" s="18" t="s">
        <v>96</v>
      </c>
      <c r="F399" s="21">
        <v>15114</v>
      </c>
      <c r="G399" s="22">
        <v>1475.64</v>
      </c>
      <c r="H399" s="22"/>
      <c r="I399" s="22">
        <f t="shared" si="7"/>
        <v>1475.64</v>
      </c>
      <c r="J399" s="18" t="s">
        <v>1199</v>
      </c>
      <c r="K399" s="18">
        <v>9756773</v>
      </c>
      <c r="L399" s="18">
        <v>864980</v>
      </c>
      <c r="M399" s="18" t="s">
        <v>1698</v>
      </c>
      <c r="N399" s="16" t="s">
        <v>1556</v>
      </c>
      <c r="O399" s="18" t="s">
        <v>1699</v>
      </c>
      <c r="P399" s="18" t="s">
        <v>1700</v>
      </c>
      <c r="Q399" s="29" t="str" cm="1">
        <f t="array" ref="Q399">_xlfn.IFS(
A399="","",
AND(A399&lt;&gt;"",B399=""),"FALTA LANÇAMENTO",
AND(B399&lt;&gt;"",M399=""),"FALTA O PEDIDO",
AND(M399&lt;&gt;"",O399=""),"FALTA NF",
O399&lt;&gt;"","CONCLUÍDO")</f>
        <v>CONCLUÍDO</v>
      </c>
      <c r="R399" s="36"/>
    </row>
    <row r="400" spans="1:18" hidden="1">
      <c r="A400" s="16">
        <v>46056</v>
      </c>
      <c r="B400" s="16">
        <v>46069</v>
      </c>
      <c r="C400" s="21">
        <v>51519037</v>
      </c>
      <c r="D400" s="16" t="str">
        <f>IFERROR(VLOOKUP(Tabela5[[#This Row],[PREFIXO ]],Tabela4[#All],2,0),"CENTRO DE CUSTO")</f>
        <v>COLHEIT DE GRÃOS N.HOLLAND CR 8.90</v>
      </c>
      <c r="E400" s="18" t="s">
        <v>96</v>
      </c>
      <c r="F400" s="21">
        <v>4044</v>
      </c>
      <c r="G400" s="22">
        <v>1422</v>
      </c>
      <c r="H400" s="22"/>
      <c r="I400" s="22">
        <f t="shared" si="7"/>
        <v>1422</v>
      </c>
      <c r="J400" s="18" t="s">
        <v>1123</v>
      </c>
      <c r="K400" s="18">
        <v>9756784</v>
      </c>
      <c r="L400" s="18">
        <v>864942</v>
      </c>
      <c r="M400" s="18" t="s">
        <v>1701</v>
      </c>
      <c r="N400" s="16" t="s">
        <v>1556</v>
      </c>
      <c r="O400" s="18" t="s">
        <v>1702</v>
      </c>
      <c r="P400" s="18" t="s">
        <v>1489</v>
      </c>
      <c r="Q400" s="29" t="str" cm="1">
        <f t="array" ref="Q400">_xlfn.IFS(
A400="","",
AND(A400&lt;&gt;"",B400=""),"FALTA LANÇAMENTO",
AND(B400&lt;&gt;"",M400=""),"FALTA O PEDIDO",
AND(M400&lt;&gt;"",O400=""),"FALTA NF",
O400&lt;&gt;"","CONCLUÍDO")</f>
        <v>CONCLUÍDO</v>
      </c>
      <c r="R400" s="36"/>
    </row>
    <row r="401" spans="1:18" hidden="1">
      <c r="A401" s="16">
        <v>46056</v>
      </c>
      <c r="B401" s="16">
        <v>46064</v>
      </c>
      <c r="C401" s="21" t="s">
        <v>1703</v>
      </c>
      <c r="D401" s="16" t="str">
        <f>IFERROR(VLOOKUP(Tabela5[[#This Row],[PREFIXO ]],Tabela4[#All],2,0),"CENTRO DE CUSTO")</f>
        <v>CENTRO DE CUSTO</v>
      </c>
      <c r="E401" s="18" t="s">
        <v>96</v>
      </c>
      <c r="F401" s="21">
        <v>15134</v>
      </c>
      <c r="G401" s="22">
        <v>1400</v>
      </c>
      <c r="H401" s="22"/>
      <c r="I401" s="22">
        <f t="shared" si="7"/>
        <v>1400</v>
      </c>
      <c r="J401" s="18" t="s">
        <v>1199</v>
      </c>
      <c r="K401" s="18" t="s">
        <v>1704</v>
      </c>
      <c r="L401" s="18">
        <v>859948</v>
      </c>
      <c r="M401" s="18" t="s">
        <v>1705</v>
      </c>
      <c r="N401" s="16" t="s">
        <v>1492</v>
      </c>
      <c r="O401" s="18" t="s">
        <v>1706</v>
      </c>
      <c r="P401" s="18" t="s">
        <v>1492</v>
      </c>
      <c r="Q401" s="29" t="str" cm="1">
        <f t="array" ref="Q401">_xlfn.IFS(
A401="","",
AND(A401&lt;&gt;"",B401=""),"FALTA LANÇAMENTO",
AND(B401&lt;&gt;"",M401=""),"FALTA O PEDIDO",
AND(M401&lt;&gt;"",O401=""),"FALTA NF",
O401&lt;&gt;"","CONCLUÍDO")</f>
        <v>CONCLUÍDO</v>
      </c>
      <c r="R401" s="36"/>
    </row>
    <row r="402" spans="1:18" hidden="1">
      <c r="A402" s="16">
        <v>46056</v>
      </c>
      <c r="B402" s="16">
        <v>46064</v>
      </c>
      <c r="C402" s="21">
        <v>23120010</v>
      </c>
      <c r="D402" s="16" t="str">
        <f>IFERROR(VLOOKUP(Tabela5[[#This Row],[PREFIXO ]],Tabela4[#All],2,0),"CENTRO DE CUSTO")</f>
        <v>EMPILHA COMBUST TOYOTA 8FGU30</v>
      </c>
      <c r="E402" s="18" t="s">
        <v>96</v>
      </c>
      <c r="F402" s="21">
        <v>14929</v>
      </c>
      <c r="G402" s="22"/>
      <c r="H402" s="22">
        <v>1225.8800000000001</v>
      </c>
      <c r="I402" s="22">
        <f t="shared" si="7"/>
        <v>1225.8800000000001</v>
      </c>
      <c r="J402" s="18" t="s">
        <v>1085</v>
      </c>
      <c r="K402" s="18">
        <v>9756949</v>
      </c>
      <c r="L402" s="18">
        <v>85723</v>
      </c>
      <c r="M402" s="18" t="s">
        <v>1095</v>
      </c>
      <c r="N402" s="16" t="s">
        <v>1095</v>
      </c>
      <c r="O402" s="18" t="s">
        <v>1095</v>
      </c>
      <c r="P402" s="18" t="s">
        <v>1095</v>
      </c>
      <c r="Q402" s="29" t="str" cm="1">
        <f t="array" ref="Q402">_xlfn.IFS(
A402="","",
AND(A402&lt;&gt;"",B402=""),"FALTA LANÇAMENTO",
AND(B402&lt;&gt;"",M402=""),"FALTA O PEDIDO",
AND(M402&lt;&gt;"",O402=""),"FALTA NF",
O402&lt;&gt;"","CONCLUÍDO")</f>
        <v>CONCLUÍDO</v>
      </c>
      <c r="R402" s="36"/>
    </row>
    <row r="403" spans="1:18" hidden="1">
      <c r="A403" s="16">
        <v>46056</v>
      </c>
      <c r="B403" s="16">
        <v>46064</v>
      </c>
      <c r="C403" s="21">
        <v>8173074</v>
      </c>
      <c r="D403" s="16" t="str">
        <f>IFERROR(VLOOKUP(Tabela5[[#This Row],[PREFIXO ]],Tabela4[#All],2,0),"CENTRO DE CUSTO")</f>
        <v>GRADE NIVELADORA CIVEMASA 28X22''</v>
      </c>
      <c r="E403" s="18" t="s">
        <v>96</v>
      </c>
      <c r="F403" s="21">
        <v>4040</v>
      </c>
      <c r="G403" s="22">
        <v>1066.5</v>
      </c>
      <c r="H403" s="22"/>
      <c r="I403" s="22">
        <f t="shared" si="7"/>
        <v>1066.5</v>
      </c>
      <c r="J403" s="18" t="s">
        <v>1199</v>
      </c>
      <c r="K403" s="18">
        <v>9756867</v>
      </c>
      <c r="L403" s="18">
        <v>862007</v>
      </c>
      <c r="M403" s="18" t="s">
        <v>1707</v>
      </c>
      <c r="N403" s="16" t="s">
        <v>1492</v>
      </c>
      <c r="O403" s="18" t="s">
        <v>1708</v>
      </c>
      <c r="P403" s="18" t="s">
        <v>1127</v>
      </c>
      <c r="Q403" s="29" t="str" cm="1">
        <f t="array" ref="Q403">_xlfn.IFS(
A403="","",
AND(A403&lt;&gt;"",B403=""),"FALTA LANÇAMENTO",
AND(B403&lt;&gt;"",M403=""),"FALTA O PEDIDO",
AND(M403&lt;&gt;"",O403=""),"FALTA NF",
O403&lt;&gt;"","CONCLUÍDO")</f>
        <v>CONCLUÍDO</v>
      </c>
      <c r="R403" s="36"/>
    </row>
    <row r="404" spans="1:18" hidden="1">
      <c r="A404" s="16">
        <v>46056</v>
      </c>
      <c r="B404" s="16">
        <v>46064</v>
      </c>
      <c r="C404" s="21">
        <v>23120008</v>
      </c>
      <c r="D404" s="16" t="str">
        <f>IFERROR(VLOOKUP(Tabela5[[#This Row],[PREFIXO ]],Tabela4[#All],2,0),"CENTRO DE CUSTO")</f>
        <v>EMPILHA COMBUST TOYOTA 8FGU30</v>
      </c>
      <c r="E404" s="18" t="s">
        <v>96</v>
      </c>
      <c r="F404" s="21">
        <v>3943</v>
      </c>
      <c r="G404" s="22">
        <v>1053</v>
      </c>
      <c r="H404" s="22"/>
      <c r="I404" s="22">
        <f t="shared" si="7"/>
        <v>1053</v>
      </c>
      <c r="J404" s="18" t="s">
        <v>1085</v>
      </c>
      <c r="K404" s="18">
        <v>9756873</v>
      </c>
      <c r="L404" s="18">
        <v>861446</v>
      </c>
      <c r="M404" s="18" t="s">
        <v>1709</v>
      </c>
      <c r="N404" s="16" t="s">
        <v>1492</v>
      </c>
      <c r="O404" s="18" t="s">
        <v>1710</v>
      </c>
      <c r="P404" s="18" t="s">
        <v>1127</v>
      </c>
      <c r="Q404" s="29" t="str" cm="1">
        <f t="array" ref="Q404">_xlfn.IFS(
A404="","",
AND(A404&lt;&gt;"",B404=""),"FALTA LANÇAMENTO",
AND(B404&lt;&gt;"",M404=""),"FALTA O PEDIDO",
AND(M404&lt;&gt;"",O404=""),"FALTA NF",
O404&lt;&gt;"","CONCLUÍDO")</f>
        <v>CONCLUÍDO</v>
      </c>
      <c r="R404" s="36"/>
    </row>
    <row r="405" spans="1:18" hidden="1">
      <c r="A405" s="16">
        <v>46056</v>
      </c>
      <c r="B405" s="16">
        <v>46066</v>
      </c>
      <c r="C405" s="21">
        <v>51521089</v>
      </c>
      <c r="D405" s="16" t="str">
        <f>IFERROR(VLOOKUP(Tabela5[[#This Row],[PREFIXO ]],Tabela4[#All],2,0),"CENTRO DE CUSTO")</f>
        <v>CENTRO DE CUSTO</v>
      </c>
      <c r="E405" s="18" t="s">
        <v>96</v>
      </c>
      <c r="F405" s="21">
        <v>4041</v>
      </c>
      <c r="G405" s="22">
        <v>702</v>
      </c>
      <c r="H405" s="22"/>
      <c r="I405" s="22">
        <f t="shared" si="7"/>
        <v>702</v>
      </c>
      <c r="J405" s="18" t="s">
        <v>1123</v>
      </c>
      <c r="K405" s="18">
        <v>9756787</v>
      </c>
      <c r="L405" s="18">
        <v>862067</v>
      </c>
      <c r="M405" s="18" t="s">
        <v>1711</v>
      </c>
      <c r="N405" s="16" t="s">
        <v>1556</v>
      </c>
      <c r="O405" s="18" t="s">
        <v>1712</v>
      </c>
      <c r="P405" s="18" t="s">
        <v>1489</v>
      </c>
      <c r="Q405" s="29" t="str" cm="1">
        <f t="array" ref="Q405">_xlfn.IFS(
A405="","",
AND(A405&lt;&gt;"",B405=""),"FALTA LANÇAMENTO",
AND(B405&lt;&gt;"",M405=""),"FALTA O PEDIDO",
AND(M405&lt;&gt;"",O405=""),"FALTA NF",
O405&lt;&gt;"","CONCLUÍDO")</f>
        <v>CONCLUÍDO</v>
      </c>
      <c r="R405" s="36"/>
    </row>
    <row r="406" spans="1:18" hidden="1">
      <c r="A406" s="16">
        <v>46056</v>
      </c>
      <c r="B406" s="16">
        <v>46064</v>
      </c>
      <c r="C406" s="21">
        <v>51521070</v>
      </c>
      <c r="D406" s="16" t="str">
        <f>IFERROR(VLOOKUP(Tabela5[[#This Row],[PREFIXO ]],Tabela4[#All],2,0),"CENTRO DE CUSTO")</f>
        <v>COLHED ALGODÃO JOHN DEERE CP 690</v>
      </c>
      <c r="E406" s="18" t="s">
        <v>96</v>
      </c>
      <c r="F406" s="21">
        <v>15101</v>
      </c>
      <c r="G406" s="22"/>
      <c r="H406" s="22">
        <v>680.4</v>
      </c>
      <c r="I406" s="22">
        <f t="shared" si="7"/>
        <v>680.4</v>
      </c>
      <c r="J406" s="18" t="s">
        <v>1123</v>
      </c>
      <c r="K406" s="18">
        <v>9756833</v>
      </c>
      <c r="L406" s="18">
        <v>861858</v>
      </c>
      <c r="M406" s="18" t="s">
        <v>1713</v>
      </c>
      <c r="N406" s="16" t="s">
        <v>1492</v>
      </c>
      <c r="O406" s="18" t="s">
        <v>1714</v>
      </c>
      <c r="P406" s="18" t="s">
        <v>1492</v>
      </c>
      <c r="Q406" s="29" t="str" cm="1">
        <f t="array" ref="Q406">_xlfn.IFS(
A406="","",
AND(A406&lt;&gt;"",B406=""),"FALTA LANÇAMENTO",
AND(B406&lt;&gt;"",M406=""),"FALTA O PEDIDO",
AND(M406&lt;&gt;"",O406=""),"FALTA NF",
O406&lt;&gt;"","CONCLUÍDO")</f>
        <v>CONCLUÍDO</v>
      </c>
      <c r="R406" s="36"/>
    </row>
    <row r="407" spans="1:18" hidden="1">
      <c r="A407" s="16">
        <v>46056</v>
      </c>
      <c r="B407" s="16">
        <v>46064</v>
      </c>
      <c r="C407" s="21">
        <v>23120017</v>
      </c>
      <c r="D407" s="16" t="str">
        <f>IFERROR(VLOOKUP(Tabela5[[#This Row],[PREFIXO ]],Tabela4[#All],2,0),"CENTRO DE CUSTO")</f>
        <v>EMPILHA COMBUST TOYOTA 8FGU30</v>
      </c>
      <c r="E407" s="18" t="s">
        <v>96</v>
      </c>
      <c r="F407" s="21">
        <v>3990</v>
      </c>
      <c r="G407" s="22">
        <v>665.42</v>
      </c>
      <c r="H407" s="22"/>
      <c r="I407" s="22">
        <f t="shared" si="7"/>
        <v>665.42</v>
      </c>
      <c r="J407" s="18" t="s">
        <v>1085</v>
      </c>
      <c r="K407" s="18">
        <v>9756871</v>
      </c>
      <c r="L407" s="18">
        <v>861262</v>
      </c>
      <c r="M407" s="18" t="s">
        <v>1715</v>
      </c>
      <c r="N407" s="16" t="s">
        <v>1120</v>
      </c>
      <c r="O407" s="18" t="s">
        <v>1716</v>
      </c>
      <c r="P407" s="18" t="s">
        <v>1549</v>
      </c>
      <c r="Q407" s="29" t="str" cm="1">
        <f t="array" ref="Q407">_xlfn.IFS(
A407="","",
AND(A407&lt;&gt;"",B407=""),"FALTA LANÇAMENTO",
AND(B407&lt;&gt;"",M407=""),"FALTA O PEDIDO",
AND(M407&lt;&gt;"",O407=""),"FALTA NF",
O407&lt;&gt;"","CONCLUÍDO")</f>
        <v>CONCLUÍDO</v>
      </c>
      <c r="R407" s="36"/>
    </row>
    <row r="408" spans="1:18" hidden="1">
      <c r="A408" s="16">
        <v>46056</v>
      </c>
      <c r="B408" s="16">
        <v>46064</v>
      </c>
      <c r="C408" s="21">
        <v>23120010</v>
      </c>
      <c r="D408" s="16" t="str">
        <f>IFERROR(VLOOKUP(Tabela5[[#This Row],[PREFIXO ]],Tabela4[#All],2,0),"CENTRO DE CUSTO")</f>
        <v>EMPILHA COMBUST TOYOTA 8FGU30</v>
      </c>
      <c r="E408" s="18" t="s">
        <v>96</v>
      </c>
      <c r="F408" s="21">
        <v>3950</v>
      </c>
      <c r="G408" s="22">
        <v>630</v>
      </c>
      <c r="H408" s="22"/>
      <c r="I408" s="22">
        <f t="shared" si="7"/>
        <v>630</v>
      </c>
      <c r="J408" s="18" t="s">
        <v>1085</v>
      </c>
      <c r="K408" s="18">
        <v>9756949</v>
      </c>
      <c r="L408" s="18">
        <v>857323</v>
      </c>
      <c r="M408" s="18" t="s">
        <v>1717</v>
      </c>
      <c r="N408" s="16" t="s">
        <v>1120</v>
      </c>
      <c r="O408" s="18" t="s">
        <v>1718</v>
      </c>
      <c r="P408" s="18" t="s">
        <v>1127</v>
      </c>
      <c r="Q408" s="29" t="str" cm="1">
        <f t="array" ref="Q408">_xlfn.IFS(
A408="","",
AND(A408&lt;&gt;"",B408=""),"FALTA LANÇAMENTO",
AND(B408&lt;&gt;"",M408=""),"FALTA O PEDIDO",
AND(M408&lt;&gt;"",O408=""),"FALTA NF",
O408&lt;&gt;"","CONCLUÍDO")</f>
        <v>CONCLUÍDO</v>
      </c>
      <c r="R408" s="36"/>
    </row>
    <row r="409" spans="1:18" hidden="1">
      <c r="A409" s="16">
        <v>46056</v>
      </c>
      <c r="B409" s="16">
        <v>46064</v>
      </c>
      <c r="C409" s="21">
        <v>8173074</v>
      </c>
      <c r="D409" s="16" t="str">
        <f>IFERROR(VLOOKUP(Tabela5[[#This Row],[PREFIXO ]],Tabela4[#All],2,0),"CENTRO DE CUSTO")</f>
        <v>GRADE NIVELADORA CIVEMASA 28X22''</v>
      </c>
      <c r="E409" s="18" t="s">
        <v>96</v>
      </c>
      <c r="F409" s="21">
        <v>15115</v>
      </c>
      <c r="G409" s="22"/>
      <c r="H409" s="22">
        <v>629.01</v>
      </c>
      <c r="I409" s="22">
        <f t="shared" si="7"/>
        <v>629.01</v>
      </c>
      <c r="J409" s="18" t="s">
        <v>1199</v>
      </c>
      <c r="K409" s="18">
        <v>9756867</v>
      </c>
      <c r="L409" s="18">
        <v>862007</v>
      </c>
      <c r="M409" s="18" t="s">
        <v>1719</v>
      </c>
      <c r="N409" s="16" t="s">
        <v>1492</v>
      </c>
      <c r="O409" s="18" t="s">
        <v>1720</v>
      </c>
      <c r="P409" s="18" t="s">
        <v>1492</v>
      </c>
      <c r="Q409" s="29" t="str" cm="1">
        <f t="array" ref="Q409">_xlfn.IFS(
A409="","",
AND(A409&lt;&gt;"",B409=""),"FALTA LANÇAMENTO",
AND(B409&lt;&gt;"",M409=""),"FALTA O PEDIDO",
AND(M409&lt;&gt;"",O409=""),"FALTA NF",
O409&lt;&gt;"","CONCLUÍDO")</f>
        <v>CONCLUÍDO</v>
      </c>
      <c r="R409" s="36"/>
    </row>
    <row r="410" spans="1:18" hidden="1">
      <c r="A410" s="16">
        <v>46056</v>
      </c>
      <c r="B410" s="16">
        <v>46064</v>
      </c>
      <c r="C410" s="21">
        <v>23120005</v>
      </c>
      <c r="D410" s="16" t="str">
        <f>IFERROR(VLOOKUP(Tabela5[[#This Row],[PREFIXO ]],Tabela4[#All],2,0),"CENTRO DE CUSTO")</f>
        <v>EMPILHA COMBUST TOYOTA 8FGU30</v>
      </c>
      <c r="E410" s="18" t="s">
        <v>96</v>
      </c>
      <c r="F410" s="21">
        <v>14507</v>
      </c>
      <c r="G410" s="22"/>
      <c r="H410" s="22">
        <v>612.94000000000005</v>
      </c>
      <c r="I410" s="22">
        <f t="shared" si="7"/>
        <v>612.94000000000005</v>
      </c>
      <c r="J410" s="18" t="s">
        <v>1085</v>
      </c>
      <c r="K410" s="18">
        <v>9756913</v>
      </c>
      <c r="L410" s="18">
        <v>861280</v>
      </c>
      <c r="M410" s="18" t="s">
        <v>1721</v>
      </c>
      <c r="N410" s="16" t="s">
        <v>1120</v>
      </c>
      <c r="O410" s="18" t="s">
        <v>1722</v>
      </c>
      <c r="P410" s="18" t="s">
        <v>1492</v>
      </c>
      <c r="Q410" s="29" t="str" cm="1">
        <f t="array" ref="Q410">_xlfn.IFS(
A410="","",
AND(A410&lt;&gt;"",B410=""),"FALTA LANÇAMENTO",
AND(B410&lt;&gt;"",M410=""),"FALTA O PEDIDO",
AND(M410&lt;&gt;"",O410=""),"FALTA NF",
O410&lt;&gt;"","CONCLUÍDO")</f>
        <v>CONCLUÍDO</v>
      </c>
      <c r="R410" s="36"/>
    </row>
    <row r="411" spans="1:18" hidden="1">
      <c r="A411" s="16">
        <v>46056</v>
      </c>
      <c r="B411" s="16">
        <v>46064</v>
      </c>
      <c r="C411" s="21">
        <v>23120012</v>
      </c>
      <c r="D411" s="16" t="str">
        <f>IFERROR(VLOOKUP(Tabela5[[#This Row],[PREFIXO ]],Tabela4[#All],2,0),"CENTRO DE CUSTO")</f>
        <v>EMPILHA COMBUST TOYOTA 8FGU30</v>
      </c>
      <c r="E411" s="18" t="s">
        <v>96</v>
      </c>
      <c r="F411" s="21">
        <v>13191</v>
      </c>
      <c r="G411" s="22"/>
      <c r="H411" s="22">
        <v>608.29999999999995</v>
      </c>
      <c r="I411" s="22">
        <f t="shared" si="7"/>
        <v>608.29999999999995</v>
      </c>
      <c r="J411" s="18" t="s">
        <v>1085</v>
      </c>
      <c r="K411" s="18">
        <v>9756937</v>
      </c>
      <c r="L411" s="18">
        <v>861263</v>
      </c>
      <c r="M411" s="18" t="s">
        <v>1723</v>
      </c>
      <c r="N411" s="16" t="s">
        <v>1120</v>
      </c>
      <c r="O411" s="18" t="s">
        <v>1724</v>
      </c>
      <c r="P411" s="18" t="s">
        <v>1549</v>
      </c>
      <c r="Q411" s="29" t="str" cm="1">
        <f t="array" ref="Q411">_xlfn.IFS(
A411="","",
AND(A411&lt;&gt;"",B411=""),"FALTA LANÇAMENTO",
AND(B411&lt;&gt;"",M411=""),"FALTA O PEDIDO",
AND(M411&lt;&gt;"",O411=""),"FALTA NF",
O411&lt;&gt;"","CONCLUÍDO")</f>
        <v>CONCLUÍDO</v>
      </c>
      <c r="R411" s="36"/>
    </row>
    <row r="412" spans="1:18" hidden="1">
      <c r="A412" s="16">
        <v>46056</v>
      </c>
      <c r="B412" s="16">
        <v>46066</v>
      </c>
      <c r="C412" s="21">
        <v>51519037</v>
      </c>
      <c r="D412" s="16" t="str">
        <f>IFERROR(VLOOKUP(Tabela5[[#This Row],[PREFIXO ]],Tabela4[#All],2,0),"CENTRO DE CUSTO")</f>
        <v>COLHEIT DE GRÃOS N.HOLLAND CR 8.90</v>
      </c>
      <c r="E412" s="18" t="s">
        <v>96</v>
      </c>
      <c r="F412" s="21">
        <v>15122</v>
      </c>
      <c r="G412" s="22"/>
      <c r="H412" s="22">
        <v>590.14</v>
      </c>
      <c r="I412" s="22">
        <f t="shared" si="7"/>
        <v>590.14</v>
      </c>
      <c r="J412" s="18" t="s">
        <v>1123</v>
      </c>
      <c r="K412" s="18">
        <v>9756784</v>
      </c>
      <c r="L412" s="18">
        <v>864942</v>
      </c>
      <c r="M412" s="18" t="s">
        <v>1725</v>
      </c>
      <c r="N412" s="16" t="s">
        <v>1556</v>
      </c>
      <c r="O412" s="18" t="s">
        <v>1726</v>
      </c>
      <c r="P412" s="18" t="s">
        <v>1700</v>
      </c>
      <c r="Q412" s="29" t="str" cm="1">
        <f t="array" ref="Q412">_xlfn.IFS(
A412="","",
AND(A412&lt;&gt;"",B412=""),"FALTA LANÇAMENTO",
AND(B412&lt;&gt;"",M412=""),"FALTA O PEDIDO",
AND(M412&lt;&gt;"",O412=""),"FALTA NF",
O412&lt;&gt;"","CONCLUÍDO")</f>
        <v>CONCLUÍDO</v>
      </c>
      <c r="R412" s="36"/>
    </row>
    <row r="413" spans="1:18" hidden="1">
      <c r="A413" s="16">
        <v>46056</v>
      </c>
      <c r="B413" s="16">
        <v>46064</v>
      </c>
      <c r="C413" s="21">
        <v>23120014</v>
      </c>
      <c r="D413" s="16" t="str">
        <f>IFERROR(VLOOKUP(Tabela5[[#This Row],[PREFIXO ]],Tabela4[#All],2,0),"CENTRO DE CUSTO")</f>
        <v>EMPILHA COMBUST TOYOTA 8FGU30</v>
      </c>
      <c r="E413" s="18" t="s">
        <v>96</v>
      </c>
      <c r="F413" s="21">
        <v>2485</v>
      </c>
      <c r="G413" s="22">
        <v>486</v>
      </c>
      <c r="H413" s="22"/>
      <c r="I413" s="22">
        <f t="shared" si="7"/>
        <v>486</v>
      </c>
      <c r="J413" s="18" t="s">
        <v>1085</v>
      </c>
      <c r="K413" s="18">
        <v>9756909</v>
      </c>
      <c r="L413" s="18">
        <v>861342</v>
      </c>
      <c r="M413" s="18" t="s">
        <v>1727</v>
      </c>
      <c r="N413" s="16" t="s">
        <v>1120</v>
      </c>
      <c r="O413" s="18" t="s">
        <v>1728</v>
      </c>
      <c r="P413" s="18" t="s">
        <v>1127</v>
      </c>
      <c r="Q413" s="29" t="str" cm="1">
        <f t="array" ref="Q413">_xlfn.IFS(
A413="","",
AND(A413&lt;&gt;"",B413=""),"FALTA LANÇAMENTO",
AND(B413&lt;&gt;"",M413=""),"FALTA O PEDIDO",
AND(M413&lt;&gt;"",O413=""),"FALTA NF",
O413&lt;&gt;"","CONCLUÍDO")</f>
        <v>CONCLUÍDO</v>
      </c>
      <c r="R413" s="36"/>
    </row>
    <row r="414" spans="1:18" hidden="1">
      <c r="A414" s="16">
        <v>46056</v>
      </c>
      <c r="B414" s="16">
        <v>46064</v>
      </c>
      <c r="C414" s="21">
        <v>23120012</v>
      </c>
      <c r="D414" s="16" t="str">
        <f>IFERROR(VLOOKUP(Tabela5[[#This Row],[PREFIXO ]],Tabela4[#All],2,0),"CENTRO DE CUSTO")</f>
        <v>EMPILHA COMBUST TOYOTA 8FGU30</v>
      </c>
      <c r="E414" s="18" t="s">
        <v>96</v>
      </c>
      <c r="F414" s="21">
        <v>3925</v>
      </c>
      <c r="G414" s="22">
        <v>486</v>
      </c>
      <c r="H414" s="22"/>
      <c r="I414" s="22">
        <f t="shared" si="7"/>
        <v>486</v>
      </c>
      <c r="J414" s="18" t="s">
        <v>1085</v>
      </c>
      <c r="K414" s="18">
        <v>9756937</v>
      </c>
      <c r="L414" s="18">
        <v>861263</v>
      </c>
      <c r="M414" s="18" t="s">
        <v>1729</v>
      </c>
      <c r="N414" s="16" t="s">
        <v>1120</v>
      </c>
      <c r="O414" s="18" t="s">
        <v>1730</v>
      </c>
      <c r="P414" s="18" t="s">
        <v>1127</v>
      </c>
      <c r="Q414" s="29" t="str" cm="1">
        <f t="array" ref="Q414">_xlfn.IFS(
A414="","",
AND(A414&lt;&gt;"",B414=""),"FALTA LANÇAMENTO",
AND(B414&lt;&gt;"",M414=""),"FALTA O PEDIDO",
AND(M414&lt;&gt;"",O414=""),"FALTA NF",
O414&lt;&gt;"","CONCLUÍDO")</f>
        <v>CONCLUÍDO</v>
      </c>
      <c r="R414" s="36"/>
    </row>
    <row r="415" spans="1:18" hidden="1">
      <c r="A415" s="16">
        <v>46056</v>
      </c>
      <c r="B415" s="16">
        <v>46064</v>
      </c>
      <c r="C415" s="21">
        <v>51521061</v>
      </c>
      <c r="D415" s="16" t="str">
        <f>IFERROR(VLOOKUP(Tabela5[[#This Row],[PREFIXO ]],Tabela4[#All],2,0),"CENTRO DE CUSTO")</f>
        <v>COLHED ALGODÃO JOHN DEERE CP 690</v>
      </c>
      <c r="E415" s="18" t="s">
        <v>96</v>
      </c>
      <c r="F415" s="21">
        <v>15102</v>
      </c>
      <c r="G415" s="22">
        <v>340.2</v>
      </c>
      <c r="H415" s="22"/>
      <c r="I415" s="22">
        <f t="shared" si="7"/>
        <v>340.2</v>
      </c>
      <c r="J415" s="18" t="s">
        <v>1123</v>
      </c>
      <c r="K415" s="18">
        <v>9756810</v>
      </c>
      <c r="L415" s="18">
        <v>861989</v>
      </c>
      <c r="M415" s="18" t="s">
        <v>1731</v>
      </c>
      <c r="N415" s="16" t="s">
        <v>1492</v>
      </c>
      <c r="O415" s="18" t="s">
        <v>1732</v>
      </c>
      <c r="P415" s="18" t="s">
        <v>1492</v>
      </c>
      <c r="Q415" s="29" t="str" cm="1">
        <f t="array" ref="Q415">_xlfn.IFS(
A415="","",
AND(A415&lt;&gt;"",B415=""),"FALTA LANÇAMENTO",
AND(B415&lt;&gt;"",M415=""),"FALTA O PEDIDO",
AND(M415&lt;&gt;"",O415=""),"FALTA NF",
O415&lt;&gt;"","CONCLUÍDO")</f>
        <v>CONCLUÍDO</v>
      </c>
      <c r="R415" s="36"/>
    </row>
    <row r="416" spans="1:18" hidden="1">
      <c r="A416" s="16">
        <v>46056</v>
      </c>
      <c r="B416" s="16">
        <v>46064</v>
      </c>
      <c r="C416" s="21">
        <v>23120005</v>
      </c>
      <c r="D416" s="16" t="str">
        <f>IFERROR(VLOOKUP(Tabela5[[#This Row],[PREFIXO ]],Tabela4[#All],2,0),"CENTRO DE CUSTO")</f>
        <v>EMPILHA COMBUST TOYOTA 8FGU30</v>
      </c>
      <c r="E416" s="18" t="s">
        <v>96</v>
      </c>
      <c r="F416" s="21">
        <v>3989</v>
      </c>
      <c r="G416" s="22">
        <v>315</v>
      </c>
      <c r="H416" s="22"/>
      <c r="I416" s="22">
        <f t="shared" si="7"/>
        <v>315</v>
      </c>
      <c r="J416" s="18" t="s">
        <v>1085</v>
      </c>
      <c r="K416" s="18">
        <v>9756913</v>
      </c>
      <c r="L416" s="18">
        <v>861280</v>
      </c>
      <c r="M416" s="18" t="s">
        <v>1733</v>
      </c>
      <c r="N416" s="16" t="s">
        <v>1120</v>
      </c>
      <c r="O416" s="18" t="s">
        <v>1734</v>
      </c>
      <c r="P416" s="18" t="s">
        <v>1127</v>
      </c>
      <c r="Q416" s="29" t="str" cm="1">
        <f t="array" ref="Q416">_xlfn.IFS(
A416="","",
AND(A416&lt;&gt;"",B416=""),"FALTA LANÇAMENTO",
AND(B416&lt;&gt;"",M416=""),"FALTA O PEDIDO",
AND(M416&lt;&gt;"",O416=""),"FALTA NF",
O416&lt;&gt;"","CONCLUÍDO")</f>
        <v>CONCLUÍDO</v>
      </c>
      <c r="R416" s="36"/>
    </row>
    <row r="417" spans="1:18" hidden="1">
      <c r="A417" s="16">
        <v>46056</v>
      </c>
      <c r="B417" s="16">
        <v>46069</v>
      </c>
      <c r="C417" s="21">
        <v>51521089</v>
      </c>
      <c r="D417" s="16" t="str">
        <f>IFERROR(VLOOKUP(Tabela5[[#This Row],[PREFIXO ]],Tabela4[#All],2,0),"CENTRO DE CUSTO")</f>
        <v>CENTRO DE CUSTO</v>
      </c>
      <c r="E417" s="18" t="s">
        <v>96</v>
      </c>
      <c r="F417" s="21">
        <v>15088</v>
      </c>
      <c r="G417" s="22"/>
      <c r="H417" s="22">
        <v>284.31</v>
      </c>
      <c r="I417" s="22">
        <f t="shared" si="7"/>
        <v>284.31</v>
      </c>
      <c r="J417" s="18" t="s">
        <v>1123</v>
      </c>
      <c r="K417" s="18">
        <v>9756787</v>
      </c>
      <c r="L417" s="18">
        <v>862067</v>
      </c>
      <c r="M417" s="18" t="s">
        <v>1735</v>
      </c>
      <c r="N417" s="16" t="s">
        <v>1556</v>
      </c>
      <c r="O417" s="18" t="s">
        <v>1736</v>
      </c>
      <c r="P417" s="18" t="s">
        <v>1700</v>
      </c>
      <c r="Q417" s="29" t="str" cm="1">
        <f t="array" ref="Q417">_xlfn.IFS(
A417="","",
AND(A417&lt;&gt;"",B417=""),"FALTA LANÇAMENTO",
AND(B417&lt;&gt;"",M417=""),"FALTA O PEDIDO",
AND(M417&lt;&gt;"",O417=""),"FALTA NF",
O417&lt;&gt;"","CONCLUÍDO")</f>
        <v>CONCLUÍDO</v>
      </c>
      <c r="R417" s="36"/>
    </row>
    <row r="418" spans="1:18" hidden="1">
      <c r="A418" s="16">
        <v>46056</v>
      </c>
      <c r="B418" s="16">
        <v>46064</v>
      </c>
      <c r="C418" s="21">
        <v>51521061</v>
      </c>
      <c r="D418" s="16" t="str">
        <f>IFERROR(VLOOKUP(Tabela5[[#This Row],[PREFIXO ]],Tabela4[#All],2,0),"CENTRO DE CUSTO")</f>
        <v>COLHED ALGODÃO JOHN DEERE CP 690</v>
      </c>
      <c r="E418" s="18" t="s">
        <v>96</v>
      </c>
      <c r="F418" s="21">
        <v>4034</v>
      </c>
      <c r="G418" s="22">
        <v>270</v>
      </c>
      <c r="H418" s="22"/>
      <c r="I418" s="22">
        <f t="shared" si="7"/>
        <v>270</v>
      </c>
      <c r="J418" s="18" t="s">
        <v>1123</v>
      </c>
      <c r="K418" s="18">
        <v>9756810</v>
      </c>
      <c r="L418" s="18">
        <v>861989</v>
      </c>
      <c r="M418" s="18" t="s">
        <v>1737</v>
      </c>
      <c r="N418" s="16" t="s">
        <v>1492</v>
      </c>
      <c r="O418" s="18" t="s">
        <v>1738</v>
      </c>
      <c r="P418" s="18" t="s">
        <v>1127</v>
      </c>
      <c r="Q418" s="29" t="str" cm="1">
        <f t="array" ref="Q418">_xlfn.IFS(
A418="","",
AND(A418&lt;&gt;"",B418=""),"FALTA LANÇAMENTO",
AND(B418&lt;&gt;"",M418=""),"FALTA O PEDIDO",
AND(M418&lt;&gt;"",O418=""),"FALTA NF",
O418&lt;&gt;"","CONCLUÍDO")</f>
        <v>CONCLUÍDO</v>
      </c>
      <c r="R418" s="36"/>
    </row>
    <row r="419" spans="1:18" hidden="1">
      <c r="A419" s="16">
        <v>46056</v>
      </c>
      <c r="B419" s="16">
        <v>46064</v>
      </c>
      <c r="C419" s="21">
        <v>51521070</v>
      </c>
      <c r="D419" s="16" t="str">
        <f>IFERROR(VLOOKUP(Tabela5[[#This Row],[PREFIXO ]],Tabela4[#All],2,0),"CENTRO DE CUSTO")</f>
        <v>COLHED ALGODÃO JOHN DEERE CP 690</v>
      </c>
      <c r="E419" s="18" t="s">
        <v>96</v>
      </c>
      <c r="F419" s="21">
        <v>4033</v>
      </c>
      <c r="G419" s="22">
        <v>216</v>
      </c>
      <c r="H419" s="22"/>
      <c r="I419" s="22">
        <f t="shared" si="7"/>
        <v>216</v>
      </c>
      <c r="J419" s="18" t="s">
        <v>1123</v>
      </c>
      <c r="K419" s="18">
        <v>9756833</v>
      </c>
      <c r="L419" s="18">
        <v>861858</v>
      </c>
      <c r="M419" s="18" t="s">
        <v>1739</v>
      </c>
      <c r="N419" s="16" t="s">
        <v>1492</v>
      </c>
      <c r="O419" s="18" t="s">
        <v>1740</v>
      </c>
      <c r="P419" s="18" t="s">
        <v>1127</v>
      </c>
      <c r="Q419" s="29" t="str" cm="1">
        <f t="array" ref="Q419">_xlfn.IFS(
A419="","",
AND(A419&lt;&gt;"",B419=""),"FALTA LANÇAMENTO",
AND(B419&lt;&gt;"",M419=""),"FALTA O PEDIDO",
AND(M419&lt;&gt;"",O419=""),"FALTA NF",
O419&lt;&gt;"","CONCLUÍDO")</f>
        <v>CONCLUÍDO</v>
      </c>
      <c r="R419" s="36"/>
    </row>
    <row r="420" spans="1:18" hidden="1">
      <c r="A420" s="16">
        <v>46056</v>
      </c>
      <c r="B420" s="16">
        <v>46064</v>
      </c>
      <c r="C420" s="21">
        <v>23120017</v>
      </c>
      <c r="D420" s="16" t="str">
        <f>IFERROR(VLOOKUP(Tabela5[[#This Row],[PREFIXO ]],Tabela4[#All],2,0),"CENTRO DE CUSTO")</f>
        <v>EMPILHA COMBUST TOYOTA 8FGU30</v>
      </c>
      <c r="E420" s="18" t="s">
        <v>96</v>
      </c>
      <c r="F420" s="21">
        <v>15013</v>
      </c>
      <c r="G420" s="22"/>
      <c r="H420" s="22">
        <v>206.32</v>
      </c>
      <c r="I420" s="22">
        <f t="shared" si="7"/>
        <v>206.32</v>
      </c>
      <c r="J420" s="18" t="s">
        <v>1085</v>
      </c>
      <c r="K420" s="18">
        <v>9756871</v>
      </c>
      <c r="L420" s="18">
        <v>861262</v>
      </c>
      <c r="M420" s="18" t="s">
        <v>1741</v>
      </c>
      <c r="N420" s="16" t="s">
        <v>1120</v>
      </c>
      <c r="O420" s="18" t="s">
        <v>1742</v>
      </c>
      <c r="P420" s="18" t="s">
        <v>1492</v>
      </c>
      <c r="Q420" s="29" t="str" cm="1">
        <f t="array" ref="Q420">_xlfn.IFS(
A420="","",
AND(A420&lt;&gt;"",B420=""),"FALTA LANÇAMENTO",
AND(B420&lt;&gt;"",M420=""),"FALTA O PEDIDO",
AND(M420&lt;&gt;"",O420=""),"FALTA NF",
O420&lt;&gt;"","CONCLUÍDO")</f>
        <v>CONCLUÍDO</v>
      </c>
      <c r="R420" s="36"/>
    </row>
    <row r="421" spans="1:18" hidden="1">
      <c r="A421" s="16">
        <v>46056</v>
      </c>
      <c r="B421" s="16">
        <v>46064</v>
      </c>
      <c r="C421" s="21">
        <v>23120014</v>
      </c>
      <c r="D421" s="16" t="str">
        <f>IFERROR(VLOOKUP(Tabela5[[#This Row],[PREFIXO ]],Tabela4[#All],2,0),"CENTRO DE CUSTO")</f>
        <v>EMPILHA COMBUST TOYOTA 8FGU30</v>
      </c>
      <c r="E421" s="18" t="s">
        <v>96</v>
      </c>
      <c r="F421" s="21">
        <v>13841</v>
      </c>
      <c r="G421" s="22"/>
      <c r="H421" s="22">
        <v>151.15</v>
      </c>
      <c r="I421" s="22">
        <f t="shared" si="7"/>
        <v>151.15</v>
      </c>
      <c r="J421" s="18" t="s">
        <v>1085</v>
      </c>
      <c r="K421" s="18">
        <v>9756909</v>
      </c>
      <c r="L421" s="18">
        <v>861342</v>
      </c>
      <c r="M421" s="18" t="s">
        <v>1743</v>
      </c>
      <c r="N421" s="16" t="s">
        <v>1120</v>
      </c>
      <c r="O421" s="18" t="s">
        <v>1744</v>
      </c>
      <c r="P421" s="18" t="s">
        <v>1492</v>
      </c>
      <c r="Q421" s="29" t="str" cm="1">
        <f t="array" ref="Q421">_xlfn.IFS(
A421="","",
AND(A421&lt;&gt;"",B421=""),"FALTA LANÇAMENTO",
AND(B421&lt;&gt;"",M421=""),"FALTA O PEDIDO",
AND(M421&lt;&gt;"",O421=""),"FALTA NF",
O421&lt;&gt;"","CONCLUÍDO")</f>
        <v>CONCLUÍDO</v>
      </c>
      <c r="R421" s="36"/>
    </row>
    <row r="422" spans="1:18" hidden="1">
      <c r="A422" s="16">
        <v>46056</v>
      </c>
      <c r="B422" s="16">
        <v>46069</v>
      </c>
      <c r="C422" s="21">
        <v>61521012</v>
      </c>
      <c r="D422" s="16" t="str">
        <f>IFERROR(VLOOKUP(Tabela5[[#This Row],[PREFIXO ]],Tabela4[#All],2,0),"CENTRO DE CUSTO")</f>
        <v>CAM COMBOIO MERC BENZ ATRON 2729</v>
      </c>
      <c r="E422" s="18" t="s">
        <v>96</v>
      </c>
      <c r="F422" s="21">
        <v>4039</v>
      </c>
      <c r="G422" s="22">
        <v>100</v>
      </c>
      <c r="H422" s="22"/>
      <c r="I422" s="22">
        <f t="shared" si="7"/>
        <v>100</v>
      </c>
      <c r="J422" s="18" t="s">
        <v>1199</v>
      </c>
      <c r="K422" s="18">
        <v>9756773</v>
      </c>
      <c r="L422" s="18">
        <v>864980</v>
      </c>
      <c r="M422" s="18" t="s">
        <v>1745</v>
      </c>
      <c r="N422" s="16" t="s">
        <v>1556</v>
      </c>
      <c r="O422" s="18" t="s">
        <v>1746</v>
      </c>
      <c r="P422" s="18" t="s">
        <v>1489</v>
      </c>
      <c r="Q422" s="29" t="str" cm="1">
        <f t="array" ref="Q422">_xlfn.IFS(
A422="","",
AND(A422&lt;&gt;"",B422=""),"FALTA LANÇAMENTO",
AND(B422&lt;&gt;"",M422=""),"FALTA O PEDIDO",
AND(M422&lt;&gt;"",O422=""),"FALTA NF",
O422&lt;&gt;"","CONCLUÍDO")</f>
        <v>CONCLUÍDO</v>
      </c>
      <c r="R422" s="36"/>
    </row>
    <row r="423" spans="1:18" hidden="1">
      <c r="A423" s="16">
        <v>46056</v>
      </c>
      <c r="B423" s="16">
        <v>46064</v>
      </c>
      <c r="C423" s="21" t="s">
        <v>1747</v>
      </c>
      <c r="D423" s="16" t="str">
        <f>IFERROR(VLOOKUP(Tabela5[[#This Row],[PREFIXO ]],Tabela4[#All],2,0),"CENTRO DE CUSTO")</f>
        <v>CENTRO DE CUSTO</v>
      </c>
      <c r="E423" s="18" t="s">
        <v>96</v>
      </c>
      <c r="F423" s="21">
        <v>4045</v>
      </c>
      <c r="G423" s="22">
        <v>100</v>
      </c>
      <c r="H423" s="22"/>
      <c r="I423" s="22">
        <f t="shared" si="7"/>
        <v>100</v>
      </c>
      <c r="J423" s="18" t="s">
        <v>1199</v>
      </c>
      <c r="K423" s="18" t="s">
        <v>1704</v>
      </c>
      <c r="L423" s="18">
        <v>859948</v>
      </c>
      <c r="M423" s="18" t="s">
        <v>1748</v>
      </c>
      <c r="N423" s="16" t="s">
        <v>1492</v>
      </c>
      <c r="O423" s="18" t="s">
        <v>1095</v>
      </c>
      <c r="P423" s="18" t="s">
        <v>1095</v>
      </c>
      <c r="Q423" s="29" t="str" cm="1">
        <f t="array" ref="Q423">_xlfn.IFS(
A423="","",
AND(A423&lt;&gt;"",B423=""),"FALTA LANÇAMENTO",
AND(B423&lt;&gt;"",M423=""),"FALTA O PEDIDO",
AND(M423&lt;&gt;"",O423=""),"FALTA NF",
O423&lt;&gt;"","CONCLUÍDO")</f>
        <v>CONCLUÍDO</v>
      </c>
      <c r="R423" s="36"/>
    </row>
    <row r="424" spans="1:18" hidden="1">
      <c r="A424" s="16">
        <v>46056</v>
      </c>
      <c r="B424" s="16">
        <v>46064</v>
      </c>
      <c r="C424" s="21">
        <v>81521367</v>
      </c>
      <c r="D424" s="16" t="str">
        <f>IFERROR(VLOOKUP(Tabela5[[#This Row],[PREFIXO ]],Tabela4[#All],2,0),"CENTRO DE CUSTO")</f>
        <v>PLATAF COLHEITA N.HOLLAND DRAPER 8645P</v>
      </c>
      <c r="E424" s="18" t="s">
        <v>96</v>
      </c>
      <c r="F424" s="21">
        <v>4035</v>
      </c>
      <c r="G424" s="22">
        <v>100</v>
      </c>
      <c r="H424" s="22"/>
      <c r="I424" s="22">
        <f t="shared" si="7"/>
        <v>100</v>
      </c>
      <c r="J424" s="18" t="s">
        <v>1123</v>
      </c>
      <c r="K424" s="18">
        <v>9756821</v>
      </c>
      <c r="L424" s="18">
        <v>861951</v>
      </c>
      <c r="M424" s="18" t="s">
        <v>1749</v>
      </c>
      <c r="N424" s="16" t="s">
        <v>1492</v>
      </c>
      <c r="O424" s="18" t="s">
        <v>1750</v>
      </c>
      <c r="P424" s="18" t="s">
        <v>1127</v>
      </c>
      <c r="Q424" s="29" t="str" cm="1">
        <f t="array" ref="Q424">_xlfn.IFS(
A424="","",
AND(A424&lt;&gt;"",B424=""),"FALTA LANÇAMENTO",
AND(B424&lt;&gt;"",M424=""),"FALTA O PEDIDO",
AND(M424&lt;&gt;"",O424=""),"FALTA NF",
O424&lt;&gt;"","CONCLUÍDO")</f>
        <v>CONCLUÍDO</v>
      </c>
      <c r="R424" s="36"/>
    </row>
    <row r="425" spans="1:18" hidden="1">
      <c r="A425" s="16">
        <v>46056</v>
      </c>
      <c r="B425" s="16">
        <v>46059</v>
      </c>
      <c r="C425" s="21">
        <v>1172011</v>
      </c>
      <c r="D425" s="16" t="str">
        <f>IFERROR(VLOOKUP(Tabela5[[#This Row],[PREFIXO ]],Tabela4[#All],2,0),"CENTRO DE CUSTO")</f>
        <v>CENTRO DE CUSTO</v>
      </c>
      <c r="E425" s="18" t="s">
        <v>160</v>
      </c>
      <c r="F425" s="21">
        <v>77</v>
      </c>
      <c r="G425" s="22">
        <v>17000</v>
      </c>
      <c r="H425" s="22"/>
      <c r="I425" s="22">
        <f t="shared" si="7"/>
        <v>17000</v>
      </c>
      <c r="J425" s="18" t="s">
        <v>1199</v>
      </c>
      <c r="K425" s="18">
        <v>9758243</v>
      </c>
      <c r="L425" s="18">
        <v>857783</v>
      </c>
      <c r="M425" s="18" t="s">
        <v>1751</v>
      </c>
      <c r="N425" s="16" t="s">
        <v>1551</v>
      </c>
      <c r="O425" s="18" t="s">
        <v>1752</v>
      </c>
      <c r="P425" s="18" t="s">
        <v>1459</v>
      </c>
      <c r="Q425" s="29" t="str" cm="1">
        <f t="array" ref="Q425">_xlfn.IFS(
A425="","",
AND(A425&lt;&gt;"",B425=""),"FALTA LANÇAMENTO",
AND(B425&lt;&gt;"",M425=""),"FALTA O PEDIDO",
AND(M425&lt;&gt;"",O425=""),"FALTA NF",
O425&lt;&gt;"","CONCLUÍDO")</f>
        <v>CONCLUÍDO</v>
      </c>
      <c r="R425" s="36"/>
    </row>
    <row r="426" spans="1:18" hidden="1">
      <c r="A426" s="16">
        <v>46056</v>
      </c>
      <c r="B426" s="16">
        <v>46059</v>
      </c>
      <c r="C426" s="21">
        <v>500580090</v>
      </c>
      <c r="D426" s="16" t="str">
        <f>IFERROR(VLOOKUP(Tabela5[[#This Row],[PREFIXO ]],Tabela4[#All],2,0),"CENTRO DE CUSTO")</f>
        <v>Plantadeiras</v>
      </c>
      <c r="E426" s="18" t="s">
        <v>160</v>
      </c>
      <c r="F426" s="21">
        <v>76</v>
      </c>
      <c r="G426" s="22">
        <v>2400</v>
      </c>
      <c r="H426" s="22"/>
      <c r="I426" s="22">
        <f t="shared" si="7"/>
        <v>2400</v>
      </c>
      <c r="J426" s="18" t="s">
        <v>1199</v>
      </c>
      <c r="K426" s="18">
        <v>5019263</v>
      </c>
      <c r="L426" s="18">
        <v>857783</v>
      </c>
      <c r="M426" s="18" t="s">
        <v>1751</v>
      </c>
      <c r="N426" s="16" t="s">
        <v>1551</v>
      </c>
      <c r="O426" s="18" t="s">
        <v>1752</v>
      </c>
      <c r="P426" s="18" t="s">
        <v>1459</v>
      </c>
      <c r="Q426" s="29" t="str" cm="1">
        <f t="array" ref="Q426">_xlfn.IFS(
A426="","",
AND(A426&lt;&gt;"",B426=""),"FALTA LANÇAMENTO",
AND(B426&lt;&gt;"",M426=""),"FALTA O PEDIDO",
AND(M426&lt;&gt;"",O426=""),"FALTA NF",
O426&lt;&gt;"","CONCLUÍDO")</f>
        <v>CONCLUÍDO</v>
      </c>
      <c r="R426" s="36"/>
    </row>
    <row r="427" spans="1:18" hidden="1">
      <c r="A427" s="16">
        <v>46056</v>
      </c>
      <c r="B427" s="16">
        <v>46064</v>
      </c>
      <c r="C427" s="21">
        <v>61521061</v>
      </c>
      <c r="D427" s="16" t="str">
        <f>IFERROR(VLOOKUP(Tabela5[[#This Row],[PREFIXO ]],Tabela4[#All],2,0),"CENTRO DE CUSTO")</f>
        <v>ONIB RODOVIÁRIO MERC BENZ MARCOPOLO TORI</v>
      </c>
      <c r="E427" s="18" t="s">
        <v>124</v>
      </c>
      <c r="F427" s="21">
        <v>477</v>
      </c>
      <c r="G427" s="22">
        <v>22675.919999999998</v>
      </c>
      <c r="H427" s="22"/>
      <c r="I427" s="22">
        <f t="shared" si="7"/>
        <v>22675.919999999998</v>
      </c>
      <c r="J427" s="18" t="s">
        <v>1085</v>
      </c>
      <c r="K427" s="18">
        <v>9757272</v>
      </c>
      <c r="L427" s="18">
        <v>857468</v>
      </c>
      <c r="M427" s="18" t="s">
        <v>1753</v>
      </c>
      <c r="N427" s="16" t="s">
        <v>1492</v>
      </c>
      <c r="O427" s="18" t="s">
        <v>1754</v>
      </c>
      <c r="P427" s="18" t="s">
        <v>1549</v>
      </c>
      <c r="Q427" s="29" t="str" cm="1">
        <f t="array" ref="Q427">_xlfn.IFS(
A427="","",
AND(A427&lt;&gt;"",B427=""),"FALTA LANÇAMENTO",
AND(B427&lt;&gt;"",M427=""),"FALTA O PEDIDO",
AND(M427&lt;&gt;"",O427=""),"FALTA NF",
O427&lt;&gt;"","CONCLUÍDO")</f>
        <v>CONCLUÍDO</v>
      </c>
      <c r="R427" s="36"/>
    </row>
    <row r="428" spans="1:18" hidden="1">
      <c r="A428" s="16">
        <v>46056</v>
      </c>
      <c r="B428" s="16">
        <v>46062</v>
      </c>
      <c r="C428" s="21">
        <v>61521042</v>
      </c>
      <c r="D428" s="16" t="str">
        <f>IFERROR(VLOOKUP(Tabela5[[#This Row],[PREFIXO ]],Tabela4[#All],2,0),"CENTRO DE CUSTO")</f>
        <v>ONIB RODOVIÁRIO MASCARELLO GRAN MIDI</v>
      </c>
      <c r="E428" s="18" t="s">
        <v>124</v>
      </c>
      <c r="F428" s="21">
        <v>479</v>
      </c>
      <c r="G428" s="22">
        <v>6429.24</v>
      </c>
      <c r="H428" s="22"/>
      <c r="I428" s="22">
        <f t="shared" si="7"/>
        <v>6429.24</v>
      </c>
      <c r="J428" s="18" t="s">
        <v>1085</v>
      </c>
      <c r="K428" s="18">
        <v>9757277</v>
      </c>
      <c r="L428" s="18">
        <v>857460</v>
      </c>
      <c r="M428" s="18" t="s">
        <v>1755</v>
      </c>
      <c r="N428" s="16" t="s">
        <v>1463</v>
      </c>
      <c r="O428" s="18" t="s">
        <v>1756</v>
      </c>
      <c r="P428" s="18" t="s">
        <v>1571</v>
      </c>
      <c r="Q428" s="29" t="str" cm="1">
        <f t="array" ref="Q428">_xlfn.IFS(
A428="","",
AND(A428&lt;&gt;"",B428=""),"FALTA LANÇAMENTO",
AND(B428&lt;&gt;"",M428=""),"FALTA O PEDIDO",
AND(M428&lt;&gt;"",O428=""),"FALTA NF",
O428&lt;&gt;"","CONCLUÍDO")</f>
        <v>CONCLUÍDO</v>
      </c>
      <c r="R428" s="36"/>
    </row>
    <row r="429" spans="1:18" hidden="1">
      <c r="A429" s="16">
        <v>46056</v>
      </c>
      <c r="B429" s="16">
        <v>46059</v>
      </c>
      <c r="C429" s="21">
        <v>11040013</v>
      </c>
      <c r="D429" s="16" t="str">
        <f>IFERROR(VLOOKUP(Tabela5[[#This Row],[PREFIXO ]],Tabela4[#All],2,0),"CENTRO DE CUSTO")</f>
        <v>CAV MEC EXT PES SCANIA R500</v>
      </c>
      <c r="E429" s="18" t="s">
        <v>124</v>
      </c>
      <c r="F429" s="21">
        <v>494</v>
      </c>
      <c r="G429" s="22">
        <v>1900.8</v>
      </c>
      <c r="H429" s="22"/>
      <c r="I429" s="22">
        <f t="shared" si="7"/>
        <v>1900.8</v>
      </c>
      <c r="J429" s="18" t="s">
        <v>1123</v>
      </c>
      <c r="K429" s="18">
        <v>9756798</v>
      </c>
      <c r="L429" s="18">
        <v>857655</v>
      </c>
      <c r="M429" s="18" t="s">
        <v>1757</v>
      </c>
      <c r="N429" s="16" t="s">
        <v>1125</v>
      </c>
      <c r="O429" s="18" t="s">
        <v>1758</v>
      </c>
      <c r="P429" s="18" t="s">
        <v>1125</v>
      </c>
      <c r="Q429" s="29" t="str" cm="1">
        <f t="array" ref="Q429">_xlfn.IFS(
A429="","",
AND(A429&lt;&gt;"",B429=""),"FALTA LANÇAMENTO",
AND(B429&lt;&gt;"",M429=""),"FALTA O PEDIDO",
AND(M429&lt;&gt;"",O429=""),"FALTA NF",
O429&lt;&gt;"","CONCLUÍDO")</f>
        <v>CONCLUÍDO</v>
      </c>
      <c r="R429" s="36"/>
    </row>
    <row r="430" spans="1:18" hidden="1">
      <c r="A430" s="16">
        <v>46056</v>
      </c>
      <c r="B430" s="16">
        <v>46062</v>
      </c>
      <c r="C430" s="21">
        <v>51521064</v>
      </c>
      <c r="D430" s="16" t="str">
        <f>IFERROR(VLOOKUP(Tabela5[[#This Row],[PREFIXO ]],Tabela4[#All],2,0),"CENTRO DE CUSTO")</f>
        <v>COLHED ALGODÃO JOHN DEERE CP 690</v>
      </c>
      <c r="E430" s="18" t="s">
        <v>70</v>
      </c>
      <c r="F430" s="21">
        <v>22776</v>
      </c>
      <c r="G430" s="22">
        <v>2000</v>
      </c>
      <c r="H430" s="22">
        <v>26000</v>
      </c>
      <c r="I430" s="22">
        <f t="shared" si="7"/>
        <v>28000</v>
      </c>
      <c r="J430" s="18" t="s">
        <v>1085</v>
      </c>
      <c r="K430" s="18">
        <v>9757164</v>
      </c>
      <c r="L430" s="18">
        <v>857513</v>
      </c>
      <c r="M430" s="18" t="s">
        <v>1759</v>
      </c>
      <c r="N430" s="16" t="s">
        <v>1463</v>
      </c>
      <c r="O430" s="18" t="s">
        <v>1760</v>
      </c>
      <c r="P430" s="18" t="s">
        <v>1461</v>
      </c>
      <c r="Q430" s="29" t="str" cm="1">
        <f t="array" ref="Q430">_xlfn.IFS(
A430="","",
AND(A430&lt;&gt;"",B430=""),"FALTA LANÇAMENTO",
AND(B430&lt;&gt;"",M430=""),"FALTA O PEDIDO",
AND(M430&lt;&gt;"",O430=""),"FALTA NF",
O430&lt;&gt;"","CONCLUÍDO")</f>
        <v>CONCLUÍDO</v>
      </c>
      <c r="R430" s="36"/>
    </row>
    <row r="431" spans="1:18" hidden="1">
      <c r="A431" s="16">
        <v>46056</v>
      </c>
      <c r="B431" s="16">
        <v>46059</v>
      </c>
      <c r="C431" s="21">
        <v>500580263</v>
      </c>
      <c r="D431" s="16" t="str">
        <f>IFERROR(VLOOKUP(Tabela5[[#This Row],[PREFIXO ]],Tabela4[#All],2,0),"CENTRO DE CUSTO")</f>
        <v>Colheit. Grãos-Axial</v>
      </c>
      <c r="E431" s="18" t="s">
        <v>308</v>
      </c>
      <c r="F431" s="21" t="s">
        <v>1302</v>
      </c>
      <c r="G431" s="22">
        <v>10384</v>
      </c>
      <c r="H431" s="22"/>
      <c r="I431" s="22">
        <f t="shared" si="7"/>
        <v>10384</v>
      </c>
      <c r="J431" s="18" t="s">
        <v>1123</v>
      </c>
      <c r="K431" s="18">
        <v>5019271</v>
      </c>
      <c r="L431" s="18">
        <v>857925</v>
      </c>
      <c r="M431" s="18" t="s">
        <v>1761</v>
      </c>
      <c r="N431" s="16" t="s">
        <v>1551</v>
      </c>
      <c r="O431" s="18" t="s">
        <v>1538</v>
      </c>
      <c r="P431" s="18" t="s">
        <v>1463</v>
      </c>
      <c r="Q431" s="29" t="str" cm="1">
        <f t="array" ref="Q431">_xlfn.IFS(
A431="","",
AND(A431&lt;&gt;"",B431=""),"FALTA LANÇAMENTO",
AND(B431&lt;&gt;"",M431=""),"FALTA O PEDIDO",
AND(M431&lt;&gt;"",O431=""),"FALTA NF",
O431&lt;&gt;"","CONCLUÍDO")</f>
        <v>CONCLUÍDO</v>
      </c>
      <c r="R431" s="36"/>
    </row>
    <row r="432" spans="1:18" hidden="1">
      <c r="A432" s="16">
        <v>46056</v>
      </c>
      <c r="B432" s="16">
        <v>46059</v>
      </c>
      <c r="C432" s="21">
        <v>500580263</v>
      </c>
      <c r="D432" s="16" t="str">
        <f>IFERROR(VLOOKUP(Tabela5[[#This Row],[PREFIXO ]],Tabela4[#All],2,0),"CENTRO DE CUSTO")</f>
        <v>Colheit. Grãos-Axial</v>
      </c>
      <c r="E432" s="18" t="s">
        <v>308</v>
      </c>
      <c r="F432" s="21" t="s">
        <v>1296</v>
      </c>
      <c r="G432" s="22">
        <v>2075</v>
      </c>
      <c r="H432" s="22"/>
      <c r="I432" s="22">
        <f t="shared" si="7"/>
        <v>2075</v>
      </c>
      <c r="J432" s="18" t="s">
        <v>1123</v>
      </c>
      <c r="K432" s="18">
        <v>5019257</v>
      </c>
      <c r="L432" s="18">
        <v>857624</v>
      </c>
      <c r="M432" s="18" t="s">
        <v>1762</v>
      </c>
      <c r="N432" s="16" t="s">
        <v>1551</v>
      </c>
      <c r="O432" s="18" t="s">
        <v>1763</v>
      </c>
      <c r="P432" s="18" t="s">
        <v>1463</v>
      </c>
      <c r="Q432" s="29" t="str" cm="1">
        <f t="array" ref="Q432">_xlfn.IFS(
A432="","",
AND(A432&lt;&gt;"",B432=""),"FALTA LANÇAMENTO",
AND(B432&lt;&gt;"",M432=""),"FALTA O PEDIDO",
AND(M432&lt;&gt;"",O432=""),"FALTA NF",
O432&lt;&gt;"","CONCLUÍDO")</f>
        <v>CONCLUÍDO</v>
      </c>
      <c r="R432" s="36"/>
    </row>
    <row r="433" spans="1:18" hidden="1">
      <c r="A433" s="16">
        <v>46056</v>
      </c>
      <c r="B433" s="16">
        <v>46059</v>
      </c>
      <c r="C433" s="21" t="s">
        <v>1764</v>
      </c>
      <c r="D433" s="16" t="str">
        <f>IFERROR(VLOOKUP(Tabela5[[#This Row],[PREFIXO ]],Tabela4[#All],2,0),"CENTRO DE CUSTO")</f>
        <v>CENTRO DE CUSTO</v>
      </c>
      <c r="E433" s="18" t="s">
        <v>308</v>
      </c>
      <c r="F433" s="21" t="s">
        <v>1300</v>
      </c>
      <c r="G433" s="22">
        <v>1733.4</v>
      </c>
      <c r="H433" s="22"/>
      <c r="I433" s="22">
        <f t="shared" si="7"/>
        <v>1733.4</v>
      </c>
      <c r="J433" s="18" t="s">
        <v>1123</v>
      </c>
      <c r="K433" s="18" t="s">
        <v>1765</v>
      </c>
      <c r="L433" s="18">
        <v>858058</v>
      </c>
      <c r="M433" s="18" t="s">
        <v>1766</v>
      </c>
      <c r="N433" s="16" t="s">
        <v>1125</v>
      </c>
      <c r="O433" s="18" t="s">
        <v>1534</v>
      </c>
      <c r="P433" s="18" t="s">
        <v>1463</v>
      </c>
      <c r="Q433" s="29" t="str" cm="1">
        <f t="array" ref="Q433">_xlfn.IFS(
A433="","",
AND(A433&lt;&gt;"",B433=""),"FALTA LANÇAMENTO",
AND(B433&lt;&gt;"",M433=""),"FALTA O PEDIDO",
AND(M433&lt;&gt;"",O433=""),"FALTA NF",
O433&lt;&gt;"","CONCLUÍDO")</f>
        <v>CONCLUÍDO</v>
      </c>
      <c r="R433" s="36"/>
    </row>
    <row r="434" spans="1:18" hidden="1">
      <c r="A434" s="16">
        <v>46056</v>
      </c>
      <c r="B434" s="16">
        <v>46059</v>
      </c>
      <c r="C434" s="21" t="s">
        <v>1767</v>
      </c>
      <c r="D434" s="16" t="str">
        <f>IFERROR(VLOOKUP(Tabela5[[#This Row],[PREFIXO ]],Tabela4[#All],2,0),"CENTRO DE CUSTO")</f>
        <v>CENTRO DE CUSTO</v>
      </c>
      <c r="E434" s="18" t="s">
        <v>196</v>
      </c>
      <c r="F434" s="21">
        <v>63379</v>
      </c>
      <c r="G434" s="22">
        <v>4506</v>
      </c>
      <c r="H434" s="22"/>
      <c r="I434" s="22">
        <f t="shared" si="7"/>
        <v>4506</v>
      </c>
      <c r="J434" s="18" t="s">
        <v>1123</v>
      </c>
      <c r="K434" s="18" t="s">
        <v>1768</v>
      </c>
      <c r="L434" s="18">
        <v>857644</v>
      </c>
      <c r="M434" s="18" t="s">
        <v>1769</v>
      </c>
      <c r="N434" s="16" t="s">
        <v>1551</v>
      </c>
      <c r="O434" s="18" t="s">
        <v>1770</v>
      </c>
      <c r="P434" s="18" t="s">
        <v>1556</v>
      </c>
      <c r="Q434" s="29" t="str" cm="1">
        <f t="array" ref="Q434">_xlfn.IFS(
A434="","",
AND(A434&lt;&gt;"",B434=""),"FALTA LANÇAMENTO",
AND(B434&lt;&gt;"",M434=""),"FALTA O PEDIDO",
AND(M434&lt;&gt;"",O434=""),"FALTA NF",
O434&lt;&gt;"","CONCLUÍDO")</f>
        <v>CONCLUÍDO</v>
      </c>
      <c r="R434" s="36"/>
    </row>
    <row r="435" spans="1:18" hidden="1">
      <c r="A435" s="16">
        <v>46056</v>
      </c>
      <c r="B435" s="16">
        <v>46059</v>
      </c>
      <c r="C435" s="21">
        <v>5019302</v>
      </c>
      <c r="D435" s="16" t="str">
        <f>IFERROR(VLOOKUP(Tabela5[[#This Row],[PREFIXO ]],Tabela4[#All],2,0),"CENTRO DE CUSTO")</f>
        <v>CENTRO DE CUSTO</v>
      </c>
      <c r="E435" s="18" t="s">
        <v>71</v>
      </c>
      <c r="F435" s="21">
        <v>7671</v>
      </c>
      <c r="G435" s="22">
        <v>14176.95</v>
      </c>
      <c r="H435" s="22"/>
      <c r="I435" s="22">
        <f t="shared" si="7"/>
        <v>14176.95</v>
      </c>
      <c r="J435" s="18" t="s">
        <v>1123</v>
      </c>
      <c r="K435" s="18">
        <v>5019302</v>
      </c>
      <c r="L435" s="18">
        <v>857748</v>
      </c>
      <c r="M435" s="18" t="s">
        <v>1771</v>
      </c>
      <c r="N435" s="16" t="s">
        <v>1551</v>
      </c>
      <c r="O435" s="18" t="s">
        <v>1772</v>
      </c>
      <c r="P435" s="18" t="s">
        <v>1463</v>
      </c>
      <c r="Q435" s="29" t="str" cm="1">
        <f t="array" ref="Q435">_xlfn.IFS(
A435="","",
AND(A435&lt;&gt;"",B435=""),"FALTA LANÇAMENTO",
AND(B435&lt;&gt;"",M435=""),"FALTA O PEDIDO",
AND(M435&lt;&gt;"",O435=""),"FALTA NF",
O435&lt;&gt;"","CONCLUÍDO")</f>
        <v>CONCLUÍDO</v>
      </c>
      <c r="R435" s="36"/>
    </row>
    <row r="436" spans="1:18" hidden="1">
      <c r="A436" s="16">
        <v>46056</v>
      </c>
      <c r="B436" s="16">
        <v>46062</v>
      </c>
      <c r="C436" s="21">
        <v>71521002</v>
      </c>
      <c r="D436" s="16" t="str">
        <f>IFERROR(VLOOKUP(Tabela5[[#This Row],[PREFIXO ]],Tabela4[#All],2,0),"CENTRO DE CUSTO")</f>
        <v>CORTADOR DE GRAMA GIRO ZERO MZ54</v>
      </c>
      <c r="E436" s="18" t="s">
        <v>71</v>
      </c>
      <c r="F436" s="21">
        <v>7695</v>
      </c>
      <c r="G436" s="22">
        <v>279</v>
      </c>
      <c r="H436" s="22">
        <v>950</v>
      </c>
      <c r="I436" s="22">
        <f t="shared" si="7"/>
        <v>1229</v>
      </c>
      <c r="J436" s="18" t="s">
        <v>1085</v>
      </c>
      <c r="K436" s="18">
        <v>9757318</v>
      </c>
      <c r="L436" s="18">
        <v>857450</v>
      </c>
      <c r="M436" s="18" t="s">
        <v>1773</v>
      </c>
      <c r="N436" s="16" t="s">
        <v>1463</v>
      </c>
      <c r="O436" s="18" t="s">
        <v>1774</v>
      </c>
      <c r="P436" s="18" t="s">
        <v>1775</v>
      </c>
      <c r="Q436" s="29" t="str" cm="1">
        <f t="array" ref="Q436">_xlfn.IFS(
A436="","",
AND(A436&lt;&gt;"",B436=""),"FALTA LANÇAMENTO",
AND(B436&lt;&gt;"",M436=""),"FALTA O PEDIDO",
AND(M436&lt;&gt;"",O436=""),"FALTA NF",
O436&lt;&gt;"","CONCLUÍDO")</f>
        <v>CONCLUÍDO</v>
      </c>
      <c r="R436" s="36"/>
    </row>
    <row r="437" spans="1:18" hidden="1">
      <c r="A437" s="16">
        <v>46056</v>
      </c>
      <c r="B437" s="16">
        <v>46059</v>
      </c>
      <c r="C437" s="21">
        <v>1173023</v>
      </c>
      <c r="D437" s="16" t="str">
        <f>IFERROR(VLOOKUP(Tabela5[[#This Row],[PREFIXO ]],Tabela4[#All],2,0),"CENTRO DE CUSTO")</f>
        <v>TRAT PN MED N.HOLLAND 7630</v>
      </c>
      <c r="E437" s="18" t="s">
        <v>148</v>
      </c>
      <c r="F437" s="21">
        <v>32</v>
      </c>
      <c r="G437" s="22">
        <v>2100</v>
      </c>
      <c r="H437" s="22"/>
      <c r="I437" s="22">
        <f t="shared" si="7"/>
        <v>2100</v>
      </c>
      <c r="J437" s="18" t="s">
        <v>1199</v>
      </c>
      <c r="K437" s="18">
        <v>9758208</v>
      </c>
      <c r="L437" s="18">
        <v>857882</v>
      </c>
      <c r="M437" s="18" t="s">
        <v>1776</v>
      </c>
      <c r="N437" s="16" t="s">
        <v>1551</v>
      </c>
      <c r="O437" s="18" t="s">
        <v>1777</v>
      </c>
      <c r="P437" s="18" t="s">
        <v>1463</v>
      </c>
      <c r="Q437" s="29" t="str" cm="1">
        <f t="array" ref="Q437">_xlfn.IFS(
A437="","",
AND(A437&lt;&gt;"",B437=""),"FALTA LANÇAMENTO",
AND(B437&lt;&gt;"",M437=""),"FALTA O PEDIDO",
AND(M437&lt;&gt;"",O437=""),"FALTA NF",
O437&lt;&gt;"","CONCLUÍDO")</f>
        <v>CONCLUÍDO</v>
      </c>
      <c r="R437" s="36"/>
    </row>
    <row r="438" spans="1:18" hidden="1">
      <c r="A438" s="16">
        <v>46056</v>
      </c>
      <c r="B438" s="16">
        <v>46059</v>
      </c>
      <c r="C438" s="21">
        <v>1173013</v>
      </c>
      <c r="D438" s="16" t="str">
        <f>IFERROR(VLOOKUP(Tabela5[[#This Row],[PREFIXO ]],Tabela4[#All],2,0),"CENTRO DE CUSTO")</f>
        <v>TRAT PN MED N.HOLLAND 7630</v>
      </c>
      <c r="E438" s="18" t="s">
        <v>148</v>
      </c>
      <c r="F438" s="21">
        <v>31</v>
      </c>
      <c r="G438" s="22">
        <v>1900</v>
      </c>
      <c r="H438" s="22"/>
      <c r="I438" s="22">
        <f t="shared" si="7"/>
        <v>1900</v>
      </c>
      <c r="J438" s="18" t="s">
        <v>1199</v>
      </c>
      <c r="K438" s="18">
        <v>9758208</v>
      </c>
      <c r="L438" s="18">
        <v>857882</v>
      </c>
      <c r="M438" s="18" t="s">
        <v>1776</v>
      </c>
      <c r="N438" s="16" t="s">
        <v>1551</v>
      </c>
      <c r="O438" s="18" t="s">
        <v>1777</v>
      </c>
      <c r="P438" s="18" t="s">
        <v>1463</v>
      </c>
      <c r="Q438" s="29" t="str" cm="1">
        <f t="array" ref="Q438">_xlfn.IFS(
A438="","",
AND(A438&lt;&gt;"",B438=""),"FALTA LANÇAMENTO",
AND(B438&lt;&gt;"",M438=""),"FALTA O PEDIDO",
AND(M438&lt;&gt;"",O438=""),"FALTA NF",
O438&lt;&gt;"","CONCLUÍDO")</f>
        <v>CONCLUÍDO</v>
      </c>
      <c r="R438" s="36"/>
    </row>
    <row r="439" spans="1:18" hidden="1">
      <c r="A439" s="16">
        <v>46056</v>
      </c>
      <c r="B439" s="16">
        <v>46059</v>
      </c>
      <c r="C439" s="21">
        <v>500580579</v>
      </c>
      <c r="D439" s="16" t="str">
        <f>IFERROR(VLOOKUP(Tabela5[[#This Row],[PREFIXO ]],Tabela4[#All],2,0),"CENTRO DE CUSTO")</f>
        <v>Pátio de Vendas</v>
      </c>
      <c r="E439" s="18" t="s">
        <v>224</v>
      </c>
      <c r="F439" s="21">
        <v>1643</v>
      </c>
      <c r="G439" s="22">
        <v>3300</v>
      </c>
      <c r="H439" s="22"/>
      <c r="I439" s="22">
        <f t="shared" si="7"/>
        <v>3300</v>
      </c>
      <c r="J439" s="18" t="s">
        <v>1251</v>
      </c>
      <c r="K439" s="18">
        <v>5019277</v>
      </c>
      <c r="L439" s="18" t="s">
        <v>1095</v>
      </c>
      <c r="M439" s="18" t="s">
        <v>1095</v>
      </c>
      <c r="N439" s="16" t="s">
        <v>1095</v>
      </c>
      <c r="O439" s="18" t="s">
        <v>1095</v>
      </c>
      <c r="P439" s="18" t="s">
        <v>1095</v>
      </c>
      <c r="Q439" s="29" t="str" cm="1">
        <f t="array" ref="Q439">_xlfn.IFS(
A439="","",
AND(A439&lt;&gt;"",B439=""),"FALTA LANÇAMENTO",
AND(B439&lt;&gt;"",M439=""),"FALTA O PEDIDO",
AND(M439&lt;&gt;"",O439=""),"FALTA NF",
O439&lt;&gt;"","CONCLUÍDO")</f>
        <v>CONCLUÍDO</v>
      </c>
      <c r="R439" s="36"/>
    </row>
    <row r="440" spans="1:18" hidden="1">
      <c r="A440" s="16">
        <v>46056</v>
      </c>
      <c r="B440" s="16">
        <v>46059</v>
      </c>
      <c r="C440" s="21">
        <v>500580579</v>
      </c>
      <c r="D440" s="16" t="str">
        <f>IFERROR(VLOOKUP(Tabela5[[#This Row],[PREFIXO ]],Tabela4[#All],2,0),"CENTRO DE CUSTO")</f>
        <v>Pátio de Vendas</v>
      </c>
      <c r="E440" s="18" t="s">
        <v>224</v>
      </c>
      <c r="F440" s="21">
        <v>2448</v>
      </c>
      <c r="G440" s="22">
        <v>2600</v>
      </c>
      <c r="H440" s="22"/>
      <c r="I440" s="22">
        <f t="shared" si="7"/>
        <v>2600</v>
      </c>
      <c r="J440" s="18" t="s">
        <v>1251</v>
      </c>
      <c r="K440" s="18">
        <v>5019278</v>
      </c>
      <c r="L440" s="18" t="s">
        <v>1095</v>
      </c>
      <c r="M440" s="18" t="s">
        <v>1095</v>
      </c>
      <c r="N440" s="16" t="s">
        <v>1095</v>
      </c>
      <c r="O440" s="18" t="s">
        <v>1095</v>
      </c>
      <c r="P440" s="18" t="s">
        <v>1095</v>
      </c>
      <c r="Q440" s="29" t="str" cm="1">
        <f t="array" ref="Q440">_xlfn.IFS(
A440="","",
AND(A440&lt;&gt;"",B440=""),"FALTA LANÇAMENTO",
AND(B440&lt;&gt;"",M440=""),"FALTA O PEDIDO",
AND(M440&lt;&gt;"",O440=""),"FALTA NF",
O440&lt;&gt;"","CONCLUÍDO")</f>
        <v>CONCLUÍDO</v>
      </c>
      <c r="R440" s="36"/>
    </row>
    <row r="441" spans="1:18" hidden="1">
      <c r="A441" s="16">
        <v>46056</v>
      </c>
      <c r="B441" s="16">
        <v>46059</v>
      </c>
      <c r="C441" s="21">
        <v>500580579</v>
      </c>
      <c r="D441" s="16" t="str">
        <f>IFERROR(VLOOKUP(Tabela5[[#This Row],[PREFIXO ]],Tabela4[#All],2,0),"CENTRO DE CUSTO")</f>
        <v>Pátio de Vendas</v>
      </c>
      <c r="E441" s="18" t="s">
        <v>224</v>
      </c>
      <c r="F441" s="21">
        <v>2449</v>
      </c>
      <c r="G441" s="22">
        <v>2600</v>
      </c>
      <c r="H441" s="22"/>
      <c r="I441" s="22">
        <f t="shared" si="7"/>
        <v>2600</v>
      </c>
      <c r="J441" s="18" t="s">
        <v>1123</v>
      </c>
      <c r="K441" s="18">
        <v>5019276</v>
      </c>
      <c r="L441" s="18" t="s">
        <v>1095</v>
      </c>
      <c r="M441" s="18" t="s">
        <v>1095</v>
      </c>
      <c r="N441" s="16" t="s">
        <v>1095</v>
      </c>
      <c r="O441" s="18" t="s">
        <v>1095</v>
      </c>
      <c r="P441" s="18" t="s">
        <v>1095</v>
      </c>
      <c r="Q441" s="29" t="str" cm="1">
        <f t="array" ref="Q441">_xlfn.IFS(
A441="","",
AND(A441&lt;&gt;"",B441=""),"FALTA LANÇAMENTO",
AND(B441&lt;&gt;"",M441=""),"FALTA O PEDIDO",
AND(M441&lt;&gt;"",O441=""),"FALTA NF",
O441&lt;&gt;"","CONCLUÍDO")</f>
        <v>CONCLUÍDO</v>
      </c>
      <c r="R441" s="36"/>
    </row>
    <row r="442" spans="1:18" hidden="1">
      <c r="A442" s="16">
        <v>46056</v>
      </c>
      <c r="B442" s="16">
        <v>46071</v>
      </c>
      <c r="C442" s="21">
        <v>11040018</v>
      </c>
      <c r="D442" s="16" t="str">
        <f>IFERROR(VLOOKUP(Tabela5[[#This Row],[PREFIXO ]],Tabela4[#All],2,0),"CENTRO DE CUSTO")</f>
        <v>CAV MEC EXT PES SCANIA R500</v>
      </c>
      <c r="E442" s="18" t="s">
        <v>235</v>
      </c>
      <c r="F442" s="21">
        <v>2742</v>
      </c>
      <c r="G442" s="22">
        <v>8830</v>
      </c>
      <c r="H442" s="22">
        <v>19803</v>
      </c>
      <c r="I442" s="22">
        <f t="shared" si="7"/>
        <v>28633</v>
      </c>
      <c r="J442" s="18" t="s">
        <v>1085</v>
      </c>
      <c r="K442" s="18">
        <v>9757180</v>
      </c>
      <c r="L442" s="18">
        <v>865633</v>
      </c>
      <c r="M442" s="18" t="s">
        <v>1778</v>
      </c>
      <c r="N442" s="16" t="s">
        <v>1779</v>
      </c>
      <c r="O442" s="18" t="s">
        <v>1780</v>
      </c>
      <c r="P442" s="18" t="s">
        <v>1781</v>
      </c>
      <c r="Q442" s="29" t="str" cm="1">
        <f t="array" ref="Q442">_xlfn.IFS(
A442="","",
AND(A442&lt;&gt;"",B442=""),"FALTA LANÇAMENTO",
AND(B442&lt;&gt;"",M442=""),"FALTA O PEDIDO",
AND(M442&lt;&gt;"",O442=""),"FALTA NF",
O442&lt;&gt;"","CONCLUÍDO")</f>
        <v>CONCLUÍDO</v>
      </c>
      <c r="R442" s="36"/>
    </row>
    <row r="443" spans="1:18" hidden="1">
      <c r="A443" s="16">
        <v>46056</v>
      </c>
      <c r="B443" s="16">
        <v>46063</v>
      </c>
      <c r="C443" s="21" t="s">
        <v>1134</v>
      </c>
      <c r="D443" s="16" t="str">
        <f>IFERROR(VLOOKUP(Tabela5[[#This Row],[PREFIXO ]],Tabela4[#All],2,0),"CENTRO DE CUSTO")</f>
        <v>CENTRO DE CUSTO</v>
      </c>
      <c r="E443" s="18" t="s">
        <v>235</v>
      </c>
      <c r="F443" s="21">
        <v>39763</v>
      </c>
      <c r="G443" s="22">
        <v>520</v>
      </c>
      <c r="H443" s="22">
        <v>5857.91</v>
      </c>
      <c r="I443" s="22">
        <f t="shared" si="7"/>
        <v>6377.91</v>
      </c>
      <c r="J443" s="18" t="s">
        <v>1085</v>
      </c>
      <c r="K443" s="18">
        <v>9757187</v>
      </c>
      <c r="L443" s="18">
        <v>859889</v>
      </c>
      <c r="M443" s="18" t="s">
        <v>1782</v>
      </c>
      <c r="N443" s="16" t="s">
        <v>1120</v>
      </c>
      <c r="O443" s="18" t="s">
        <v>1783</v>
      </c>
      <c r="P443" s="18" t="s">
        <v>1549</v>
      </c>
      <c r="Q443" s="29" t="str" cm="1">
        <f t="array" ref="Q443">_xlfn.IFS(
A443="","",
AND(A443&lt;&gt;"",B443=""),"FALTA LANÇAMENTO",
AND(B443&lt;&gt;"",M443=""),"FALTA O PEDIDO",
AND(M443&lt;&gt;"",O443=""),"FALTA NF",
O443&lt;&gt;"","CONCLUÍDO")</f>
        <v>CONCLUÍDO</v>
      </c>
      <c r="R443" s="36"/>
    </row>
    <row r="444" spans="1:18" hidden="1">
      <c r="A444" s="16">
        <v>46056</v>
      </c>
      <c r="B444" s="16">
        <v>46062</v>
      </c>
      <c r="C444" s="21">
        <v>61521042</v>
      </c>
      <c r="D444" s="16" t="str">
        <f>IFERROR(VLOOKUP(Tabela5[[#This Row],[PREFIXO ]],Tabela4[#All],2,0),"CENTRO DE CUSTO")</f>
        <v>ONIB RODOVIÁRIO MASCARELLO GRAN MIDI</v>
      </c>
      <c r="E444" s="18" t="s">
        <v>235</v>
      </c>
      <c r="F444" s="21">
        <v>2741</v>
      </c>
      <c r="G444" s="22">
        <v>150</v>
      </c>
      <c r="H444" s="22">
        <v>2500</v>
      </c>
      <c r="I444" s="22">
        <f t="shared" si="7"/>
        <v>2650</v>
      </c>
      <c r="J444" s="18" t="s">
        <v>1085</v>
      </c>
      <c r="K444" s="18">
        <v>9758570</v>
      </c>
      <c r="L444" s="18">
        <v>858253</v>
      </c>
      <c r="M444" s="18" t="s">
        <v>1784</v>
      </c>
      <c r="N444" s="16" t="s">
        <v>1463</v>
      </c>
      <c r="O444" s="18" t="s">
        <v>1785</v>
      </c>
      <c r="P444" s="18" t="s">
        <v>1553</v>
      </c>
      <c r="Q444" s="29" t="str" cm="1">
        <f t="array" ref="Q444">_xlfn.IFS(
A444="","",
AND(A444&lt;&gt;"",B444=""),"FALTA LANÇAMENTO",
AND(B444&lt;&gt;"",M444=""),"FALTA O PEDIDO",
AND(M444&lt;&gt;"",O444=""),"FALTA NF",
O444&lt;&gt;"","CONCLUÍDO")</f>
        <v>CONCLUÍDO</v>
      </c>
      <c r="R444" s="36"/>
    </row>
    <row r="445" spans="1:18" hidden="1">
      <c r="A445" s="16">
        <v>46056</v>
      </c>
      <c r="B445" s="16">
        <v>46062</v>
      </c>
      <c r="C445" s="21">
        <v>1159005</v>
      </c>
      <c r="D445" s="16" t="str">
        <f>IFERROR(VLOOKUP(Tabela5[[#This Row],[PREFIXO ]],Tabela4[#All],2,0),"CENTRO DE CUSTO")</f>
        <v>TRAT PN MED JOHN DEERE 7500</v>
      </c>
      <c r="E445" s="18" t="s">
        <v>309</v>
      </c>
      <c r="F445" s="21">
        <v>7931</v>
      </c>
      <c r="G445" s="22">
        <v>90</v>
      </c>
      <c r="H445" s="22">
        <v>425.2</v>
      </c>
      <c r="I445" s="22">
        <f t="shared" si="7"/>
        <v>515.20000000000005</v>
      </c>
      <c r="J445" s="18" t="s">
        <v>1199</v>
      </c>
      <c r="K445" s="18">
        <v>9758722</v>
      </c>
      <c r="L445" s="18">
        <v>857507</v>
      </c>
      <c r="M445" s="18" t="s">
        <v>1786</v>
      </c>
      <c r="N445" s="16" t="s">
        <v>1463</v>
      </c>
      <c r="O445" s="18" t="s">
        <v>1787</v>
      </c>
      <c r="P445" s="18" t="s">
        <v>1571</v>
      </c>
      <c r="Q445" s="29" t="str" cm="1">
        <f t="array" ref="Q445">_xlfn.IFS(
A445="","",
AND(A445&lt;&gt;"",B445=""),"FALTA LANÇAMENTO",
AND(B445&lt;&gt;"",M445=""),"FALTA O PEDIDO",
AND(M445&lt;&gt;"",O445=""),"FALTA NF",
O445&lt;&gt;"","CONCLUÍDO")</f>
        <v>CONCLUÍDO</v>
      </c>
      <c r="R445" s="36"/>
    </row>
    <row r="446" spans="1:18" hidden="1">
      <c r="A446" s="16">
        <v>46056</v>
      </c>
      <c r="B446" s="16">
        <v>46062</v>
      </c>
      <c r="C446" s="21" t="s">
        <v>1134</v>
      </c>
      <c r="D446" s="16" t="str">
        <f>IFERROR(VLOOKUP(Tabela5[[#This Row],[PREFIXO ]],Tabela4[#All],2,0),"CENTRO DE CUSTO")</f>
        <v>CENTRO DE CUSTO</v>
      </c>
      <c r="E446" s="18" t="s">
        <v>110</v>
      </c>
      <c r="F446" s="21">
        <v>33849</v>
      </c>
      <c r="G446" s="22"/>
      <c r="H446" s="22">
        <v>632.11</v>
      </c>
      <c r="I446" s="22">
        <f t="shared" si="7"/>
        <v>632.11</v>
      </c>
      <c r="J446" s="18" t="s">
        <v>1085</v>
      </c>
      <c r="K446" s="18">
        <v>9758101</v>
      </c>
      <c r="L446" s="18" t="s">
        <v>1095</v>
      </c>
      <c r="M446" s="18" t="s">
        <v>1095</v>
      </c>
      <c r="N446" s="16" t="s">
        <v>1095</v>
      </c>
      <c r="O446" s="18" t="s">
        <v>1095</v>
      </c>
      <c r="P446" s="18" t="s">
        <v>1095</v>
      </c>
      <c r="Q446" s="29" t="str" cm="1">
        <f t="array" ref="Q446">_xlfn.IFS(
A446="","",
AND(A446&lt;&gt;"",B446=""),"FALTA LANÇAMENTO",
AND(B446&lt;&gt;"",M446=""),"FALTA O PEDIDO",
AND(M446&lt;&gt;"",O446=""),"FALTA NF",
O446&lt;&gt;"","CONCLUÍDO")</f>
        <v>CONCLUÍDO</v>
      </c>
      <c r="R446" s="36"/>
    </row>
    <row r="447" spans="1:18" hidden="1">
      <c r="A447" s="16">
        <v>46056</v>
      </c>
      <c r="B447" s="16">
        <v>46059</v>
      </c>
      <c r="C447" s="21">
        <v>31521027</v>
      </c>
      <c r="D447" s="16" t="str">
        <f>IFERROR(VLOOKUP(Tabela5[[#This Row],[PREFIXO ]],Tabela4[#All],2,0),"CENTRO DE CUSTO")</f>
        <v>PULV AUTOPROP JACTO UNIPORT 3030</v>
      </c>
      <c r="E447" s="18" t="s">
        <v>68</v>
      </c>
      <c r="F447" s="21">
        <v>1850</v>
      </c>
      <c r="G447" s="22">
        <v>1100</v>
      </c>
      <c r="H447" s="22">
        <v>135</v>
      </c>
      <c r="I447" s="22">
        <f t="shared" si="7"/>
        <v>1235</v>
      </c>
      <c r="J447" s="18" t="s">
        <v>1080</v>
      </c>
      <c r="K447" s="18">
        <v>9757227</v>
      </c>
      <c r="L447" s="18">
        <v>857635</v>
      </c>
      <c r="M447" s="18" t="s">
        <v>1788</v>
      </c>
      <c r="N447" s="16" t="s">
        <v>1125</v>
      </c>
      <c r="O447" s="18" t="s">
        <v>1789</v>
      </c>
      <c r="P447" s="18" t="s">
        <v>1790</v>
      </c>
      <c r="Q447" s="29" t="str" cm="1">
        <f t="array" ref="Q447">_xlfn.IFS(
A447="","",
AND(A447&lt;&gt;"",B447=""),"FALTA LANÇAMENTO",
AND(B447&lt;&gt;"",M447=""),"FALTA O PEDIDO",
AND(M447&lt;&gt;"",O447=""),"FALTA NF",
O447&lt;&gt;"","CONCLUÍDO")</f>
        <v>CONCLUÍDO</v>
      </c>
      <c r="R447" s="36"/>
    </row>
    <row r="448" spans="1:18" hidden="1">
      <c r="A448" s="16">
        <v>46056</v>
      </c>
      <c r="B448" s="16">
        <v>46059</v>
      </c>
      <c r="C448" s="21">
        <v>15048038</v>
      </c>
      <c r="D448" s="16" t="str">
        <f>IFERROR(VLOOKUP(Tabela5[[#This Row],[PREFIXO ]],Tabela4[#All],2,0),"CENTRO DE CUSTO")</f>
        <v>CENTRO DE CUSTO</v>
      </c>
      <c r="E448" s="18" t="s">
        <v>246</v>
      </c>
      <c r="F448" s="21" t="s">
        <v>1134</v>
      </c>
      <c r="G448" s="22">
        <v>190</v>
      </c>
      <c r="H448" s="22"/>
      <c r="I448" s="22">
        <f t="shared" ref="I448:I511" si="8">G448+H448</f>
        <v>190</v>
      </c>
      <c r="J448" s="18" t="s">
        <v>1199</v>
      </c>
      <c r="K448" s="18">
        <v>9758711</v>
      </c>
      <c r="L448" s="18" t="s">
        <v>1095</v>
      </c>
      <c r="M448" s="18" t="s">
        <v>1095</v>
      </c>
      <c r="N448" s="16" t="s">
        <v>1095</v>
      </c>
      <c r="O448" s="18" t="s">
        <v>1095</v>
      </c>
      <c r="P448" s="18" t="s">
        <v>1095</v>
      </c>
      <c r="Q448" s="29" t="str" cm="1">
        <f t="array" ref="Q448">_xlfn.IFS(
A448="","",
AND(A448&lt;&gt;"",B448=""),"FALTA LANÇAMENTO",
AND(B448&lt;&gt;"",M448=""),"FALTA O PEDIDO",
AND(M448&lt;&gt;"",O448=""),"FALTA NF",
O448&lt;&gt;"","CONCLUÍDO")</f>
        <v>CONCLUÍDO</v>
      </c>
      <c r="R448" s="36"/>
    </row>
    <row r="449" spans="1:18" hidden="1">
      <c r="A449" s="16">
        <v>46056</v>
      </c>
      <c r="B449" s="16">
        <v>46059</v>
      </c>
      <c r="C449" s="21" t="s">
        <v>1134</v>
      </c>
      <c r="D449" s="16" t="str">
        <f>IFERROR(VLOOKUP(Tabela5[[#This Row],[PREFIXO ]],Tabela4[#All],2,0),"CENTRO DE CUSTO")</f>
        <v>CENTRO DE CUSTO</v>
      </c>
      <c r="E449" s="18" t="s">
        <v>259</v>
      </c>
      <c r="F449" s="21" t="s">
        <v>1791</v>
      </c>
      <c r="G449" s="22">
        <v>38000</v>
      </c>
      <c r="H449" s="22"/>
      <c r="I449" s="22">
        <f t="shared" si="8"/>
        <v>38000</v>
      </c>
      <c r="J449" s="18" t="s">
        <v>1199</v>
      </c>
      <c r="K449" s="18">
        <v>5019266</v>
      </c>
      <c r="L449" s="18">
        <v>858140</v>
      </c>
      <c r="M449" s="18" t="s">
        <v>1792</v>
      </c>
      <c r="N449" s="16" t="s">
        <v>1551</v>
      </c>
      <c r="O449" s="18" t="s">
        <v>1793</v>
      </c>
      <c r="P449" s="18" t="s">
        <v>1779</v>
      </c>
      <c r="Q449" s="29" t="str" cm="1">
        <f t="array" ref="Q449">_xlfn.IFS(
A449="","",
AND(A449&lt;&gt;"",B449=""),"FALTA LANÇAMENTO",
AND(B449&lt;&gt;"",M449=""),"FALTA O PEDIDO",
AND(M449&lt;&gt;"",O449=""),"FALTA NF",
O449&lt;&gt;"","CONCLUÍDO")</f>
        <v>CONCLUÍDO</v>
      </c>
      <c r="R449" s="36"/>
    </row>
    <row r="450" spans="1:18" hidden="1">
      <c r="A450" s="16">
        <v>46056</v>
      </c>
      <c r="B450" s="16">
        <v>46059</v>
      </c>
      <c r="C450" s="21">
        <v>61521104</v>
      </c>
      <c r="D450" s="16" t="str">
        <f>IFERROR(VLOOKUP(Tabela5[[#This Row],[PREFIXO ]],Tabela4[#All],2,0),"CENTRO DE CUSTO")</f>
        <v>PA CARREGADEIRA CAT 924 K</v>
      </c>
      <c r="E450" s="18" t="s">
        <v>259</v>
      </c>
      <c r="F450" s="21">
        <v>4304186503</v>
      </c>
      <c r="G450" s="22">
        <v>3900</v>
      </c>
      <c r="H450" s="22"/>
      <c r="I450" s="22">
        <f t="shared" si="8"/>
        <v>3900</v>
      </c>
      <c r="J450" s="18" t="s">
        <v>1080</v>
      </c>
      <c r="K450" s="18">
        <v>9756792</v>
      </c>
      <c r="L450" s="18">
        <v>857664</v>
      </c>
      <c r="M450" s="18" t="s">
        <v>1794</v>
      </c>
      <c r="N450" s="16" t="s">
        <v>1551</v>
      </c>
      <c r="O450" s="18" t="s">
        <v>1795</v>
      </c>
      <c r="P450" s="18" t="s">
        <v>1127</v>
      </c>
      <c r="Q450" s="29" t="str" cm="1">
        <f t="array" ref="Q450">_xlfn.IFS(
A450="","",
AND(A450&lt;&gt;"",B450=""),"FALTA LANÇAMENTO",
AND(B450&lt;&gt;"",M450=""),"FALTA O PEDIDO",
AND(M450&lt;&gt;"",O450=""),"FALTA NF",
O450&lt;&gt;"","CONCLUÍDO")</f>
        <v>CONCLUÍDO</v>
      </c>
      <c r="R450" s="36"/>
    </row>
    <row r="451" spans="1:18" hidden="1">
      <c r="A451" s="16">
        <v>46056</v>
      </c>
      <c r="B451" s="16">
        <v>46062</v>
      </c>
      <c r="C451" s="21"/>
      <c r="D451" s="16" t="str">
        <f>IFERROR(VLOOKUP(Tabela5[[#This Row],[PREFIXO ]],Tabela4[#All],2,0),"CENTRO DE CUSTO")</f>
        <v>CENTRO DE CUSTO</v>
      </c>
      <c r="E451" s="18" t="s">
        <v>260</v>
      </c>
      <c r="F451" s="21">
        <v>192748</v>
      </c>
      <c r="G451" s="22">
        <v>450</v>
      </c>
      <c r="H451" s="22">
        <v>3530</v>
      </c>
      <c r="I451" s="22">
        <f t="shared" si="8"/>
        <v>3980</v>
      </c>
      <c r="J451" s="18" t="s">
        <v>1085</v>
      </c>
      <c r="K451" s="18">
        <v>9757086</v>
      </c>
      <c r="L451" s="18">
        <v>857474</v>
      </c>
      <c r="M451" s="18" t="s">
        <v>1796</v>
      </c>
      <c r="N451" s="16" t="s">
        <v>1463</v>
      </c>
      <c r="O451" s="18" t="s">
        <v>1797</v>
      </c>
      <c r="P451" s="18" t="s">
        <v>1486</v>
      </c>
      <c r="Q451" s="29" t="str" cm="1">
        <f t="array" ref="Q451">_xlfn.IFS(
A451="","",
AND(A451&lt;&gt;"",B451=""),"FALTA LANÇAMENTO",
AND(B451&lt;&gt;"",M451=""),"FALTA O PEDIDO",
AND(M451&lt;&gt;"",O451=""),"FALTA NF",
O451&lt;&gt;"","CONCLUÍDO")</f>
        <v>CONCLUÍDO</v>
      </c>
      <c r="R451" s="36"/>
    </row>
    <row r="452" spans="1:18" hidden="1">
      <c r="A452" s="16">
        <v>46056</v>
      </c>
      <c r="B452" s="16">
        <v>46062</v>
      </c>
      <c r="C452" s="21" t="s">
        <v>1134</v>
      </c>
      <c r="D452" s="16" t="str">
        <f>IFERROR(VLOOKUP(Tabela5[[#This Row],[PREFIXO ]],Tabela4[#All],2,0),"CENTRO DE CUSTO")</f>
        <v>CENTRO DE CUSTO</v>
      </c>
      <c r="E452" s="18" t="s">
        <v>260</v>
      </c>
      <c r="F452" s="21">
        <v>192494</v>
      </c>
      <c r="G452" s="22">
        <v>1400</v>
      </c>
      <c r="H452" s="22">
        <v>189</v>
      </c>
      <c r="I452" s="22">
        <f t="shared" si="8"/>
        <v>1589</v>
      </c>
      <c r="J452" s="18" t="s">
        <v>1085</v>
      </c>
      <c r="K452" s="18">
        <v>9757096</v>
      </c>
      <c r="L452" s="18" t="s">
        <v>1095</v>
      </c>
      <c r="M452" s="18" t="s">
        <v>1095</v>
      </c>
      <c r="N452" s="16" t="s">
        <v>1095</v>
      </c>
      <c r="O452" s="18" t="s">
        <v>1095</v>
      </c>
      <c r="P452" s="18" t="s">
        <v>1095</v>
      </c>
      <c r="Q452" s="29" t="str" cm="1">
        <f t="array" ref="Q452">_xlfn.IFS(
A452="","",
AND(A452&lt;&gt;"",B452=""),"FALTA LANÇAMENTO",
AND(B452&lt;&gt;"",M452=""),"FALTA O PEDIDO",
AND(M452&lt;&gt;"",O452=""),"FALTA NF",
O452&lt;&gt;"","CONCLUÍDO")</f>
        <v>CONCLUÍDO</v>
      </c>
      <c r="R452" s="36"/>
    </row>
    <row r="453" spans="1:18" hidden="1">
      <c r="A453" s="16">
        <v>46056</v>
      </c>
      <c r="B453" s="16">
        <v>46059</v>
      </c>
      <c r="C453" s="21">
        <v>81521061</v>
      </c>
      <c r="D453" s="16" t="str">
        <f>IFERROR(VLOOKUP(Tabela5[[#This Row],[PREFIXO ]],Tabela4[#All],2,0),"CENTRO DE CUSTO")</f>
        <v>SEMI REBOQUE PRANCHA RODOLINEA SRCT 3E</v>
      </c>
      <c r="E453" s="18" t="s">
        <v>260</v>
      </c>
      <c r="F453" s="21">
        <v>192744</v>
      </c>
      <c r="G453" s="22">
        <v>1400</v>
      </c>
      <c r="H453" s="22"/>
      <c r="I453" s="22">
        <f t="shared" si="8"/>
        <v>1400</v>
      </c>
      <c r="J453" s="18" t="s">
        <v>1085</v>
      </c>
      <c r="K453" s="18">
        <v>9758073</v>
      </c>
      <c r="L453" s="18">
        <v>858161</v>
      </c>
      <c r="M453" s="18" t="s">
        <v>1798</v>
      </c>
      <c r="N453" s="16" t="s">
        <v>1125</v>
      </c>
      <c r="O453" s="18" t="s">
        <v>1799</v>
      </c>
      <c r="P453" s="18" t="s">
        <v>1463</v>
      </c>
      <c r="Q453" s="29" t="str" cm="1">
        <f t="array" ref="Q453">_xlfn.IFS(
A453="","",
AND(A453&lt;&gt;"",B453=""),"FALTA LANÇAMENTO",
AND(B453&lt;&gt;"",M453=""),"FALTA O PEDIDO",
AND(M453&lt;&gt;"",O453=""),"FALTA NF",
O453&lt;&gt;"","CONCLUÍDO")</f>
        <v>CONCLUÍDO</v>
      </c>
      <c r="R453" s="36"/>
    </row>
    <row r="454" spans="1:18" hidden="1">
      <c r="A454" s="16">
        <v>46056</v>
      </c>
      <c r="B454" s="16">
        <v>46064</v>
      </c>
      <c r="C454" s="21">
        <v>61521080</v>
      </c>
      <c r="D454" s="16" t="str">
        <f>IFERROR(VLOOKUP(Tabela5[[#This Row],[PREFIXO ]],Tabela4[#All],2,0),"CENTRO DE CUSTO")</f>
        <v>CAV MEC EXT PES VOLVO FH 540</v>
      </c>
      <c r="E454" s="18" t="s">
        <v>260</v>
      </c>
      <c r="F454" s="21">
        <v>192495</v>
      </c>
      <c r="G454" s="22">
        <v>420</v>
      </c>
      <c r="H454" s="22">
        <v>951.5</v>
      </c>
      <c r="I454" s="22">
        <f t="shared" si="8"/>
        <v>1371.5</v>
      </c>
      <c r="J454" s="18" t="s">
        <v>1085</v>
      </c>
      <c r="K454" s="18">
        <v>9758161</v>
      </c>
      <c r="L454" s="18">
        <v>859923</v>
      </c>
      <c r="M454" s="18" t="s">
        <v>1800</v>
      </c>
      <c r="N454" s="16" t="s">
        <v>1120</v>
      </c>
      <c r="O454" s="18" t="s">
        <v>1801</v>
      </c>
      <c r="P454" s="18" t="s">
        <v>1802</v>
      </c>
      <c r="Q454" s="29" t="str" cm="1">
        <f t="array" ref="Q454">_xlfn.IFS(
A454="","",
AND(A454&lt;&gt;"",B454=""),"FALTA LANÇAMENTO",
AND(B454&lt;&gt;"",M454=""),"FALTA O PEDIDO",
AND(M454&lt;&gt;"",O454=""),"FALTA NF",
O454&lt;&gt;"","CONCLUÍDO")</f>
        <v>CONCLUÍDO</v>
      </c>
      <c r="R454" s="36"/>
    </row>
    <row r="455" spans="1:18" hidden="1">
      <c r="A455" s="16">
        <v>46056</v>
      </c>
      <c r="B455" s="16">
        <v>46062</v>
      </c>
      <c r="C455" s="21" t="s">
        <v>1134</v>
      </c>
      <c r="D455" s="16" t="str">
        <f>IFERROR(VLOOKUP(Tabela5[[#This Row],[PREFIXO ]],Tabela4[#All],2,0),"CENTRO DE CUSTO")</f>
        <v>CENTRO DE CUSTO</v>
      </c>
      <c r="E455" s="18" t="s">
        <v>260</v>
      </c>
      <c r="F455" s="21">
        <v>192581</v>
      </c>
      <c r="G455" s="22">
        <v>480</v>
      </c>
      <c r="H455" s="22">
        <v>340</v>
      </c>
      <c r="I455" s="22">
        <f t="shared" si="8"/>
        <v>820</v>
      </c>
      <c r="J455" s="18" t="s">
        <v>1085</v>
      </c>
      <c r="K455" s="18">
        <v>9757091</v>
      </c>
      <c r="L455" s="18" t="s">
        <v>1095</v>
      </c>
      <c r="M455" s="18" t="s">
        <v>1095</v>
      </c>
      <c r="N455" s="16" t="s">
        <v>1095</v>
      </c>
      <c r="O455" s="18" t="s">
        <v>1095</v>
      </c>
      <c r="P455" s="18" t="s">
        <v>1095</v>
      </c>
      <c r="Q455" s="29" t="str" cm="1">
        <f t="array" ref="Q455">_xlfn.IFS(
A455="","",
AND(A455&lt;&gt;"",B455=""),"FALTA LANÇAMENTO",
AND(B455&lt;&gt;"",M455=""),"FALTA O PEDIDO",
AND(M455&lt;&gt;"",O455=""),"FALTA NF",
O455&lt;&gt;"","CONCLUÍDO")</f>
        <v>CONCLUÍDO</v>
      </c>
      <c r="R455" s="36"/>
    </row>
    <row r="456" spans="1:18" hidden="1">
      <c r="A456" s="16">
        <v>46056</v>
      </c>
      <c r="B456" s="16">
        <v>46062</v>
      </c>
      <c r="C456" s="21">
        <v>61521081</v>
      </c>
      <c r="D456" s="16" t="str">
        <f>IFERROR(VLOOKUP(Tabela5[[#This Row],[PREFIXO ]],Tabela4[#All],2,0),"CENTRO DE CUSTO")</f>
        <v>CAV MEC EXT PES VOLVO FH 540</v>
      </c>
      <c r="E456" s="18" t="s">
        <v>260</v>
      </c>
      <c r="F456" s="21">
        <v>192509</v>
      </c>
      <c r="G456" s="22">
        <v>145</v>
      </c>
      <c r="H456" s="22">
        <v>322.5</v>
      </c>
      <c r="I456" s="22">
        <f t="shared" si="8"/>
        <v>467.5</v>
      </c>
      <c r="J456" s="18" t="s">
        <v>1085</v>
      </c>
      <c r="K456" s="18">
        <v>9758077</v>
      </c>
      <c r="L456" s="18">
        <v>857495</v>
      </c>
      <c r="M456" s="18" t="s">
        <v>1803</v>
      </c>
      <c r="N456" s="16" t="s">
        <v>1463</v>
      </c>
      <c r="O456" s="18" t="s">
        <v>1804</v>
      </c>
      <c r="P456" s="18" t="s">
        <v>1805</v>
      </c>
      <c r="Q456" s="29" t="str" cm="1">
        <f t="array" ref="Q456">_xlfn.IFS(
A456="","",
AND(A456&lt;&gt;"",B456=""),"FALTA LANÇAMENTO",
AND(B456&lt;&gt;"",M456=""),"FALTA O PEDIDO",
AND(M456&lt;&gt;"",O456=""),"FALTA NF",
O456&lt;&gt;"","CONCLUÍDO")</f>
        <v>CONCLUÍDO</v>
      </c>
      <c r="R456" s="36"/>
    </row>
    <row r="457" spans="1:18" hidden="1">
      <c r="A457" s="16">
        <v>46056</v>
      </c>
      <c r="B457" s="16">
        <v>46059</v>
      </c>
      <c r="C457" s="21">
        <v>500580100</v>
      </c>
      <c r="D457" s="16" t="str">
        <f>IFERROR(VLOOKUP(Tabela5[[#This Row],[PREFIXO ]],Tabela4[#All],2,0),"CENTRO DE CUSTO")</f>
        <v>Autopropelidos</v>
      </c>
      <c r="E457" s="18" t="s">
        <v>348</v>
      </c>
      <c r="F457" s="21">
        <v>2664</v>
      </c>
      <c r="G457" s="22">
        <v>1425</v>
      </c>
      <c r="H457" s="22"/>
      <c r="I457" s="22">
        <f t="shared" si="8"/>
        <v>1425</v>
      </c>
      <c r="J457" s="18" t="s">
        <v>1080</v>
      </c>
      <c r="K457" s="18">
        <v>5019256</v>
      </c>
      <c r="L457" s="18">
        <v>857630</v>
      </c>
      <c r="M457" s="18" t="s">
        <v>1806</v>
      </c>
      <c r="N457" s="16" t="s">
        <v>1125</v>
      </c>
      <c r="O457" s="18" t="s">
        <v>1119</v>
      </c>
      <c r="P457" s="18" t="s">
        <v>1551</v>
      </c>
      <c r="Q457" s="29" t="str" cm="1">
        <f t="array" ref="Q457">_xlfn.IFS(
A457="","",
AND(A457&lt;&gt;"",B457=""),"FALTA LANÇAMENTO",
AND(B457&lt;&gt;"",M457=""),"FALTA O PEDIDO",
AND(M457&lt;&gt;"",O457=""),"FALTA NF",
O457&lt;&gt;"","CONCLUÍDO")</f>
        <v>CONCLUÍDO</v>
      </c>
      <c r="R457" s="36"/>
    </row>
    <row r="458" spans="1:18" hidden="1">
      <c r="A458" s="16">
        <v>46056</v>
      </c>
      <c r="B458" s="16">
        <v>46059</v>
      </c>
      <c r="C458" s="21">
        <v>500580263</v>
      </c>
      <c r="D458" s="16" t="str">
        <f>IFERROR(VLOOKUP(Tabela5[[#This Row],[PREFIXO ]],Tabela4[#All],2,0),"CENTRO DE CUSTO")</f>
        <v>Colheit. Grãos-Axial</v>
      </c>
      <c r="E458" s="18" t="s">
        <v>346</v>
      </c>
      <c r="F458" s="21" t="s">
        <v>1304</v>
      </c>
      <c r="G458" s="22">
        <v>10435</v>
      </c>
      <c r="H458" s="22"/>
      <c r="I458" s="22">
        <f t="shared" si="8"/>
        <v>10435</v>
      </c>
      <c r="J458" s="18" t="s">
        <v>1113</v>
      </c>
      <c r="K458" s="18">
        <v>5019268</v>
      </c>
      <c r="L458" s="18">
        <v>857695</v>
      </c>
      <c r="M458" s="18" t="s">
        <v>1807</v>
      </c>
      <c r="N458" s="16" t="s">
        <v>1551</v>
      </c>
      <c r="O458" s="18" t="s">
        <v>1100</v>
      </c>
      <c r="P458" s="18" t="s">
        <v>1127</v>
      </c>
      <c r="Q458" s="29" t="str" cm="1">
        <f t="array" ref="Q458">_xlfn.IFS(
A458="","",
AND(A458&lt;&gt;"",B458=""),"FALTA LANÇAMENTO",
AND(B458&lt;&gt;"",M458=""),"FALTA O PEDIDO",
AND(M458&lt;&gt;"",O458=""),"FALTA NF",
O458&lt;&gt;"","CONCLUÍDO")</f>
        <v>CONCLUÍDO</v>
      </c>
      <c r="R458" s="36"/>
    </row>
    <row r="459" spans="1:18" hidden="1">
      <c r="A459" s="16">
        <v>46056</v>
      </c>
      <c r="B459" s="16">
        <v>46059</v>
      </c>
      <c r="C459" s="21">
        <v>500580263</v>
      </c>
      <c r="D459" s="16" t="str">
        <f>IFERROR(VLOOKUP(Tabela5[[#This Row],[PREFIXO ]],Tabela4[#All],2,0),"CENTRO DE CUSTO")</f>
        <v>Colheit. Grãos-Axial</v>
      </c>
      <c r="E459" s="18" t="s">
        <v>346</v>
      </c>
      <c r="F459" s="21" t="s">
        <v>1258</v>
      </c>
      <c r="G459" s="22">
        <v>1924</v>
      </c>
      <c r="H459" s="22"/>
      <c r="I459" s="22">
        <f t="shared" si="8"/>
        <v>1924</v>
      </c>
      <c r="J459" s="18" t="s">
        <v>1113</v>
      </c>
      <c r="K459" s="18">
        <v>5019267</v>
      </c>
      <c r="L459" s="18">
        <v>857695</v>
      </c>
      <c r="M459" s="18" t="s">
        <v>1807</v>
      </c>
      <c r="N459" s="16" t="s">
        <v>1551</v>
      </c>
      <c r="O459" s="18" t="s">
        <v>1100</v>
      </c>
      <c r="P459" s="18" t="s">
        <v>1127</v>
      </c>
      <c r="Q459" s="29" t="str" cm="1">
        <f t="array" ref="Q459">_xlfn.IFS(
A459="","",
AND(A459&lt;&gt;"",B459=""),"FALTA LANÇAMENTO",
AND(B459&lt;&gt;"",M459=""),"FALTA O PEDIDO",
AND(M459&lt;&gt;"",O459=""),"FALTA NF",
O459&lt;&gt;"","CONCLUÍDO")</f>
        <v>CONCLUÍDO</v>
      </c>
      <c r="R459" s="36"/>
    </row>
    <row r="460" spans="1:18" hidden="1">
      <c r="A460" s="16">
        <v>46059</v>
      </c>
      <c r="B460" s="16">
        <v>46059</v>
      </c>
      <c r="C460" s="21" t="s">
        <v>1134</v>
      </c>
      <c r="D460" s="16" t="str">
        <f>IFERROR(VLOOKUP(Tabela5[[#This Row],[PREFIXO ]],Tabela4[#All],2,0),"CENTRO DE CUSTO")</f>
        <v>CENTRO DE CUSTO</v>
      </c>
      <c r="E460" s="18" t="s">
        <v>341</v>
      </c>
      <c r="F460" s="21">
        <v>4954</v>
      </c>
      <c r="G460" s="22">
        <v>294</v>
      </c>
      <c r="H460" s="22"/>
      <c r="I460" s="22">
        <f t="shared" si="8"/>
        <v>294</v>
      </c>
      <c r="J460" s="18" t="s">
        <v>1085</v>
      </c>
      <c r="K460" s="18">
        <v>9712873</v>
      </c>
      <c r="L460" s="18">
        <v>857802</v>
      </c>
      <c r="M460" s="18" t="s">
        <v>1808</v>
      </c>
      <c r="N460" s="16" t="s">
        <v>1125</v>
      </c>
      <c r="O460" s="18" t="s">
        <v>1809</v>
      </c>
      <c r="P460" s="18" t="s">
        <v>1810</v>
      </c>
      <c r="Q460" s="29" t="str" cm="1">
        <f t="array" ref="Q460">_xlfn.IFS(
A460="","",
AND(A460&lt;&gt;"",B460=""),"FALTA LANÇAMENTO",
AND(B460&lt;&gt;"",M460=""),"FALTA O PEDIDO",
AND(M460&lt;&gt;"",O460=""),"FALTA NF",
O460&lt;&gt;"","CONCLUÍDO")</f>
        <v>CONCLUÍDO</v>
      </c>
      <c r="R460" s="36"/>
    </row>
    <row r="461" spans="1:18" hidden="1">
      <c r="A461" s="16">
        <v>46059</v>
      </c>
      <c r="B461" s="16">
        <v>46059</v>
      </c>
      <c r="C461" s="21" t="s">
        <v>1134</v>
      </c>
      <c r="D461" s="16" t="str">
        <f>IFERROR(VLOOKUP(Tabela5[[#This Row],[PREFIXO ]],Tabela4[#All],2,0),"CENTRO DE CUSTO")</f>
        <v>CENTRO DE CUSTO</v>
      </c>
      <c r="E461" s="18" t="s">
        <v>341</v>
      </c>
      <c r="F461" s="21">
        <v>8833</v>
      </c>
      <c r="G461" s="22"/>
      <c r="H461" s="22">
        <v>60.35</v>
      </c>
      <c r="I461" s="22">
        <f t="shared" si="8"/>
        <v>60.35</v>
      </c>
      <c r="J461" s="18" t="s">
        <v>1085</v>
      </c>
      <c r="K461" s="18">
        <v>9712873</v>
      </c>
      <c r="L461" s="18">
        <v>857802</v>
      </c>
      <c r="M461" s="18" t="s">
        <v>1811</v>
      </c>
      <c r="N461" s="16" t="s">
        <v>1125</v>
      </c>
      <c r="O461" s="18" t="s">
        <v>1812</v>
      </c>
      <c r="P461" s="18" t="s">
        <v>1463</v>
      </c>
      <c r="Q461" s="29" t="str" cm="1">
        <f t="array" ref="Q461">_xlfn.IFS(
A461="","",
AND(A461&lt;&gt;"",B461=""),"FALTA LANÇAMENTO",
AND(B461&lt;&gt;"",M461=""),"FALTA O PEDIDO",
AND(M461&lt;&gt;"",O461=""),"FALTA NF",
O461&lt;&gt;"","CONCLUÍDO")</f>
        <v>CONCLUÍDO</v>
      </c>
      <c r="R461" s="36"/>
    </row>
    <row r="462" spans="1:18" hidden="1">
      <c r="A462" s="16">
        <v>46062</v>
      </c>
      <c r="B462" s="16">
        <v>46066</v>
      </c>
      <c r="C462" s="21">
        <v>31521038</v>
      </c>
      <c r="D462" s="16" t="str">
        <f>IFERROR(VLOOKUP(Tabela5[[#This Row],[PREFIXO ]],Tabela4[#All],2,0),"CENTRO DE CUSTO")</f>
        <v>ADUB AUTOPROP KUHN ACCURA ST 7000</v>
      </c>
      <c r="E462" s="18" t="s">
        <v>11</v>
      </c>
      <c r="F462" s="21">
        <v>233</v>
      </c>
      <c r="G462" s="22">
        <v>8880</v>
      </c>
      <c r="H462" s="22">
        <v>9000</v>
      </c>
      <c r="I462" s="22">
        <f t="shared" si="8"/>
        <v>17880</v>
      </c>
      <c r="J462" s="18" t="s">
        <v>1080</v>
      </c>
      <c r="K462" s="18">
        <v>9762804</v>
      </c>
      <c r="L462" s="18">
        <v>863909</v>
      </c>
      <c r="M462" s="18" t="s">
        <v>1813</v>
      </c>
      <c r="N462" s="16" t="s">
        <v>1814</v>
      </c>
      <c r="O462" s="18" t="s">
        <v>1815</v>
      </c>
      <c r="P462" s="18" t="s">
        <v>1816</v>
      </c>
      <c r="Q462" s="29" t="str" cm="1">
        <f t="array" ref="Q462">_xlfn.IFS(
A462="","",
AND(A462&lt;&gt;"",B462=""),"FALTA LANÇAMENTO",
AND(B462&lt;&gt;"",M462=""),"FALTA O PEDIDO",
AND(M462&lt;&gt;"",O462=""),"FALTA NF",
O462&lt;&gt;"","CONCLUÍDO")</f>
        <v>CONCLUÍDO</v>
      </c>
      <c r="R462" s="36"/>
    </row>
    <row r="463" spans="1:18" hidden="1">
      <c r="A463" s="16">
        <v>46062</v>
      </c>
      <c r="B463" s="16">
        <v>46065</v>
      </c>
      <c r="C463" s="21">
        <v>18010002</v>
      </c>
      <c r="D463" s="16" t="str">
        <f>IFERROR(VLOOKUP(Tabela5[[#This Row],[PREFIXO ]],Tabela4[#All],2,0),"CENTRO DE CUSTO")</f>
        <v>AVIAO APLIC AGR AIR TRACT AT-802A</v>
      </c>
      <c r="E463" s="18" t="s">
        <v>13</v>
      </c>
      <c r="F463" s="21" t="s">
        <v>1817</v>
      </c>
      <c r="G463" s="22">
        <v>15250</v>
      </c>
      <c r="H463" s="22"/>
      <c r="I463" s="22">
        <f t="shared" si="8"/>
        <v>15250</v>
      </c>
      <c r="J463" s="18" t="s">
        <v>1818</v>
      </c>
      <c r="K463" s="18">
        <v>9763620</v>
      </c>
      <c r="L463" s="18">
        <v>863083</v>
      </c>
      <c r="M463" s="18" t="s">
        <v>1819</v>
      </c>
      <c r="N463" s="16" t="s">
        <v>1556</v>
      </c>
      <c r="O463" s="18" t="s">
        <v>1820</v>
      </c>
      <c r="P463" s="18" t="s">
        <v>1821</v>
      </c>
      <c r="Q463" s="29" t="str" cm="1">
        <f t="array" ref="Q463">_xlfn.IFS(
A463="","",
AND(A463&lt;&gt;"",B463=""),"FALTA LANÇAMENTO",
AND(B463&lt;&gt;"",M463=""),"FALTA O PEDIDO",
AND(M463&lt;&gt;"",O463=""),"FALTA NF",
O463&lt;&gt;"","CONCLUÍDO")</f>
        <v>CONCLUÍDO</v>
      </c>
      <c r="R463" s="36"/>
    </row>
    <row r="464" spans="1:18" hidden="1">
      <c r="A464" s="16">
        <v>46062</v>
      </c>
      <c r="B464" s="16">
        <v>46065</v>
      </c>
      <c r="C464" s="21">
        <v>18010001</v>
      </c>
      <c r="D464" s="16" t="str">
        <f>IFERROR(VLOOKUP(Tabela5[[#This Row],[PREFIXO ]],Tabela4[#All],2,0),"CENTRO DE CUSTO")</f>
        <v>AVIAO APLIC AGR AIR TRACT AT-802A</v>
      </c>
      <c r="E464" s="18" t="s">
        <v>13</v>
      </c>
      <c r="F464" s="21" t="s">
        <v>1822</v>
      </c>
      <c r="G464" s="22">
        <v>5250</v>
      </c>
      <c r="H464" s="22"/>
      <c r="I464" s="22">
        <f t="shared" si="8"/>
        <v>5250</v>
      </c>
      <c r="J464" s="18" t="s">
        <v>1818</v>
      </c>
      <c r="K464" s="18">
        <v>9763593</v>
      </c>
      <c r="L464" s="18">
        <v>863083</v>
      </c>
      <c r="M464" s="18" t="s">
        <v>1819</v>
      </c>
      <c r="N464" s="16" t="s">
        <v>1556</v>
      </c>
      <c r="O464" s="18" t="s">
        <v>1820</v>
      </c>
      <c r="P464" s="18" t="s">
        <v>1821</v>
      </c>
      <c r="Q464" s="29" t="str" cm="1">
        <f t="array" ref="Q464">_xlfn.IFS(
A464="","",
AND(A464&lt;&gt;"",B464=""),"FALTA LANÇAMENTO",
AND(B464&lt;&gt;"",M464=""),"FALTA O PEDIDO",
AND(M464&lt;&gt;"",O464=""),"FALTA NF",
O464&lt;&gt;"","CONCLUÍDO")</f>
        <v>CONCLUÍDO</v>
      </c>
      <c r="R464" s="36"/>
    </row>
    <row r="465" spans="1:18" hidden="1">
      <c r="A465" s="16">
        <v>46062</v>
      </c>
      <c r="B465" s="16">
        <v>46071</v>
      </c>
      <c r="C465" s="21">
        <v>13130047</v>
      </c>
      <c r="D465" s="16" t="str">
        <f>IFERROR(VLOOKUP(Tabela5[[#This Row],[PREFIXO ]],Tabela4[#All],2,0),"CENTRO DE CUSTO")</f>
        <v>PULV AUTOPROP JOHN DEERE M4030</v>
      </c>
      <c r="E465" s="18" t="s">
        <v>17</v>
      </c>
      <c r="F465" s="21">
        <v>42979</v>
      </c>
      <c r="G465" s="22">
        <v>12417.66</v>
      </c>
      <c r="H465" s="22">
        <v>15888.07</v>
      </c>
      <c r="I465" s="22">
        <f t="shared" si="8"/>
        <v>28305.73</v>
      </c>
      <c r="J465" s="18" t="s">
        <v>1265</v>
      </c>
      <c r="K465" s="18">
        <v>9763203</v>
      </c>
      <c r="L465" s="18">
        <v>865614</v>
      </c>
      <c r="M465" s="18" t="s">
        <v>1823</v>
      </c>
      <c r="N465" s="16" t="s">
        <v>1597</v>
      </c>
      <c r="O465" s="18" t="s">
        <v>1824</v>
      </c>
      <c r="P465" s="18" t="s">
        <v>1825</v>
      </c>
      <c r="Q465" s="29" t="str" cm="1">
        <f t="array" ref="Q465">_xlfn.IFS(
A465="","",
AND(A465&lt;&gt;"",B465=""),"FALTA LANÇAMENTO",
AND(B465&lt;&gt;"",M465=""),"FALTA O PEDIDO",
AND(M465&lt;&gt;"",O465=""),"FALTA NF",
O465&lt;&gt;"","CONCLUÍDO")</f>
        <v>CONCLUÍDO</v>
      </c>
      <c r="R465" s="36"/>
    </row>
    <row r="466" spans="1:18" hidden="1">
      <c r="A466" s="16">
        <v>46062</v>
      </c>
      <c r="B466" s="16">
        <v>46069</v>
      </c>
      <c r="C466" s="21">
        <v>13130034</v>
      </c>
      <c r="D466" s="16" t="str">
        <f>IFERROR(VLOOKUP(Tabela5[[#This Row],[PREFIXO ]],Tabela4[#All],2,0),"CENTRO DE CUSTO")</f>
        <v>PULV AUTOPROP JOHN DEERE M4030</v>
      </c>
      <c r="E466" s="18" t="s">
        <v>17</v>
      </c>
      <c r="F466" s="21">
        <v>42981</v>
      </c>
      <c r="G466" s="22">
        <v>1288.07</v>
      </c>
      <c r="H466" s="22">
        <v>2255.5700000000002</v>
      </c>
      <c r="I466" s="22">
        <f t="shared" si="8"/>
        <v>3543.6400000000003</v>
      </c>
      <c r="J466" s="18" t="s">
        <v>1123</v>
      </c>
      <c r="K466" s="18">
        <v>9762881</v>
      </c>
      <c r="L466" s="18">
        <v>865332</v>
      </c>
      <c r="M466" s="18" t="s">
        <v>1826</v>
      </c>
      <c r="N466" s="16" t="s">
        <v>1433</v>
      </c>
      <c r="O466" s="18" t="s">
        <v>1827</v>
      </c>
      <c r="P466" s="18" t="s">
        <v>1828</v>
      </c>
      <c r="Q466" s="29" t="str" cm="1">
        <f t="array" ref="Q466">_xlfn.IFS(
A466="","",
AND(A466&lt;&gt;"",B466=""),"FALTA LANÇAMENTO",
AND(B466&lt;&gt;"",M466=""),"FALTA O PEDIDO",
AND(M466&lt;&gt;"",O466=""),"FALTA NF",
O466&lt;&gt;"","CONCLUÍDO")</f>
        <v>CONCLUÍDO</v>
      </c>
      <c r="R466" s="36"/>
    </row>
    <row r="467" spans="1:18" hidden="1">
      <c r="A467" s="16">
        <v>46062</v>
      </c>
      <c r="B467" s="16">
        <v>46069</v>
      </c>
      <c r="C467" s="21">
        <v>13130045</v>
      </c>
      <c r="D467" s="16" t="str">
        <f>IFERROR(VLOOKUP(Tabela5[[#This Row],[PREFIXO ]],Tabela4[#All],2,0),"CENTRO DE CUSTO")</f>
        <v>PULV AUTOPROP JOHN DEERE M4030</v>
      </c>
      <c r="E467" s="18" t="s">
        <v>17</v>
      </c>
      <c r="F467" s="21">
        <v>43274</v>
      </c>
      <c r="G467" s="22">
        <v>3142.41</v>
      </c>
      <c r="H467" s="22"/>
      <c r="I467" s="22">
        <f t="shared" si="8"/>
        <v>3142.41</v>
      </c>
      <c r="J467" s="18" t="s">
        <v>1265</v>
      </c>
      <c r="K467" s="18">
        <v>9763205</v>
      </c>
      <c r="L467" s="18">
        <v>865425</v>
      </c>
      <c r="M467" s="18" t="s">
        <v>1829</v>
      </c>
      <c r="N467" s="16" t="s">
        <v>1433</v>
      </c>
      <c r="O467" s="18" t="s">
        <v>1830</v>
      </c>
      <c r="P467" s="18" t="s">
        <v>1597</v>
      </c>
      <c r="Q467" s="29" t="str" cm="1">
        <f t="array" ref="Q467">_xlfn.IFS(
A467="","",
AND(A467&lt;&gt;"",B467=""),"FALTA LANÇAMENTO",
AND(B467&lt;&gt;"",M467=""),"FALTA O PEDIDO",
AND(M467&lt;&gt;"",O467=""),"FALTA NF",
O467&lt;&gt;"","CONCLUÍDO")</f>
        <v>CONCLUÍDO</v>
      </c>
      <c r="R467" s="36"/>
    </row>
    <row r="468" spans="1:18" hidden="1">
      <c r="A468" s="16">
        <v>46062</v>
      </c>
      <c r="B468" s="16">
        <v>46065</v>
      </c>
      <c r="C468" s="21">
        <v>23220003</v>
      </c>
      <c r="D468" s="16" t="str">
        <f>IFERROR(VLOOKUP(Tabela5[[#This Row],[PREFIXO ]],Tabela4[#All],2,0),"CENTRO DE CUSTO")</f>
        <v>COLHED ALGODÃO JOHN DEERE CP 770</v>
      </c>
      <c r="E468" s="18" t="s">
        <v>17</v>
      </c>
      <c r="F468" s="21">
        <v>74330</v>
      </c>
      <c r="G468" s="22">
        <v>2810.6</v>
      </c>
      <c r="H468" s="22">
        <v>178.26</v>
      </c>
      <c r="I468" s="22">
        <f t="shared" si="8"/>
        <v>2988.8599999999997</v>
      </c>
      <c r="J468" s="18" t="s">
        <v>1123</v>
      </c>
      <c r="K468" s="18">
        <v>9763050</v>
      </c>
      <c r="L468" s="18">
        <v>862696</v>
      </c>
      <c r="M468" s="18" t="s">
        <v>1831</v>
      </c>
      <c r="N468" s="16" t="s">
        <v>1127</v>
      </c>
      <c r="O468" s="18" t="s">
        <v>1832</v>
      </c>
      <c r="P468" s="18" t="s">
        <v>1833</v>
      </c>
      <c r="Q468" s="29" t="str" cm="1">
        <f t="array" ref="Q468">_xlfn.IFS(
A468="","",
AND(A468&lt;&gt;"",B468=""),"FALTA LANÇAMENTO",
AND(B468&lt;&gt;"",M468=""),"FALTA O PEDIDO",
AND(M468&lt;&gt;"",O468=""),"FALTA NF",
O468&lt;&gt;"","CONCLUÍDO")</f>
        <v>CONCLUÍDO</v>
      </c>
      <c r="R468" s="36"/>
    </row>
    <row r="469" spans="1:18" hidden="1">
      <c r="A469" s="16">
        <v>46062</v>
      </c>
      <c r="B469" s="16">
        <v>46065</v>
      </c>
      <c r="C469" s="21">
        <v>13130045</v>
      </c>
      <c r="D469" s="16" t="str">
        <f>IFERROR(VLOOKUP(Tabela5[[#This Row],[PREFIXO ]],Tabela4[#All],2,0),"CENTRO DE CUSTO")</f>
        <v>PULV AUTOPROP JOHN DEERE M4030</v>
      </c>
      <c r="E469" s="18" t="s">
        <v>17</v>
      </c>
      <c r="F469" s="21">
        <v>42982</v>
      </c>
      <c r="G469" s="22">
        <v>2136.36</v>
      </c>
      <c r="H469" s="22"/>
      <c r="I469" s="22">
        <f t="shared" si="8"/>
        <v>2136.36</v>
      </c>
      <c r="J469" s="18" t="s">
        <v>1265</v>
      </c>
      <c r="K469" s="18">
        <v>9762641</v>
      </c>
      <c r="L469" s="18">
        <v>862709</v>
      </c>
      <c r="M469" s="18" t="s">
        <v>1834</v>
      </c>
      <c r="N469" s="16" t="s">
        <v>1127</v>
      </c>
      <c r="O469" s="18" t="s">
        <v>1835</v>
      </c>
      <c r="P469" s="18" t="s">
        <v>1556</v>
      </c>
      <c r="Q469" s="29" t="str" cm="1">
        <f t="array" ref="Q469">_xlfn.IFS(
A469="","",
AND(A469&lt;&gt;"",B469=""),"FALTA LANÇAMENTO",
AND(B469&lt;&gt;"",M469=""),"FALTA O PEDIDO",
AND(M469&lt;&gt;"",O469=""),"FALTA NF",
O469&lt;&gt;"","CONCLUÍDO")</f>
        <v>CONCLUÍDO</v>
      </c>
      <c r="R469" s="36"/>
    </row>
    <row r="470" spans="1:18" hidden="1">
      <c r="A470" s="16">
        <v>46062</v>
      </c>
      <c r="B470" s="16">
        <v>46069</v>
      </c>
      <c r="C470" s="21">
        <v>51519055</v>
      </c>
      <c r="D470" s="16" t="str">
        <f>IFERROR(VLOOKUP(Tabela5[[#This Row],[PREFIXO ]],Tabela4[#All],2,0),"CENTRO DE CUSTO")</f>
        <v>COLHED ALGODÃO JOHN DEERE CP 770</v>
      </c>
      <c r="E470" s="18" t="s">
        <v>17</v>
      </c>
      <c r="F470" s="21">
        <v>43309</v>
      </c>
      <c r="G470" s="22">
        <v>701.79</v>
      </c>
      <c r="H470" s="22">
        <v>697.2</v>
      </c>
      <c r="I470" s="22">
        <f t="shared" si="8"/>
        <v>1398.99</v>
      </c>
      <c r="J470" s="18" t="s">
        <v>1123</v>
      </c>
      <c r="K470" s="18">
        <v>9762803</v>
      </c>
      <c r="L470" s="18">
        <v>865009</v>
      </c>
      <c r="M470" s="18" t="s">
        <v>1836</v>
      </c>
      <c r="N470" s="16" t="s">
        <v>1556</v>
      </c>
      <c r="O470" s="18" t="s">
        <v>1837</v>
      </c>
      <c r="P470" s="18" t="s">
        <v>1838</v>
      </c>
      <c r="Q470" s="29" t="str" cm="1">
        <f t="array" ref="Q470">_xlfn.IFS(
A470="","",
AND(A470&lt;&gt;"",B470=""),"FALTA LANÇAMENTO",
AND(B470&lt;&gt;"",M470=""),"FALTA O PEDIDO",
AND(M470&lt;&gt;"",O470=""),"FALTA NF",
O470&lt;&gt;"","CONCLUÍDO")</f>
        <v>CONCLUÍDO</v>
      </c>
      <c r="R470" s="36"/>
    </row>
    <row r="471" spans="1:18" hidden="1">
      <c r="A471" s="16">
        <v>46062</v>
      </c>
      <c r="B471" s="16">
        <v>46071</v>
      </c>
      <c r="C471" s="21">
        <v>31521030</v>
      </c>
      <c r="D471" s="16" t="str">
        <f>IFERROR(VLOOKUP(Tabela5[[#This Row],[PREFIXO ]],Tabela4[#All],2,0),"CENTRO DE CUSTO")</f>
        <v>PULV AUTOPROP JACTO UNIPORT 3030</v>
      </c>
      <c r="E471" s="18" t="s">
        <v>34</v>
      </c>
      <c r="F471" s="21">
        <v>70096</v>
      </c>
      <c r="G471" s="22">
        <v>4850</v>
      </c>
      <c r="H471" s="22"/>
      <c r="I471" s="22">
        <f t="shared" si="8"/>
        <v>4850</v>
      </c>
      <c r="J471" s="18" t="s">
        <v>1080</v>
      </c>
      <c r="K471" s="18" t="s">
        <v>1134</v>
      </c>
      <c r="L471" s="18">
        <v>865593</v>
      </c>
      <c r="M471" s="18" t="s">
        <v>1839</v>
      </c>
      <c r="N471" s="16" t="s">
        <v>1597</v>
      </c>
      <c r="O471" s="18" t="s">
        <v>1840</v>
      </c>
      <c r="P471" s="18" t="s">
        <v>1486</v>
      </c>
      <c r="Q471" s="29" t="str" cm="1">
        <f t="array" ref="Q471">_xlfn.IFS(
A471="","",
AND(A471&lt;&gt;"",B471=""),"FALTA LANÇAMENTO",
AND(B471&lt;&gt;"",M471=""),"FALTA O PEDIDO",
AND(M471&lt;&gt;"",O471=""),"FALTA NF",
O471&lt;&gt;"","CONCLUÍDO")</f>
        <v>CONCLUÍDO</v>
      </c>
      <c r="R471" s="36"/>
    </row>
    <row r="472" spans="1:18" hidden="1">
      <c r="A472" s="16">
        <v>46062</v>
      </c>
      <c r="B472" s="16">
        <v>46070</v>
      </c>
      <c r="C472" s="21">
        <v>31521030</v>
      </c>
      <c r="D472" s="16" t="str">
        <f>IFERROR(VLOOKUP(Tabela5[[#This Row],[PREFIXO ]],Tabela4[#All],2,0),"CENTRO DE CUSTO")</f>
        <v>PULV AUTOPROP JACTO UNIPORT 3030</v>
      </c>
      <c r="E472" s="18" t="s">
        <v>34</v>
      </c>
      <c r="F472" s="21">
        <v>70097</v>
      </c>
      <c r="G472" s="22"/>
      <c r="H472" s="22">
        <v>2140</v>
      </c>
      <c r="I472" s="22">
        <f t="shared" si="8"/>
        <v>2140</v>
      </c>
      <c r="J472" s="18" t="s">
        <v>1080</v>
      </c>
      <c r="K472" s="18">
        <v>9762810</v>
      </c>
      <c r="L472" s="18">
        <v>865593</v>
      </c>
      <c r="M472" s="18" t="s">
        <v>1839</v>
      </c>
      <c r="N472" s="16" t="s">
        <v>1597</v>
      </c>
      <c r="O472" s="18" t="s">
        <v>1840</v>
      </c>
      <c r="P472" s="18" t="s">
        <v>1486</v>
      </c>
      <c r="Q472" s="29" t="str" cm="1">
        <f t="array" ref="Q472">_xlfn.IFS(
A472="","",
AND(A472&lt;&gt;"",B472=""),"FALTA LANÇAMENTO",
AND(B472&lt;&gt;"",M472=""),"FALTA O PEDIDO",
AND(M472&lt;&gt;"",O472=""),"FALTA NF",
O472&lt;&gt;"","CONCLUÍDO")</f>
        <v>CONCLUÍDO</v>
      </c>
      <c r="R472" s="36"/>
    </row>
    <row r="473" spans="1:18" hidden="1">
      <c r="A473" s="16">
        <v>46062</v>
      </c>
      <c r="B473" s="16">
        <v>46070</v>
      </c>
      <c r="C473" s="21">
        <v>31521030</v>
      </c>
      <c r="D473" s="16" t="str">
        <f>IFERROR(VLOOKUP(Tabela5[[#This Row],[PREFIXO ]],Tabela4[#All],2,0),"CENTRO DE CUSTO")</f>
        <v>PULV AUTOPROP JACTO UNIPORT 3030</v>
      </c>
      <c r="E473" s="18" t="s">
        <v>34</v>
      </c>
      <c r="F473" s="21">
        <v>40393</v>
      </c>
      <c r="G473" s="22">
        <v>1020</v>
      </c>
      <c r="H473" s="22"/>
      <c r="I473" s="22">
        <f t="shared" si="8"/>
        <v>1020</v>
      </c>
      <c r="J473" s="18" t="s">
        <v>1080</v>
      </c>
      <c r="K473" s="18">
        <v>9762810</v>
      </c>
      <c r="L473" s="18">
        <v>865593</v>
      </c>
      <c r="M473" s="18" t="s">
        <v>1841</v>
      </c>
      <c r="N473" s="16" t="s">
        <v>1597</v>
      </c>
      <c r="O473" s="18" t="s">
        <v>1842</v>
      </c>
      <c r="P473" s="18" t="s">
        <v>1597</v>
      </c>
      <c r="Q473" s="29" t="str" cm="1">
        <f t="array" ref="Q473">_xlfn.IFS(
A473="","",
AND(A473&lt;&gt;"",B473=""),"FALTA LANÇAMENTO",
AND(B473&lt;&gt;"",M473=""),"FALTA O PEDIDO",
AND(M473&lt;&gt;"",O473=""),"FALTA NF",
O473&lt;&gt;"","CONCLUÍDO")</f>
        <v>CONCLUÍDO</v>
      </c>
      <c r="R473" s="36"/>
    </row>
    <row r="474" spans="1:18" hidden="1">
      <c r="A474" s="16">
        <v>46062</v>
      </c>
      <c r="B474" s="16">
        <v>46065</v>
      </c>
      <c r="C474" s="21">
        <v>500580349</v>
      </c>
      <c r="D474" s="16" t="str">
        <f>IFERROR(VLOOKUP(Tabela5[[#This Row],[PREFIXO ]],Tabela4[#All],2,0),"CENTRO DE CUSTO")</f>
        <v>ADUBADORES AUTOPROPE</v>
      </c>
      <c r="E474" s="18" t="s">
        <v>51</v>
      </c>
      <c r="F474" s="21">
        <v>340</v>
      </c>
      <c r="G474" s="22">
        <v>35000</v>
      </c>
      <c r="H474" s="22"/>
      <c r="I474" s="22">
        <f t="shared" si="8"/>
        <v>35000</v>
      </c>
      <c r="J474" s="18" t="s">
        <v>1265</v>
      </c>
      <c r="K474" s="18">
        <v>5019361</v>
      </c>
      <c r="L474" s="18">
        <v>862533</v>
      </c>
      <c r="M474" s="18" t="s">
        <v>1843</v>
      </c>
      <c r="N474" s="16" t="s">
        <v>1127</v>
      </c>
      <c r="O474" s="18" t="s">
        <v>1303</v>
      </c>
      <c r="P474" s="18" t="s">
        <v>1127</v>
      </c>
      <c r="Q474" s="29" t="str" cm="1">
        <f t="array" ref="Q474">_xlfn.IFS(
A474="","",
AND(A474&lt;&gt;"",B474=""),"FALTA LANÇAMENTO",
AND(B474&lt;&gt;"",M474=""),"FALTA O PEDIDO",
AND(M474&lt;&gt;"",O474=""),"FALTA NF",
O474&lt;&gt;"","CONCLUÍDO")</f>
        <v>CONCLUÍDO</v>
      </c>
      <c r="R474" s="36"/>
    </row>
    <row r="475" spans="1:18" hidden="1">
      <c r="A475" s="16">
        <v>46062</v>
      </c>
      <c r="B475" s="16">
        <v>46069</v>
      </c>
      <c r="C475" s="21">
        <v>8181121</v>
      </c>
      <c r="D475" s="16" t="str">
        <f>IFERROR(VLOOKUP(Tabela5[[#This Row],[PREFIXO ]],Tabela4[#All],2,0),"CENTRO DE CUSTO")</f>
        <v>SULCADOR POWER 4,5 540RPM</v>
      </c>
      <c r="E475" s="18" t="s">
        <v>355</v>
      </c>
      <c r="F475" s="21">
        <v>6508</v>
      </c>
      <c r="G475" s="22">
        <v>4600</v>
      </c>
      <c r="H475" s="22"/>
      <c r="I475" s="22">
        <f t="shared" si="8"/>
        <v>4600</v>
      </c>
      <c r="J475" s="18" t="s">
        <v>1199</v>
      </c>
      <c r="K475" s="18">
        <v>9762643</v>
      </c>
      <c r="L475" s="18">
        <v>861974</v>
      </c>
      <c r="M475" s="18" t="s">
        <v>1844</v>
      </c>
      <c r="N475" s="16" t="s">
        <v>1556</v>
      </c>
      <c r="O475" s="18" t="s">
        <v>1730</v>
      </c>
      <c r="P475" s="18" t="s">
        <v>1556</v>
      </c>
      <c r="Q475" s="29" t="str" cm="1">
        <f t="array" ref="Q475">_xlfn.IFS(
A475="","",
AND(A475&lt;&gt;"",B475=""),"FALTA LANÇAMENTO",
AND(B475&lt;&gt;"",M475=""),"FALTA O PEDIDO",
AND(M475&lt;&gt;"",O475=""),"FALTA NF",
O475&lt;&gt;"","CONCLUÍDO")</f>
        <v>CONCLUÍDO</v>
      </c>
      <c r="R475" s="36"/>
    </row>
    <row r="476" spans="1:18" hidden="1">
      <c r="A476" s="16">
        <v>46062</v>
      </c>
      <c r="B476" s="16">
        <v>46064</v>
      </c>
      <c r="C476" s="21">
        <v>500580100</v>
      </c>
      <c r="D476" s="16" t="str">
        <f>IFERROR(VLOOKUP(Tabela5[[#This Row],[PREFIXO ]],Tabela4[#All],2,0),"CENTRO DE CUSTO")</f>
        <v>Autopropelidos</v>
      </c>
      <c r="E476" s="18" t="s">
        <v>66</v>
      </c>
      <c r="F476" s="21">
        <v>8755</v>
      </c>
      <c r="G476" s="22">
        <v>52500</v>
      </c>
      <c r="H476" s="22"/>
      <c r="I476" s="22">
        <f t="shared" si="8"/>
        <v>52500</v>
      </c>
      <c r="J476" s="18" t="s">
        <v>1265</v>
      </c>
      <c r="K476" s="18">
        <v>5019296</v>
      </c>
      <c r="L476" s="18">
        <v>861926</v>
      </c>
      <c r="M476" s="18" t="s">
        <v>1845</v>
      </c>
      <c r="N476" s="16" t="s">
        <v>1492</v>
      </c>
      <c r="O476" s="18" t="s">
        <v>1846</v>
      </c>
      <c r="P476" s="18" t="s">
        <v>1597</v>
      </c>
      <c r="Q476" s="29" t="str" cm="1">
        <f t="array" ref="Q476">_xlfn.IFS(
A476="","",
AND(A476&lt;&gt;"",B476=""),"FALTA LANÇAMENTO",
AND(B476&lt;&gt;"",M476=""),"FALTA O PEDIDO",
AND(M476&lt;&gt;"",O476=""),"FALTA NF",
O476&lt;&gt;"","CONCLUÍDO")</f>
        <v>CONCLUÍDO</v>
      </c>
      <c r="R476" s="36"/>
    </row>
    <row r="477" spans="1:18" hidden="1">
      <c r="A477" s="16">
        <v>46062</v>
      </c>
      <c r="B477" s="16">
        <v>46071</v>
      </c>
      <c r="C477" s="21">
        <v>151100003</v>
      </c>
      <c r="D477" s="16" t="str">
        <f>IFERROR(VLOOKUP(Tabela5[[#This Row],[PREFIXO ]],Tabela4[#All],2,0),"CENTRO DE CUSTO")</f>
        <v>CENTRO DE CUSTO</v>
      </c>
      <c r="E477" s="18" t="s">
        <v>66</v>
      </c>
      <c r="F477" s="21">
        <v>48615</v>
      </c>
      <c r="G477" s="22"/>
      <c r="H477" s="22">
        <v>7047.18</v>
      </c>
      <c r="I477" s="22">
        <f t="shared" si="8"/>
        <v>7047.18</v>
      </c>
      <c r="J477" s="18" t="s">
        <v>1265</v>
      </c>
      <c r="K477" s="18">
        <v>9762884</v>
      </c>
      <c r="L477" s="18">
        <v>867419</v>
      </c>
      <c r="M477" s="18" t="s">
        <v>1847</v>
      </c>
      <c r="N477" s="16" t="s">
        <v>1779</v>
      </c>
      <c r="O477" s="18" t="s">
        <v>1848</v>
      </c>
      <c r="P477" s="18" t="s">
        <v>1849</v>
      </c>
      <c r="Q477" s="29" t="str" cm="1">
        <f t="array" ref="Q477">_xlfn.IFS(
A477="","",
AND(A477&lt;&gt;"",B477=""),"FALTA LANÇAMENTO",
AND(B477&lt;&gt;"",M477=""),"FALTA O PEDIDO",
AND(M477&lt;&gt;"",O477=""),"FALTA NF",
O477&lt;&gt;"","CONCLUÍDO")</f>
        <v>CONCLUÍDO</v>
      </c>
      <c r="R477" s="36"/>
    </row>
    <row r="478" spans="1:18" hidden="1">
      <c r="A478" s="16">
        <v>46062</v>
      </c>
      <c r="B478" s="16">
        <v>46071</v>
      </c>
      <c r="C478" s="21">
        <v>151100003</v>
      </c>
      <c r="D478" s="16" t="str">
        <f>IFERROR(VLOOKUP(Tabela5[[#This Row],[PREFIXO ]],Tabela4[#All],2,0),"CENTRO DE CUSTO")</f>
        <v>CENTRO DE CUSTO</v>
      </c>
      <c r="E478" s="18" t="s">
        <v>66</v>
      </c>
      <c r="F478" s="21">
        <v>8795</v>
      </c>
      <c r="G478" s="22">
        <v>150</v>
      </c>
      <c r="H478" s="22"/>
      <c r="I478" s="22">
        <f t="shared" si="8"/>
        <v>150</v>
      </c>
      <c r="J478" s="18" t="s">
        <v>1265</v>
      </c>
      <c r="K478" s="18">
        <v>9762884</v>
      </c>
      <c r="L478" s="18">
        <v>867419</v>
      </c>
      <c r="M478" s="18" t="s">
        <v>1847</v>
      </c>
      <c r="N478" s="16" t="s">
        <v>1779</v>
      </c>
      <c r="O478" s="18" t="s">
        <v>1848</v>
      </c>
      <c r="P478" s="18" t="s">
        <v>1849</v>
      </c>
      <c r="Q478" s="29" t="str" cm="1">
        <f t="array" ref="Q478">_xlfn.IFS(
A478="","",
AND(A478&lt;&gt;"",B478=""),"FALTA LANÇAMENTO",
AND(B478&lt;&gt;"",M478=""),"FALTA O PEDIDO",
AND(M478&lt;&gt;"",O478=""),"FALTA NF",
O478&lt;&gt;"","CONCLUÍDO")</f>
        <v>CONCLUÍDO</v>
      </c>
      <c r="R478" s="36"/>
    </row>
    <row r="479" spans="1:18" hidden="1">
      <c r="A479" s="16">
        <v>46062</v>
      </c>
      <c r="B479" s="16">
        <v>46064</v>
      </c>
      <c r="C479" s="21">
        <v>500580263</v>
      </c>
      <c r="D479" s="16" t="str">
        <f>IFERROR(VLOOKUP(Tabela5[[#This Row],[PREFIXO ]],Tabela4[#All],2,0),"CENTRO DE CUSTO")</f>
        <v>Colheit. Grãos-Axial</v>
      </c>
      <c r="E479" s="18" t="s">
        <v>67</v>
      </c>
      <c r="F479" s="21">
        <v>86</v>
      </c>
      <c r="G479" s="22">
        <v>8256</v>
      </c>
      <c r="H479" s="22"/>
      <c r="I479" s="22">
        <f t="shared" si="8"/>
        <v>8256</v>
      </c>
      <c r="J479" s="18" t="s">
        <v>1123</v>
      </c>
      <c r="K479" s="18">
        <v>5019360</v>
      </c>
      <c r="L479" s="18">
        <v>860514</v>
      </c>
      <c r="M479" s="18" t="s">
        <v>1850</v>
      </c>
      <c r="N479" s="16" t="s">
        <v>1492</v>
      </c>
      <c r="O479" s="18" t="s">
        <v>1851</v>
      </c>
      <c r="P479" s="18" t="s">
        <v>1127</v>
      </c>
      <c r="Q479" s="29" t="str" cm="1">
        <f t="array" ref="Q479">_xlfn.IFS(
A479="","",
AND(A479&lt;&gt;"",B479=""),"FALTA LANÇAMENTO",
AND(B479&lt;&gt;"",M479=""),"FALTA O PEDIDO",
AND(M479&lt;&gt;"",O479=""),"FALTA NF",
O479&lt;&gt;"","CONCLUÍDO")</f>
        <v>CONCLUÍDO</v>
      </c>
      <c r="R479" s="36"/>
    </row>
    <row r="480" spans="1:18" hidden="1">
      <c r="A480" s="16">
        <v>46062</v>
      </c>
      <c r="B480" s="16">
        <v>46066</v>
      </c>
      <c r="C480" s="21" t="s">
        <v>1852</v>
      </c>
      <c r="D480" s="16" t="str">
        <f>IFERROR(VLOOKUP(Tabela5[[#This Row],[PREFIXO ]],Tabela4[#All],2,0),"CENTRO DE CUSTO")</f>
        <v>CENTRO DE CUSTO</v>
      </c>
      <c r="E480" s="18" t="s">
        <v>67</v>
      </c>
      <c r="F480" s="21">
        <v>90</v>
      </c>
      <c r="G480" s="22">
        <v>2000</v>
      </c>
      <c r="H480" s="22">
        <v>5300</v>
      </c>
      <c r="I480" s="22">
        <f t="shared" si="8"/>
        <v>7300</v>
      </c>
      <c r="J480" s="18" t="s">
        <v>1080</v>
      </c>
      <c r="K480" s="18" t="s">
        <v>1853</v>
      </c>
      <c r="L480" s="18">
        <v>863876</v>
      </c>
      <c r="M480" s="18" t="s">
        <v>1854</v>
      </c>
      <c r="N480" s="16" t="s">
        <v>1814</v>
      </c>
      <c r="O480" s="18" t="s">
        <v>1855</v>
      </c>
      <c r="P480" s="18" t="s">
        <v>1486</v>
      </c>
      <c r="Q480" s="29" t="str" cm="1">
        <f t="array" ref="Q480">_xlfn.IFS(
A480="","",
AND(A480&lt;&gt;"",B480=""),"FALTA LANÇAMENTO",
AND(B480&lt;&gt;"",M480=""),"FALTA O PEDIDO",
AND(M480&lt;&gt;"",O480=""),"FALTA NF",
O480&lt;&gt;"","CONCLUÍDO")</f>
        <v>CONCLUÍDO</v>
      </c>
      <c r="R480" s="36"/>
    </row>
    <row r="481" spans="1:18" hidden="1">
      <c r="A481" s="16">
        <v>46062</v>
      </c>
      <c r="B481" s="16">
        <v>46064</v>
      </c>
      <c r="C481" s="21">
        <v>500580263</v>
      </c>
      <c r="D481" s="16" t="str">
        <f>IFERROR(VLOOKUP(Tabela5[[#This Row],[PREFIXO ]],Tabela4[#All],2,0),"CENTRO DE CUSTO")</f>
        <v>Colheit. Grãos-Axial</v>
      </c>
      <c r="E481" s="18" t="s">
        <v>67</v>
      </c>
      <c r="F481" s="21">
        <v>91</v>
      </c>
      <c r="G481" s="22">
        <v>5504</v>
      </c>
      <c r="H481" s="22"/>
      <c r="I481" s="22">
        <f t="shared" si="8"/>
        <v>5504</v>
      </c>
      <c r="J481" s="18" t="s">
        <v>1123</v>
      </c>
      <c r="K481" s="18">
        <v>5019297</v>
      </c>
      <c r="L481" s="18">
        <v>861936</v>
      </c>
      <c r="M481" s="18" t="s">
        <v>1856</v>
      </c>
      <c r="N481" s="16" t="s">
        <v>1492</v>
      </c>
      <c r="O481" s="18" t="s">
        <v>1857</v>
      </c>
      <c r="P481" s="18" t="s">
        <v>1127</v>
      </c>
      <c r="Q481" s="29" t="str" cm="1">
        <f t="array" ref="Q481">_xlfn.IFS(
A481="","",
AND(A481&lt;&gt;"",B481=""),"FALTA LANÇAMENTO",
AND(B481&lt;&gt;"",M481=""),"FALTA O PEDIDO",
AND(M481&lt;&gt;"",O481=""),"FALTA NF",
O481&lt;&gt;"","CONCLUÍDO")</f>
        <v>CONCLUÍDO</v>
      </c>
      <c r="R481" s="36"/>
    </row>
    <row r="482" spans="1:18" hidden="1">
      <c r="A482" s="16">
        <v>46062</v>
      </c>
      <c r="B482" s="16">
        <v>46064</v>
      </c>
      <c r="C482" s="21">
        <v>500580263</v>
      </c>
      <c r="D482" s="16" t="str">
        <f>IFERROR(VLOOKUP(Tabela5[[#This Row],[PREFIXO ]],Tabela4[#All],2,0),"CENTRO DE CUSTO")</f>
        <v>Colheit. Grãos-Axial</v>
      </c>
      <c r="E482" s="18" t="s">
        <v>67</v>
      </c>
      <c r="F482" s="21">
        <v>89</v>
      </c>
      <c r="G482" s="22">
        <v>2017</v>
      </c>
      <c r="H482" s="22"/>
      <c r="I482" s="22">
        <f t="shared" si="8"/>
        <v>2017</v>
      </c>
      <c r="J482" s="18" t="s">
        <v>1123</v>
      </c>
      <c r="K482" s="18">
        <v>5019299</v>
      </c>
      <c r="L482" s="18">
        <v>861929</v>
      </c>
      <c r="M482" s="18" t="s">
        <v>1858</v>
      </c>
      <c r="N482" s="16" t="s">
        <v>1492</v>
      </c>
      <c r="O482" s="18" t="s">
        <v>1859</v>
      </c>
      <c r="P482" s="18" t="s">
        <v>1127</v>
      </c>
      <c r="Q482" s="29" t="str" cm="1">
        <f t="array" ref="Q482">_xlfn.IFS(
A482="","",
AND(A482&lt;&gt;"",B482=""),"FALTA LANÇAMENTO",
AND(B482&lt;&gt;"",M482=""),"FALTA O PEDIDO",
AND(M482&lt;&gt;"",O482=""),"FALTA NF",
O482&lt;&gt;"","CONCLUÍDO")</f>
        <v>CONCLUÍDO</v>
      </c>
      <c r="R482" s="36"/>
    </row>
    <row r="483" spans="1:18" hidden="1">
      <c r="A483" s="16">
        <v>46062</v>
      </c>
      <c r="B483" s="16">
        <v>46064</v>
      </c>
      <c r="C483" s="21">
        <v>13130045</v>
      </c>
      <c r="D483" s="16" t="str">
        <f>IFERROR(VLOOKUP(Tabela5[[#This Row],[PREFIXO ]],Tabela4[#All],2,0),"CENTRO DE CUSTO")</f>
        <v>PULV AUTOPROP JOHN DEERE M4030</v>
      </c>
      <c r="E483" s="18" t="s">
        <v>67</v>
      </c>
      <c r="F483" s="21">
        <v>88</v>
      </c>
      <c r="G483" s="22">
        <v>1817.16</v>
      </c>
      <c r="H483" s="22"/>
      <c r="I483" s="22">
        <f t="shared" si="8"/>
        <v>1817.16</v>
      </c>
      <c r="J483" s="18" t="s">
        <v>1080</v>
      </c>
      <c r="K483" s="18">
        <v>9762640</v>
      </c>
      <c r="L483" s="18">
        <v>862034</v>
      </c>
      <c r="M483" s="18" t="s">
        <v>1860</v>
      </c>
      <c r="N483" s="16" t="s">
        <v>1492</v>
      </c>
      <c r="O483" s="18" t="s">
        <v>1861</v>
      </c>
      <c r="P483" s="18" t="s">
        <v>1127</v>
      </c>
      <c r="Q483" s="29" t="str" cm="1">
        <f t="array" ref="Q483">_xlfn.IFS(
A483="","",
AND(A483&lt;&gt;"",B483=""),"FALTA LANÇAMENTO",
AND(B483&lt;&gt;"",M483=""),"FALTA O PEDIDO",
AND(M483&lt;&gt;"",O483=""),"FALTA NF",
O483&lt;&gt;"","CONCLUÍDO")</f>
        <v>CONCLUÍDO</v>
      </c>
      <c r="R483" s="36"/>
    </row>
    <row r="484" spans="1:18" hidden="1">
      <c r="A484" s="16">
        <v>46062</v>
      </c>
      <c r="B484" s="16">
        <v>46064</v>
      </c>
      <c r="C484" s="21">
        <v>31521014</v>
      </c>
      <c r="D484" s="16" t="str">
        <f>IFERROR(VLOOKUP(Tabela5[[#This Row],[PREFIXO ]],Tabela4[#All],2,0),"CENTRO DE CUSTO")</f>
        <v>PULV AUTOPROP JACTO UNIPORT 3030</v>
      </c>
      <c r="E484" s="18" t="s">
        <v>67</v>
      </c>
      <c r="F484" s="21">
        <v>82</v>
      </c>
      <c r="G484" s="22">
        <v>1750</v>
      </c>
      <c r="H484" s="22"/>
      <c r="I484" s="22">
        <f t="shared" si="8"/>
        <v>1750</v>
      </c>
      <c r="J484" s="18" t="s">
        <v>1265</v>
      </c>
      <c r="K484" s="18">
        <v>9762642</v>
      </c>
      <c r="L484" s="18">
        <v>861994</v>
      </c>
      <c r="M484" s="18" t="s">
        <v>1862</v>
      </c>
      <c r="N484" s="16" t="s">
        <v>1492</v>
      </c>
      <c r="O484" s="18" t="s">
        <v>1863</v>
      </c>
      <c r="P484" s="18" t="s">
        <v>1127</v>
      </c>
      <c r="Q484" s="29" t="str" cm="1">
        <f t="array" ref="Q484">_xlfn.IFS(
A484="","",
AND(A484&lt;&gt;"",B484=""),"FALTA LANÇAMENTO",
AND(B484&lt;&gt;"",M484=""),"FALTA O PEDIDO",
AND(M484&lt;&gt;"",O484=""),"FALTA NF",
O484&lt;&gt;"","CONCLUÍDO")</f>
        <v>CONCLUÍDO</v>
      </c>
      <c r="R484" s="36"/>
    </row>
    <row r="485" spans="1:18" hidden="1">
      <c r="A485" s="16">
        <v>46062</v>
      </c>
      <c r="B485" s="16">
        <v>46070</v>
      </c>
      <c r="C485" s="21">
        <v>500580263</v>
      </c>
      <c r="D485" s="16" t="str">
        <f>IFERROR(VLOOKUP(Tabela5[[#This Row],[PREFIXO ]],Tabela4[#All],2,0),"CENTRO DE CUSTO")</f>
        <v>Colheit. Grãos-Axial</v>
      </c>
      <c r="E485" s="18" t="s">
        <v>67</v>
      </c>
      <c r="F485" s="21">
        <v>87</v>
      </c>
      <c r="G485" s="22">
        <v>250</v>
      </c>
      <c r="H485" s="22">
        <v>1250</v>
      </c>
      <c r="I485" s="22">
        <f t="shared" si="8"/>
        <v>1500</v>
      </c>
      <c r="J485" s="18" t="s">
        <v>1080</v>
      </c>
      <c r="K485" s="18">
        <v>5019406</v>
      </c>
      <c r="L485" s="18">
        <v>865539</v>
      </c>
      <c r="M485" s="18" t="s">
        <v>1864</v>
      </c>
      <c r="N485" s="16" t="s">
        <v>1597</v>
      </c>
      <c r="O485" s="18" t="s">
        <v>1865</v>
      </c>
      <c r="P485" s="18" t="s">
        <v>1486</v>
      </c>
      <c r="Q485" s="29" t="str" cm="1">
        <f t="array" ref="Q485">_xlfn.IFS(
A485="","",
AND(A485&lt;&gt;"",B485=""),"FALTA LANÇAMENTO",
AND(B485&lt;&gt;"",M485=""),"FALTA O PEDIDO",
AND(M485&lt;&gt;"",O485=""),"FALTA NF",
O485&lt;&gt;"","CONCLUÍDO")</f>
        <v>CONCLUÍDO</v>
      </c>
      <c r="R485" s="36"/>
    </row>
    <row r="486" spans="1:18" hidden="1">
      <c r="A486" s="16">
        <v>46062</v>
      </c>
      <c r="B486" s="16">
        <v>46066</v>
      </c>
      <c r="C486" s="21">
        <v>23050008</v>
      </c>
      <c r="D486" s="16" t="str">
        <f>IFERROR(VLOOKUP(Tabela5[[#This Row],[PREFIXO ]],Tabela4[#All],2,0),"CENTRO DE CUSTO")</f>
        <v>PA CARREGADEIRA JOHN DEERE 524 K II</v>
      </c>
      <c r="E486" s="18" t="s">
        <v>173</v>
      </c>
      <c r="F486" s="21">
        <v>582</v>
      </c>
      <c r="G486" s="22">
        <v>941.8</v>
      </c>
      <c r="H486" s="22">
        <v>2359.94</v>
      </c>
      <c r="I486" s="22">
        <f t="shared" si="8"/>
        <v>3301.74</v>
      </c>
      <c r="J486" s="18" t="s">
        <v>1265</v>
      </c>
      <c r="K486" s="18">
        <v>9762817</v>
      </c>
      <c r="L486" s="18">
        <v>863938</v>
      </c>
      <c r="M486" s="18" t="s">
        <v>1866</v>
      </c>
      <c r="N486" s="16" t="s">
        <v>1814</v>
      </c>
      <c r="O486" s="18" t="s">
        <v>1867</v>
      </c>
      <c r="P486" s="18" t="s">
        <v>1614</v>
      </c>
      <c r="Q486" s="29" t="str" cm="1">
        <f t="array" ref="Q486">_xlfn.IFS(
A486="","",
AND(A486&lt;&gt;"",B486=""),"FALTA LANÇAMENTO",
AND(B486&lt;&gt;"",M486=""),"FALTA O PEDIDO",
AND(M486&lt;&gt;"",O486=""),"FALTA NF",
O486&lt;&gt;"","CONCLUÍDO")</f>
        <v>CONCLUÍDO</v>
      </c>
      <c r="R486" s="36"/>
    </row>
    <row r="487" spans="1:18" hidden="1">
      <c r="A487" s="16">
        <v>46062</v>
      </c>
      <c r="B487" s="16">
        <v>46066</v>
      </c>
      <c r="C487" s="21">
        <v>61521049</v>
      </c>
      <c r="D487" s="16" t="str">
        <f>IFERROR(VLOOKUP(Tabela5[[#This Row],[PREFIXO ]],Tabela4[#All],2,0),"CENTRO DE CUSTO")</f>
        <v>PA CARREGADEIRA JOHN DEERE 524 K II</v>
      </c>
      <c r="E487" s="18" t="s">
        <v>173</v>
      </c>
      <c r="F487" s="21">
        <v>581</v>
      </c>
      <c r="G487" s="22">
        <v>941.8</v>
      </c>
      <c r="H487" s="22">
        <v>2359.94</v>
      </c>
      <c r="I487" s="22">
        <f t="shared" si="8"/>
        <v>3301.74</v>
      </c>
      <c r="J487" s="18" t="s">
        <v>1265</v>
      </c>
      <c r="K487" s="18">
        <v>9762883</v>
      </c>
      <c r="L487" s="18">
        <v>863921</v>
      </c>
      <c r="M487" s="18" t="s">
        <v>1868</v>
      </c>
      <c r="N487" s="16" t="s">
        <v>1814</v>
      </c>
      <c r="O487" s="18" t="s">
        <v>1869</v>
      </c>
      <c r="P487" s="18" t="s">
        <v>1614</v>
      </c>
      <c r="Q487" s="29" t="str" cm="1">
        <f t="array" ref="Q487">_xlfn.IFS(
A487="","",
AND(A487&lt;&gt;"",B487=""),"FALTA LANÇAMENTO",
AND(B487&lt;&gt;"",M487=""),"FALTA O PEDIDO",
AND(M487&lt;&gt;"",O487=""),"FALTA NF",
O487&lt;&gt;"","CONCLUÍDO")</f>
        <v>CONCLUÍDO</v>
      </c>
      <c r="R487" s="36"/>
    </row>
    <row r="488" spans="1:18" hidden="1">
      <c r="A488" s="16">
        <v>46062</v>
      </c>
      <c r="B488" s="16">
        <v>46094</v>
      </c>
      <c r="C488" s="21">
        <v>13150024</v>
      </c>
      <c r="D488" s="16" t="str">
        <f>IFERROR(VLOOKUP(Tabela5[[#This Row],[PREFIXO ]],Tabela4[#All],2,0),"CENTRO DE CUSTO")</f>
        <v>CENTRO DE CUSTO</v>
      </c>
      <c r="E488" s="18" t="s">
        <v>96</v>
      </c>
      <c r="F488" s="21">
        <v>15150</v>
      </c>
      <c r="G488" s="22"/>
      <c r="H488" s="22">
        <v>5846.27</v>
      </c>
      <c r="I488" s="22">
        <f t="shared" si="8"/>
        <v>5846.27</v>
      </c>
      <c r="J488" s="18" t="s">
        <v>1265</v>
      </c>
      <c r="K488" s="18">
        <v>9763659</v>
      </c>
      <c r="L488" s="18">
        <v>886070</v>
      </c>
      <c r="M488" s="18" t="s">
        <v>1870</v>
      </c>
      <c r="N488" s="16" t="s">
        <v>1871</v>
      </c>
      <c r="O488" s="18" t="s">
        <v>1872</v>
      </c>
      <c r="P488" s="18" t="s">
        <v>1873</v>
      </c>
      <c r="Q488" s="29" t="str" cm="1">
        <f t="array" ref="Q488">_xlfn.IFS(
A488="","",
AND(A488&lt;&gt;"",B488=""),"FALTA LANÇAMENTO",
AND(B488&lt;&gt;"",M488=""),"FALTA O PEDIDO",
AND(M488&lt;&gt;"",O488=""),"FALTA NF",
O488&lt;&gt;"","CONCLUÍDO")</f>
        <v>CONCLUÍDO</v>
      </c>
      <c r="R488" s="36"/>
    </row>
    <row r="489" spans="1:18" hidden="1">
      <c r="A489" s="16">
        <v>46062</v>
      </c>
      <c r="B489" s="16">
        <v>46077</v>
      </c>
      <c r="C489" s="21">
        <v>31521041</v>
      </c>
      <c r="D489" s="16" t="str">
        <f>IFERROR(VLOOKUP(Tabela5[[#This Row],[PREFIXO ]],Tabela4[#All],2,0),"CENTRO DE CUSTO")</f>
        <v>ADUB AUTOPROP KUHN ACCURA ST 7000</v>
      </c>
      <c r="E489" s="18" t="s">
        <v>96</v>
      </c>
      <c r="F489" s="21">
        <v>14716</v>
      </c>
      <c r="G489" s="22"/>
      <c r="H489" s="22">
        <v>4305.91</v>
      </c>
      <c r="I489" s="22">
        <f t="shared" si="8"/>
        <v>4305.91</v>
      </c>
      <c r="J489" s="18" t="s">
        <v>1265</v>
      </c>
      <c r="K489" s="18">
        <v>9763686</v>
      </c>
      <c r="L489" s="18">
        <v>872155</v>
      </c>
      <c r="M489" s="18" t="s">
        <v>1874</v>
      </c>
      <c r="N489" s="16" t="s">
        <v>1875</v>
      </c>
      <c r="O489" s="18" t="s">
        <v>1876</v>
      </c>
      <c r="P489" s="18" t="s">
        <v>1700</v>
      </c>
      <c r="Q489" s="29" t="str" cm="1">
        <f t="array" ref="Q489">_xlfn.IFS(
A489="","",
AND(A489&lt;&gt;"",B489=""),"FALTA LANÇAMENTO",
AND(B489&lt;&gt;"",M489=""),"FALTA O PEDIDO",
AND(M489&lt;&gt;"",O489=""),"FALTA NF",
O489&lt;&gt;"","CONCLUÍDO")</f>
        <v>CONCLUÍDO</v>
      </c>
      <c r="R489" s="36"/>
    </row>
    <row r="490" spans="1:18" hidden="1">
      <c r="A490" s="16">
        <v>46062</v>
      </c>
      <c r="B490" s="16">
        <v>46077</v>
      </c>
      <c r="C490" s="21">
        <v>31521040</v>
      </c>
      <c r="D490" s="16" t="str">
        <f>IFERROR(VLOOKUP(Tabela5[[#This Row],[PREFIXO ]],Tabela4[#All],2,0),"CENTRO DE CUSTO")</f>
        <v>ADUB AUTOPROP KUHN ACCURA ST 7000</v>
      </c>
      <c r="E490" s="18" t="s">
        <v>96</v>
      </c>
      <c r="F490" s="21">
        <v>3929</v>
      </c>
      <c r="G490" s="22">
        <v>3929</v>
      </c>
      <c r="H490" s="22"/>
      <c r="I490" s="22">
        <f t="shared" si="8"/>
        <v>3929</v>
      </c>
      <c r="J490" s="18" t="s">
        <v>1265</v>
      </c>
      <c r="K490" s="18">
        <v>9763681</v>
      </c>
      <c r="L490" s="18">
        <v>871764</v>
      </c>
      <c r="M490" s="18" t="s">
        <v>1877</v>
      </c>
      <c r="N490" s="16" t="s">
        <v>1875</v>
      </c>
      <c r="O490" s="18" t="s">
        <v>1878</v>
      </c>
      <c r="P490" s="18" t="s">
        <v>1879</v>
      </c>
      <c r="Q490" s="29" t="str" cm="1">
        <f t="array" ref="Q490">_xlfn.IFS(
A490="","",
AND(A490&lt;&gt;"",B490=""),"FALTA LANÇAMENTO",
AND(B490&lt;&gt;"",M490=""),"FALTA O PEDIDO",
AND(M490&lt;&gt;"",O490=""),"FALTA NF",
O490&lt;&gt;"","CONCLUÍDO")</f>
        <v>CONCLUÍDO</v>
      </c>
      <c r="R490" s="36"/>
    </row>
    <row r="491" spans="1:18" hidden="1">
      <c r="A491" s="16">
        <v>46062</v>
      </c>
      <c r="B491" s="16">
        <v>46077</v>
      </c>
      <c r="C491" s="21">
        <v>31521041</v>
      </c>
      <c r="D491" s="16" t="str">
        <f>IFERROR(VLOOKUP(Tabela5[[#This Row],[PREFIXO ]],Tabela4[#All],2,0),"CENTRO DE CUSTO")</f>
        <v>ADUB AUTOPROP KUHN ACCURA ST 7000</v>
      </c>
      <c r="E491" s="18" t="s">
        <v>96</v>
      </c>
      <c r="F491" s="21">
        <v>3892</v>
      </c>
      <c r="G491" s="22">
        <v>2430</v>
      </c>
      <c r="H491" s="22"/>
      <c r="I491" s="22">
        <f t="shared" si="8"/>
        <v>2430</v>
      </c>
      <c r="J491" s="18" t="s">
        <v>1265</v>
      </c>
      <c r="K491" s="18">
        <v>9763686</v>
      </c>
      <c r="L491" s="18">
        <v>872155</v>
      </c>
      <c r="M491" s="18" t="s">
        <v>1880</v>
      </c>
      <c r="N491" s="16" t="s">
        <v>1875</v>
      </c>
      <c r="O491" s="18" t="s">
        <v>1881</v>
      </c>
      <c r="P491" s="18" t="s">
        <v>1489</v>
      </c>
      <c r="Q491" s="29" t="str" cm="1">
        <f t="array" ref="Q491">_xlfn.IFS(
A491="","",
AND(A491&lt;&gt;"",B491=""),"FALTA LANÇAMENTO",
AND(B491&lt;&gt;"",M491=""),"FALTA O PEDIDO",
AND(M491&lt;&gt;"",O491=""),"FALTA NF",
O491&lt;&gt;"","CONCLUÍDO")</f>
        <v>CONCLUÍDO</v>
      </c>
      <c r="R491" s="36"/>
    </row>
    <row r="492" spans="1:18" hidden="1">
      <c r="A492" s="16">
        <v>46062</v>
      </c>
      <c r="B492" s="16">
        <v>46077</v>
      </c>
      <c r="C492" s="21">
        <v>31521040</v>
      </c>
      <c r="D492" s="16" t="str">
        <f>IFERROR(VLOOKUP(Tabela5[[#This Row],[PREFIXO ]],Tabela4[#All],2,0),"CENTRO DE CUSTO")</f>
        <v>ADUB AUTOPROP KUHN ACCURA ST 7000</v>
      </c>
      <c r="E492" s="18" t="s">
        <v>96</v>
      </c>
      <c r="F492" s="21">
        <v>14879</v>
      </c>
      <c r="G492" s="22"/>
      <c r="H492" s="22">
        <v>1297.75</v>
      </c>
      <c r="I492" s="22">
        <f t="shared" si="8"/>
        <v>1297.75</v>
      </c>
      <c r="J492" s="18" t="s">
        <v>1265</v>
      </c>
      <c r="K492" s="18">
        <v>9763681</v>
      </c>
      <c r="L492" s="18">
        <v>871764</v>
      </c>
      <c r="M492" s="18" t="s">
        <v>1882</v>
      </c>
      <c r="N492" s="16" t="s">
        <v>1875</v>
      </c>
      <c r="O492" s="18" t="s">
        <v>1883</v>
      </c>
      <c r="P492" s="18" t="s">
        <v>1489</v>
      </c>
      <c r="Q492" s="29" t="str" cm="1">
        <f t="array" ref="Q492">_xlfn.IFS(
A492="","",
AND(A492&lt;&gt;"",B492=""),"FALTA LANÇAMENTO",
AND(B492&lt;&gt;"",M492=""),"FALTA O PEDIDO",
AND(M492&lt;&gt;"",O492=""),"FALTA NF",
O492&lt;&gt;"","CONCLUÍDO")</f>
        <v>CONCLUÍDO</v>
      </c>
      <c r="R492" s="36"/>
    </row>
    <row r="493" spans="1:18" hidden="1">
      <c r="A493" s="16">
        <v>46062</v>
      </c>
      <c r="B493" s="16">
        <v>46077</v>
      </c>
      <c r="C493" s="21">
        <v>51519030</v>
      </c>
      <c r="D493" s="16" t="str">
        <f>IFERROR(VLOOKUP(Tabela5[[#This Row],[PREFIXO ]],Tabela4[#All],2,0),"CENTRO DE CUSTO")</f>
        <v>COLHEIT DE GRÃOS N.HOLLAND CR 8.90</v>
      </c>
      <c r="E493" s="18" t="s">
        <v>96</v>
      </c>
      <c r="F493" s="21">
        <v>15068</v>
      </c>
      <c r="G493" s="22"/>
      <c r="H493" s="22">
        <v>1222.9000000000001</v>
      </c>
      <c r="I493" s="22">
        <f t="shared" si="8"/>
        <v>1222.9000000000001</v>
      </c>
      <c r="J493" s="18" t="s">
        <v>1123</v>
      </c>
      <c r="K493" s="18">
        <v>9763648</v>
      </c>
      <c r="L493" s="18">
        <v>871617</v>
      </c>
      <c r="M493" s="18" t="s">
        <v>1884</v>
      </c>
      <c r="N493" s="16" t="s">
        <v>1885</v>
      </c>
      <c r="O493" s="18" t="s">
        <v>1886</v>
      </c>
      <c r="P493" s="18" t="s">
        <v>1700</v>
      </c>
      <c r="Q493" s="29" t="str" cm="1">
        <f t="array" ref="Q493">_xlfn.IFS(
A493="","",
AND(A493&lt;&gt;"",B493=""),"FALTA LANÇAMENTO",
AND(B493&lt;&gt;"",M493=""),"FALTA O PEDIDO",
AND(M493&lt;&gt;"",O493=""),"FALTA NF",
O493&lt;&gt;"","CONCLUÍDO")</f>
        <v>CONCLUÍDO</v>
      </c>
      <c r="R493" s="36"/>
    </row>
    <row r="494" spans="1:18" hidden="1">
      <c r="A494" s="16">
        <v>46062</v>
      </c>
      <c r="B494" s="16">
        <v>46077</v>
      </c>
      <c r="C494" s="21">
        <v>31521010</v>
      </c>
      <c r="D494" s="16" t="str">
        <f>IFERROR(VLOOKUP(Tabela5[[#This Row],[PREFIXO ]],Tabela4[#All],2,0),"CENTRO DE CUSTO")</f>
        <v>PULV AUTOPROP JACTO UNIPORT 3030</v>
      </c>
      <c r="E494" s="18" t="s">
        <v>96</v>
      </c>
      <c r="F494" s="21">
        <v>15110</v>
      </c>
      <c r="G494" s="22"/>
      <c r="H494" s="22">
        <v>946.12</v>
      </c>
      <c r="I494" s="22">
        <f t="shared" si="8"/>
        <v>946.12</v>
      </c>
      <c r="J494" s="18" t="s">
        <v>1265</v>
      </c>
      <c r="K494" s="18">
        <v>9763656</v>
      </c>
      <c r="L494" s="18">
        <v>872043</v>
      </c>
      <c r="M494" s="18" t="s">
        <v>1887</v>
      </c>
      <c r="N494" s="16" t="s">
        <v>1885</v>
      </c>
      <c r="O494" s="18" t="s">
        <v>1888</v>
      </c>
      <c r="P494" s="18" t="s">
        <v>1700</v>
      </c>
      <c r="Q494" s="29" t="str" cm="1">
        <f t="array" ref="Q494">_xlfn.IFS(
A494="","",
AND(A494&lt;&gt;"",B494=""),"FALTA LANÇAMENTO",
AND(B494&lt;&gt;"",M494=""),"FALTA O PEDIDO",
AND(M494&lt;&gt;"",O494=""),"FALTA NF",
O494&lt;&gt;"","CONCLUÍDO")</f>
        <v>CONCLUÍDO</v>
      </c>
      <c r="R494" s="36"/>
    </row>
    <row r="495" spans="1:18" hidden="1">
      <c r="A495" s="16">
        <v>46062</v>
      </c>
      <c r="B495" s="16">
        <v>46077</v>
      </c>
      <c r="C495" s="21">
        <v>31521010</v>
      </c>
      <c r="D495" s="16" t="str">
        <f>IFERROR(VLOOKUP(Tabela5[[#This Row],[PREFIXO ]],Tabela4[#All],2,0),"CENTRO DE CUSTO")</f>
        <v>PULV AUTOPROP JACTO UNIPORT 3030</v>
      </c>
      <c r="E495" s="18" t="s">
        <v>96</v>
      </c>
      <c r="F495" s="21">
        <v>4038</v>
      </c>
      <c r="G495" s="22">
        <v>936</v>
      </c>
      <c r="H495" s="22"/>
      <c r="I495" s="22">
        <f t="shared" si="8"/>
        <v>936</v>
      </c>
      <c r="J495" s="18" t="s">
        <v>1265</v>
      </c>
      <c r="K495" s="18">
        <v>9763656</v>
      </c>
      <c r="L495" s="18">
        <v>872043</v>
      </c>
      <c r="M495" s="18" t="s">
        <v>1889</v>
      </c>
      <c r="N495" s="16" t="s">
        <v>1885</v>
      </c>
      <c r="O495" s="18" t="s">
        <v>1890</v>
      </c>
      <c r="P495" s="18" t="s">
        <v>1489</v>
      </c>
      <c r="Q495" s="29" t="str" cm="1">
        <f t="array" ref="Q495">_xlfn.IFS(
A495="","",
AND(A495&lt;&gt;"",B495=""),"FALTA LANÇAMENTO",
AND(B495&lt;&gt;"",M495=""),"FALTA O PEDIDO",
AND(M495&lt;&gt;"",O495=""),"FALTA NF",
O495&lt;&gt;"","CONCLUÍDO")</f>
        <v>CONCLUÍDO</v>
      </c>
      <c r="R495" s="36"/>
    </row>
    <row r="496" spans="1:18" hidden="1">
      <c r="A496" s="16">
        <v>46062</v>
      </c>
      <c r="B496" s="16">
        <v>46073</v>
      </c>
      <c r="C496" s="21">
        <v>51519028</v>
      </c>
      <c r="D496" s="16" t="str">
        <f>IFERROR(VLOOKUP(Tabela5[[#This Row],[PREFIXO ]],Tabela4[#All],2,0),"CENTRO DE CUSTO")</f>
        <v>COLHEIT DE GRÃOS N.HOLLAND CR 8.90</v>
      </c>
      <c r="E496" s="18" t="s">
        <v>96</v>
      </c>
      <c r="F496" s="21">
        <v>3991</v>
      </c>
      <c r="G496" s="22">
        <v>675</v>
      </c>
      <c r="H496" s="22"/>
      <c r="I496" s="22">
        <f t="shared" si="8"/>
        <v>675</v>
      </c>
      <c r="J496" s="18" t="s">
        <v>1123</v>
      </c>
      <c r="K496" s="18">
        <v>9763646</v>
      </c>
      <c r="L496" s="18">
        <v>869671</v>
      </c>
      <c r="M496" s="18" t="s">
        <v>1891</v>
      </c>
      <c r="N496" s="16" t="s">
        <v>1892</v>
      </c>
      <c r="O496" s="18" t="s">
        <v>1893</v>
      </c>
      <c r="P496" s="18" t="s">
        <v>1489</v>
      </c>
      <c r="Q496" s="29" t="str" cm="1">
        <f t="array" ref="Q496">_xlfn.IFS(
A496="","",
AND(A496&lt;&gt;"",B496=""),"FALTA LANÇAMENTO",
AND(B496&lt;&gt;"",M496=""),"FALTA O PEDIDO",
AND(M496&lt;&gt;"",O496=""),"FALTA NF",
O496&lt;&gt;"","CONCLUÍDO")</f>
        <v>CONCLUÍDO</v>
      </c>
      <c r="R496" s="36"/>
    </row>
    <row r="497" spans="1:18" hidden="1">
      <c r="A497" s="16">
        <v>46062</v>
      </c>
      <c r="B497" s="16">
        <v>46077</v>
      </c>
      <c r="C497" s="21">
        <v>31521014</v>
      </c>
      <c r="D497" s="16" t="str">
        <f>IFERROR(VLOOKUP(Tabela5[[#This Row],[PREFIXO ]],Tabela4[#All],2,0),"CENTRO DE CUSTO")</f>
        <v>PULV AUTOPROP JACTO UNIPORT 3030</v>
      </c>
      <c r="E497" s="18" t="s">
        <v>96</v>
      </c>
      <c r="F497" s="21">
        <v>14911</v>
      </c>
      <c r="G497" s="22"/>
      <c r="H497" s="22">
        <v>517.45000000000005</v>
      </c>
      <c r="I497" s="22">
        <f t="shared" si="8"/>
        <v>517.45000000000005</v>
      </c>
      <c r="J497" s="18" t="s">
        <v>1265</v>
      </c>
      <c r="K497" s="18">
        <v>9763682</v>
      </c>
      <c r="L497" s="18">
        <v>872123</v>
      </c>
      <c r="M497" s="18" t="s">
        <v>1894</v>
      </c>
      <c r="N497" s="16" t="s">
        <v>1885</v>
      </c>
      <c r="O497" s="18" t="s">
        <v>1895</v>
      </c>
      <c r="P497" s="18" t="s">
        <v>1700</v>
      </c>
      <c r="Q497" s="29" t="str" cm="1">
        <f t="array" ref="Q497">_xlfn.IFS(
A497="","",
AND(A497&lt;&gt;"",B497=""),"FALTA LANÇAMENTO",
AND(B497&lt;&gt;"",M497=""),"FALTA O PEDIDO",
AND(M497&lt;&gt;"",O497=""),"FALTA NF",
O497&lt;&gt;"","CONCLUÍDO")</f>
        <v>CONCLUÍDO</v>
      </c>
      <c r="R497" s="36"/>
    </row>
    <row r="498" spans="1:18" hidden="1">
      <c r="A498" s="16">
        <v>46062</v>
      </c>
      <c r="B498" s="16">
        <v>46077</v>
      </c>
      <c r="C498" s="21">
        <v>61521049</v>
      </c>
      <c r="D498" s="16" t="str">
        <f>IFERROR(VLOOKUP(Tabela5[[#This Row],[PREFIXO ]],Tabela4[#All],2,0),"CENTRO DE CUSTO")</f>
        <v>PA CARREGADEIRA JOHN DEERE 524 K II</v>
      </c>
      <c r="E498" s="18" t="s">
        <v>96</v>
      </c>
      <c r="F498" s="21">
        <v>14752</v>
      </c>
      <c r="G498" s="22"/>
      <c r="H498" s="22">
        <v>440.77</v>
      </c>
      <c r="I498" s="22">
        <f t="shared" si="8"/>
        <v>440.77</v>
      </c>
      <c r="J498" s="18" t="s">
        <v>1265</v>
      </c>
      <c r="K498" s="18">
        <v>9763683</v>
      </c>
      <c r="L498" s="18">
        <v>871752</v>
      </c>
      <c r="M498" s="18" t="s">
        <v>1896</v>
      </c>
      <c r="N498" s="16" t="s">
        <v>1885</v>
      </c>
      <c r="O498" s="18" t="s">
        <v>1897</v>
      </c>
      <c r="P498" s="18" t="s">
        <v>1700</v>
      </c>
      <c r="Q498" s="29" t="str" cm="1">
        <f t="array" ref="Q498">_xlfn.IFS(
A498="","",
AND(A498&lt;&gt;"",B498=""),"FALTA LANÇAMENTO",
AND(B498&lt;&gt;"",M498=""),"FALTA O PEDIDO",
AND(M498&lt;&gt;"",O498=""),"FALTA NF",
O498&lt;&gt;"","CONCLUÍDO")</f>
        <v>CONCLUÍDO</v>
      </c>
      <c r="R498" s="36"/>
    </row>
    <row r="499" spans="1:18" hidden="1">
      <c r="A499" s="16">
        <v>46062</v>
      </c>
      <c r="B499" s="16">
        <v>46073</v>
      </c>
      <c r="C499" s="21">
        <v>81519050</v>
      </c>
      <c r="D499" s="16" t="str">
        <f>IFERROR(VLOOKUP(Tabela5[[#This Row],[PREFIXO ]],Tabela4[#All],2,0),"CENTRO DE CUSTO")</f>
        <v>PLATAFORMA GRAOS NEW HOLAND 45 PES</v>
      </c>
      <c r="E499" s="18" t="s">
        <v>96</v>
      </c>
      <c r="F499" s="21">
        <v>3994</v>
      </c>
      <c r="G499" s="22">
        <v>378</v>
      </c>
      <c r="H499" s="22"/>
      <c r="I499" s="22">
        <f t="shared" si="8"/>
        <v>378</v>
      </c>
      <c r="J499" s="18" t="s">
        <v>1123</v>
      </c>
      <c r="K499" s="18">
        <v>9763653</v>
      </c>
      <c r="L499" s="18">
        <v>869380</v>
      </c>
      <c r="M499" s="18" t="s">
        <v>1898</v>
      </c>
      <c r="N499" s="16" t="s">
        <v>1821</v>
      </c>
      <c r="O499" s="18" t="s">
        <v>1899</v>
      </c>
      <c r="P499" s="18" t="s">
        <v>1489</v>
      </c>
      <c r="Q499" s="29" t="str" cm="1">
        <f t="array" ref="Q499">_xlfn.IFS(
A499="","",
AND(A499&lt;&gt;"",B499=""),"FALTA LANÇAMENTO",
AND(B499&lt;&gt;"",M499=""),"FALTA O PEDIDO",
AND(M499&lt;&gt;"",O499=""),"FALTA NF",
O499&lt;&gt;"","CONCLUÍDO")</f>
        <v>CONCLUÍDO</v>
      </c>
      <c r="R499" s="36"/>
    </row>
    <row r="500" spans="1:18" hidden="1">
      <c r="A500" s="16">
        <v>46062</v>
      </c>
      <c r="B500" s="16">
        <v>46073</v>
      </c>
      <c r="C500" s="21">
        <v>81519050</v>
      </c>
      <c r="D500" s="16" t="str">
        <f>IFERROR(VLOOKUP(Tabela5[[#This Row],[PREFIXO ]],Tabela4[#All],2,0),"CENTRO DE CUSTO")</f>
        <v>PLATAFORMA GRAOS NEW HOLAND 45 PES</v>
      </c>
      <c r="E500" s="18" t="s">
        <v>96</v>
      </c>
      <c r="F500" s="21">
        <v>14908</v>
      </c>
      <c r="G500" s="22"/>
      <c r="H500" s="22">
        <v>365.14</v>
      </c>
      <c r="I500" s="22">
        <f t="shared" si="8"/>
        <v>365.14</v>
      </c>
      <c r="J500" s="18" t="s">
        <v>1123</v>
      </c>
      <c r="K500" s="18">
        <v>9763653</v>
      </c>
      <c r="L500" s="18">
        <v>869380</v>
      </c>
      <c r="M500" s="18" t="s">
        <v>1900</v>
      </c>
      <c r="N500" s="16" t="s">
        <v>1821</v>
      </c>
      <c r="O500" s="18" t="s">
        <v>1901</v>
      </c>
      <c r="P500" s="18" t="s">
        <v>1902</v>
      </c>
      <c r="Q500" s="29" t="str" cm="1">
        <f t="array" ref="Q500">_xlfn.IFS(
A500="","",
AND(A500&lt;&gt;"",B500=""),"FALTA LANÇAMENTO",
AND(B500&lt;&gt;"",M500=""),"FALTA O PEDIDO",
AND(M500&lt;&gt;"",O500=""),"FALTA NF",
O500&lt;&gt;"","CONCLUÍDO")</f>
        <v>CONCLUÍDO</v>
      </c>
      <c r="R500" s="36"/>
    </row>
    <row r="501" spans="1:18" hidden="1">
      <c r="A501" s="16">
        <v>46062</v>
      </c>
      <c r="B501" s="16">
        <v>46077</v>
      </c>
      <c r="C501" s="21">
        <v>31521013</v>
      </c>
      <c r="D501" s="16" t="str">
        <f>IFERROR(VLOOKUP(Tabela5[[#This Row],[PREFIXO ]],Tabela4[#All],2,0),"CENTRO DE CUSTO")</f>
        <v>PULV AUTOPROP JACTO UNIPORT 3030</v>
      </c>
      <c r="E501" s="18" t="s">
        <v>96</v>
      </c>
      <c r="F501" s="21">
        <v>14824</v>
      </c>
      <c r="G501" s="22"/>
      <c r="H501" s="22">
        <v>316.48</v>
      </c>
      <c r="I501" s="22">
        <f t="shared" si="8"/>
        <v>316.48</v>
      </c>
      <c r="J501" s="18" t="s">
        <v>1265</v>
      </c>
      <c r="K501" s="18">
        <v>9763690</v>
      </c>
      <c r="L501" s="18">
        <v>872284</v>
      </c>
      <c r="M501" s="18" t="s">
        <v>1903</v>
      </c>
      <c r="N501" s="16" t="s">
        <v>1885</v>
      </c>
      <c r="O501" s="18" t="s">
        <v>1904</v>
      </c>
      <c r="P501" s="18" t="s">
        <v>1700</v>
      </c>
      <c r="Q501" s="29" t="str" cm="1">
        <f t="array" ref="Q501">_xlfn.IFS(
A501="","",
AND(A501&lt;&gt;"",B501=""),"FALTA LANÇAMENTO",
AND(B501&lt;&gt;"",M501=""),"FALTA O PEDIDO",
AND(M501&lt;&gt;"",O501=""),"FALTA NF",
O501&lt;&gt;"","CONCLUÍDO")</f>
        <v>CONCLUÍDO</v>
      </c>
      <c r="R501" s="36"/>
    </row>
    <row r="502" spans="1:18" hidden="1">
      <c r="A502" s="16">
        <v>46062</v>
      </c>
      <c r="B502" s="16">
        <v>46094</v>
      </c>
      <c r="C502" s="21">
        <v>13150024</v>
      </c>
      <c r="D502" s="16" t="str">
        <f>IFERROR(VLOOKUP(Tabela5[[#This Row],[PREFIXO ]],Tabela4[#All],2,0),"CENTRO DE CUSTO")</f>
        <v>CENTRO DE CUSTO</v>
      </c>
      <c r="E502" s="18" t="s">
        <v>96</v>
      </c>
      <c r="F502" s="21">
        <v>4048</v>
      </c>
      <c r="G502" s="22">
        <v>300</v>
      </c>
      <c r="H502" s="22"/>
      <c r="I502" s="22">
        <f t="shared" si="8"/>
        <v>300</v>
      </c>
      <c r="J502" s="18" t="s">
        <v>1265</v>
      </c>
      <c r="K502" s="18">
        <v>9763659</v>
      </c>
      <c r="L502" s="18">
        <v>886070</v>
      </c>
      <c r="M502" s="18" t="s">
        <v>1905</v>
      </c>
      <c r="N502" s="16" t="s">
        <v>1871</v>
      </c>
      <c r="O502" s="18" t="s">
        <v>1906</v>
      </c>
      <c r="P502" s="18" t="s">
        <v>1871</v>
      </c>
      <c r="Q502" s="29" t="str" cm="1">
        <f t="array" ref="Q502">_xlfn.IFS(
A502="","",
AND(A502&lt;&gt;"",B502=""),"FALTA LANÇAMENTO",
AND(B502&lt;&gt;"",M502=""),"FALTA O PEDIDO",
AND(M502&lt;&gt;"",O502=""),"FALTA NF",
O502&lt;&gt;"","CONCLUÍDO")</f>
        <v>CONCLUÍDO</v>
      </c>
      <c r="R502" s="36"/>
    </row>
    <row r="503" spans="1:18" hidden="1">
      <c r="A503" s="16">
        <v>46062</v>
      </c>
      <c r="B503" s="16">
        <v>46073</v>
      </c>
      <c r="C503" s="21">
        <v>51519028</v>
      </c>
      <c r="D503" s="16" t="str">
        <f>IFERROR(VLOOKUP(Tabela5[[#This Row],[PREFIXO ]],Tabela4[#All],2,0),"CENTRO DE CUSTO")</f>
        <v>COLHEIT DE GRÃOS N.HOLLAND CR 8.90</v>
      </c>
      <c r="E503" s="18" t="s">
        <v>96</v>
      </c>
      <c r="F503" s="21">
        <v>15014</v>
      </c>
      <c r="G503" s="22"/>
      <c r="H503" s="22">
        <v>284.27999999999997</v>
      </c>
      <c r="I503" s="22">
        <f t="shared" si="8"/>
        <v>284.27999999999997</v>
      </c>
      <c r="J503" s="18" t="s">
        <v>1123</v>
      </c>
      <c r="K503" s="18">
        <v>9763646</v>
      </c>
      <c r="L503" s="18">
        <v>869671</v>
      </c>
      <c r="M503" s="18" t="s">
        <v>1907</v>
      </c>
      <c r="N503" s="16" t="s">
        <v>1892</v>
      </c>
      <c r="O503" s="18" t="s">
        <v>1908</v>
      </c>
      <c r="P503" s="18" t="s">
        <v>1700</v>
      </c>
      <c r="Q503" s="29" t="str" cm="1">
        <f t="array" ref="Q503">_xlfn.IFS(
A503="","",
AND(A503&lt;&gt;"",B503=""),"FALTA LANÇAMENTO",
AND(B503&lt;&gt;"",M503=""),"FALTA O PEDIDO",
AND(M503&lt;&gt;"",O503=""),"FALTA NF",
O503&lt;&gt;"","CONCLUÍDO")</f>
        <v>CONCLUÍDO</v>
      </c>
      <c r="R503" s="36"/>
    </row>
    <row r="504" spans="1:18" hidden="1">
      <c r="A504" s="16">
        <v>46062</v>
      </c>
      <c r="B504" s="16">
        <v>46077</v>
      </c>
      <c r="C504" s="21">
        <v>500580263</v>
      </c>
      <c r="D504" s="16" t="str">
        <f>IFERROR(VLOOKUP(Tabela5[[#This Row],[PREFIXO ]],Tabela4[#All],2,0),"CENTRO DE CUSTO")</f>
        <v>Colheit. Grãos-Axial</v>
      </c>
      <c r="E504" s="18" t="s">
        <v>96</v>
      </c>
      <c r="F504" s="21">
        <v>15073</v>
      </c>
      <c r="G504" s="22"/>
      <c r="H504" s="22">
        <v>241.52</v>
      </c>
      <c r="I504" s="22">
        <f t="shared" si="8"/>
        <v>241.52</v>
      </c>
      <c r="J504" s="18" t="s">
        <v>1123</v>
      </c>
      <c r="K504" s="18">
        <v>5019370</v>
      </c>
      <c r="L504" s="18">
        <v>871848</v>
      </c>
      <c r="M504" s="18" t="s">
        <v>1909</v>
      </c>
      <c r="N504" s="16" t="s">
        <v>1885</v>
      </c>
      <c r="O504" s="18" t="s">
        <v>1910</v>
      </c>
      <c r="P504" s="18" t="s">
        <v>1700</v>
      </c>
      <c r="Q504" s="29" t="str" cm="1">
        <f t="array" ref="Q504">_xlfn.IFS(
A504="","",
AND(A504&lt;&gt;"",B504=""),"FALTA LANÇAMENTO",
AND(B504&lt;&gt;"",M504=""),"FALTA O PEDIDO",
AND(M504&lt;&gt;"",O504=""),"FALTA NF",
O504&lt;&gt;"","CONCLUÍDO")</f>
        <v>CONCLUÍDO</v>
      </c>
      <c r="R504" s="36"/>
    </row>
    <row r="505" spans="1:18" hidden="1">
      <c r="A505" s="16">
        <v>46062</v>
      </c>
      <c r="B505" s="16">
        <v>46077</v>
      </c>
      <c r="C505" s="21">
        <v>51519030</v>
      </c>
      <c r="D505" s="16" t="str">
        <f>IFERROR(VLOOKUP(Tabela5[[#This Row],[PREFIXO ]],Tabela4[#All],2,0),"CENTRO DE CUSTO")</f>
        <v>COLHEIT DE GRÃOS N.HOLLAND CR 8.90</v>
      </c>
      <c r="E505" s="18" t="s">
        <v>96</v>
      </c>
      <c r="F505" s="21">
        <v>4019</v>
      </c>
      <c r="G505" s="22">
        <v>200</v>
      </c>
      <c r="H505" s="22"/>
      <c r="I505" s="22">
        <f t="shared" si="8"/>
        <v>200</v>
      </c>
      <c r="J505" s="18" t="s">
        <v>1123</v>
      </c>
      <c r="K505" s="18">
        <v>9763648</v>
      </c>
      <c r="L505" s="18">
        <v>871617</v>
      </c>
      <c r="M505" s="18" t="s">
        <v>1911</v>
      </c>
      <c r="N505" s="16" t="s">
        <v>1885</v>
      </c>
      <c r="O505" s="18" t="s">
        <v>1912</v>
      </c>
      <c r="P505" s="18" t="s">
        <v>1489</v>
      </c>
      <c r="Q505" s="29" t="str" cm="1">
        <f t="array" ref="Q505">_xlfn.IFS(
A505="","",
AND(A505&lt;&gt;"",B505=""),"FALTA LANÇAMENTO",
AND(B505&lt;&gt;"",M505=""),"FALTA O PEDIDO",
AND(M505&lt;&gt;"",O505=""),"FALTA NF",
O505&lt;&gt;"","CONCLUÍDO")</f>
        <v>CONCLUÍDO</v>
      </c>
      <c r="R505" s="36"/>
    </row>
    <row r="506" spans="1:18" hidden="1">
      <c r="A506" s="16">
        <v>46062</v>
      </c>
      <c r="B506" s="16">
        <v>46077</v>
      </c>
      <c r="C506" s="21">
        <v>500580263</v>
      </c>
      <c r="D506" s="16" t="str">
        <f>IFERROR(VLOOKUP(Tabela5[[#This Row],[PREFIXO ]],Tabela4[#All],2,0),"CENTRO DE CUSTO")</f>
        <v>Colheit. Grãos-Axial</v>
      </c>
      <c r="E506" s="18" t="s">
        <v>96</v>
      </c>
      <c r="F506" s="21">
        <v>4020</v>
      </c>
      <c r="G506" s="22">
        <v>100</v>
      </c>
      <c r="H506" s="22"/>
      <c r="I506" s="22">
        <f t="shared" si="8"/>
        <v>100</v>
      </c>
      <c r="J506" s="18" t="s">
        <v>1123</v>
      </c>
      <c r="K506" s="18">
        <v>5019370</v>
      </c>
      <c r="L506" s="18">
        <v>871848</v>
      </c>
      <c r="M506" s="18" t="s">
        <v>1913</v>
      </c>
      <c r="N506" s="16" t="s">
        <v>1885</v>
      </c>
      <c r="O506" s="18" t="s">
        <v>1914</v>
      </c>
      <c r="P506" s="18" t="s">
        <v>1489</v>
      </c>
      <c r="Q506" s="29" t="str" cm="1">
        <f t="array" ref="Q506">_xlfn.IFS(
A506="","",
AND(A506&lt;&gt;"",B506=""),"FALTA LANÇAMENTO",
AND(B506&lt;&gt;"",M506=""),"FALTA O PEDIDO",
AND(M506&lt;&gt;"",O506=""),"FALTA NF",
O506&lt;&gt;"","CONCLUÍDO")</f>
        <v>CONCLUÍDO</v>
      </c>
      <c r="R506" s="36"/>
    </row>
    <row r="507" spans="1:18" hidden="1">
      <c r="A507" s="16">
        <v>46062</v>
      </c>
      <c r="B507" s="16">
        <v>46077</v>
      </c>
      <c r="C507" s="21">
        <v>31521014</v>
      </c>
      <c r="D507" s="16" t="str">
        <f>IFERROR(VLOOKUP(Tabela5[[#This Row],[PREFIXO ]],Tabela4[#All],2,0),"CENTRO DE CUSTO")</f>
        <v>PULV AUTOPROP JACTO UNIPORT 3030</v>
      </c>
      <c r="E507" s="18" t="s">
        <v>96</v>
      </c>
      <c r="F507" s="21">
        <v>4036</v>
      </c>
      <c r="G507" s="22">
        <v>100</v>
      </c>
      <c r="H507" s="22"/>
      <c r="I507" s="22">
        <f t="shared" si="8"/>
        <v>100</v>
      </c>
      <c r="J507" s="18" t="s">
        <v>1265</v>
      </c>
      <c r="K507" s="18">
        <v>9763682</v>
      </c>
      <c r="L507" s="18">
        <v>872123</v>
      </c>
      <c r="M507" s="18" t="s">
        <v>1915</v>
      </c>
      <c r="N507" s="16" t="s">
        <v>1885</v>
      </c>
      <c r="O507" s="18" t="s">
        <v>1916</v>
      </c>
      <c r="P507" s="18" t="s">
        <v>1489</v>
      </c>
      <c r="Q507" s="29" t="str" cm="1">
        <f t="array" ref="Q507">_xlfn.IFS(
A507="","",
AND(A507&lt;&gt;"",B507=""),"FALTA LANÇAMENTO",
AND(B507&lt;&gt;"",M507=""),"FALTA O PEDIDO",
AND(M507&lt;&gt;"",O507=""),"FALTA NF",
O507&lt;&gt;"","CONCLUÍDO")</f>
        <v>CONCLUÍDO</v>
      </c>
      <c r="R507" s="36"/>
    </row>
    <row r="508" spans="1:18" hidden="1">
      <c r="A508" s="16">
        <v>46062</v>
      </c>
      <c r="B508" s="16">
        <v>46077</v>
      </c>
      <c r="C508" s="21">
        <v>31521013</v>
      </c>
      <c r="D508" s="16" t="str">
        <f>IFERROR(VLOOKUP(Tabela5[[#This Row],[PREFIXO ]],Tabela4[#All],2,0),"CENTRO DE CUSTO")</f>
        <v>PULV AUTOPROP JACTO UNIPORT 3030</v>
      </c>
      <c r="E508" s="18" t="s">
        <v>96</v>
      </c>
      <c r="F508" s="21">
        <v>4057</v>
      </c>
      <c r="G508" s="22">
        <v>100</v>
      </c>
      <c r="H508" s="22"/>
      <c r="I508" s="22">
        <f t="shared" si="8"/>
        <v>100</v>
      </c>
      <c r="J508" s="18" t="s">
        <v>1265</v>
      </c>
      <c r="K508" s="18">
        <v>9763690</v>
      </c>
      <c r="L508" s="18">
        <v>872284</v>
      </c>
      <c r="M508" s="18" t="s">
        <v>1917</v>
      </c>
      <c r="N508" s="16" t="s">
        <v>1885</v>
      </c>
      <c r="O508" s="18" t="s">
        <v>1918</v>
      </c>
      <c r="P508" s="18" t="s">
        <v>1489</v>
      </c>
      <c r="Q508" s="29" t="str" cm="1">
        <f t="array" ref="Q508">_xlfn.IFS(
A508="","",
AND(A508&lt;&gt;"",B508=""),"FALTA LANÇAMENTO",
AND(B508&lt;&gt;"",M508=""),"FALTA O PEDIDO",
AND(M508&lt;&gt;"",O508=""),"FALTA NF",
O508&lt;&gt;"","CONCLUÍDO")</f>
        <v>CONCLUÍDO</v>
      </c>
      <c r="R508" s="36"/>
    </row>
    <row r="509" spans="1:18" hidden="1">
      <c r="A509" s="16">
        <v>46062</v>
      </c>
      <c r="B509" s="16">
        <v>46077</v>
      </c>
      <c r="C509" s="21">
        <v>61521049</v>
      </c>
      <c r="D509" s="16" t="str">
        <f>IFERROR(VLOOKUP(Tabela5[[#This Row],[PREFIXO ]],Tabela4[#All],2,0),"CENTRO DE CUSTO")</f>
        <v>PA CARREGADEIRA JOHN DEERE 524 K II</v>
      </c>
      <c r="E509" s="18" t="s">
        <v>96</v>
      </c>
      <c r="F509" s="21">
        <v>3909</v>
      </c>
      <c r="G509" s="22">
        <v>90</v>
      </c>
      <c r="H509" s="22"/>
      <c r="I509" s="22">
        <f t="shared" si="8"/>
        <v>90</v>
      </c>
      <c r="J509" s="18" t="s">
        <v>1265</v>
      </c>
      <c r="K509" s="18">
        <v>9763683</v>
      </c>
      <c r="L509" s="18">
        <v>871752</v>
      </c>
      <c r="M509" s="18" t="s">
        <v>1919</v>
      </c>
      <c r="N509" s="16" t="s">
        <v>1885</v>
      </c>
      <c r="O509" s="18" t="s">
        <v>1920</v>
      </c>
      <c r="P509" s="18" t="s">
        <v>1489</v>
      </c>
      <c r="Q509" s="29" t="str" cm="1">
        <f t="array" ref="Q509">_xlfn.IFS(
A509="","",
AND(A509&lt;&gt;"",B509=""),"FALTA LANÇAMENTO",
AND(B509&lt;&gt;"",M509=""),"FALTA O PEDIDO",
AND(M509&lt;&gt;"",O509=""),"FALTA NF",
O509&lt;&gt;"","CONCLUÍDO")</f>
        <v>CONCLUÍDO</v>
      </c>
      <c r="R509" s="36"/>
    </row>
    <row r="510" spans="1:18" hidden="1">
      <c r="A510" s="16">
        <v>46062</v>
      </c>
      <c r="B510" s="16">
        <v>46073</v>
      </c>
      <c r="C510" s="21">
        <v>43050003</v>
      </c>
      <c r="D510" s="16" t="str">
        <f>IFERROR(VLOOKUP(Tabela5[[#This Row],[PREFIXO ]],Tabela4[#All],2,0),"CENTRO DE CUSTO")</f>
        <v>CENTRO DE CUSTO</v>
      </c>
      <c r="E510" s="18" t="s">
        <v>340</v>
      </c>
      <c r="F510" s="21">
        <v>225</v>
      </c>
      <c r="G510" s="22">
        <v>12401.4</v>
      </c>
      <c r="H510" s="22">
        <v>42745.33</v>
      </c>
      <c r="I510" s="22">
        <f t="shared" si="8"/>
        <v>55146.73</v>
      </c>
      <c r="J510" s="18" t="s">
        <v>1265</v>
      </c>
      <c r="K510" s="18">
        <v>9763171</v>
      </c>
      <c r="L510" s="18">
        <v>867018</v>
      </c>
      <c r="M510" s="18" t="s">
        <v>1921</v>
      </c>
      <c r="N510" s="16" t="s">
        <v>1821</v>
      </c>
      <c r="O510" s="18" t="s">
        <v>1922</v>
      </c>
      <c r="P510" s="18" t="s">
        <v>1923</v>
      </c>
      <c r="Q510" s="29" t="str" cm="1">
        <f t="array" ref="Q510">_xlfn.IFS(
A510="","",
AND(A510&lt;&gt;"",B510=""),"FALTA LANÇAMENTO",
AND(B510&lt;&gt;"",M510=""),"FALTA O PEDIDO",
AND(M510&lt;&gt;"",O510=""),"FALTA NF",
O510&lt;&gt;"","CONCLUÍDO")</f>
        <v>CONCLUÍDO</v>
      </c>
      <c r="R510" s="36"/>
    </row>
    <row r="511" spans="1:18" hidden="1">
      <c r="A511" s="16">
        <v>46062</v>
      </c>
      <c r="B511" s="16">
        <v>46069</v>
      </c>
      <c r="C511" s="21">
        <v>23050008</v>
      </c>
      <c r="D511" s="16" t="str">
        <f>IFERROR(VLOOKUP(Tabela5[[#This Row],[PREFIXO ]],Tabela4[#All],2,0),"CENTRO DE CUSTO")</f>
        <v>PA CARREGADEIRA JOHN DEERE 524 K II</v>
      </c>
      <c r="E511" s="18" t="s">
        <v>340</v>
      </c>
      <c r="F511" s="21">
        <v>142</v>
      </c>
      <c r="G511" s="22">
        <v>3019.5</v>
      </c>
      <c r="H511" s="22">
        <v>10491.07</v>
      </c>
      <c r="I511" s="22">
        <f t="shared" si="8"/>
        <v>13510.57</v>
      </c>
      <c r="J511" s="18" t="s">
        <v>1265</v>
      </c>
      <c r="K511" s="18">
        <v>9762887</v>
      </c>
      <c r="L511" s="18">
        <v>865357</v>
      </c>
      <c r="M511" s="18" t="s">
        <v>1924</v>
      </c>
      <c r="N511" s="16" t="s">
        <v>1433</v>
      </c>
      <c r="O511" s="18" t="s">
        <v>1925</v>
      </c>
      <c r="P511" s="18" t="s">
        <v>1926</v>
      </c>
      <c r="Q511" s="29" t="str" cm="1">
        <f t="array" ref="Q511">_xlfn.IFS(
A511="","",
AND(A511&lt;&gt;"",B511=""),"FALTA LANÇAMENTO",
AND(B511&lt;&gt;"",M511=""),"FALTA O PEDIDO",
AND(M511&lt;&gt;"",O511=""),"FALTA NF",
O511&lt;&gt;"","CONCLUÍDO")</f>
        <v>CONCLUÍDO</v>
      </c>
      <c r="R511" s="36"/>
    </row>
    <row r="512" spans="1:18" hidden="1">
      <c r="A512" s="16">
        <v>46062</v>
      </c>
      <c r="B512" s="16">
        <v>46071</v>
      </c>
      <c r="C512" s="21">
        <v>23050026</v>
      </c>
      <c r="D512" s="16" t="str">
        <f>IFERROR(VLOOKUP(Tabela5[[#This Row],[PREFIXO ]],Tabela4[#All],2,0),"CENTRO DE CUSTO")</f>
        <v>CENTRO DE CUSTO</v>
      </c>
      <c r="E512" s="18" t="s">
        <v>340</v>
      </c>
      <c r="F512" s="21">
        <v>399</v>
      </c>
      <c r="G512" s="22">
        <v>1489</v>
      </c>
      <c r="H512" s="22">
        <v>6973.79</v>
      </c>
      <c r="I512" s="22">
        <f t="shared" ref="I512:I575" si="9">G512+H512</f>
        <v>8462.7900000000009</v>
      </c>
      <c r="J512" s="18" t="s">
        <v>1265</v>
      </c>
      <c r="K512" s="18">
        <v>9763175</v>
      </c>
      <c r="L512" s="18">
        <v>865566</v>
      </c>
      <c r="M512" s="18" t="s">
        <v>1927</v>
      </c>
      <c r="N512" s="16" t="s">
        <v>1779</v>
      </c>
      <c r="O512" s="18" t="s">
        <v>1928</v>
      </c>
      <c r="P512" s="18" t="s">
        <v>1781</v>
      </c>
      <c r="Q512" s="29" t="str" cm="1">
        <f t="array" ref="Q512">_xlfn.IFS(
A512="","",
AND(A512&lt;&gt;"",B512=""),"FALTA LANÇAMENTO",
AND(B512&lt;&gt;"",M512=""),"FALTA O PEDIDO",
AND(M512&lt;&gt;"",O512=""),"FALTA NF",
O512&lt;&gt;"","CONCLUÍDO")</f>
        <v>CONCLUÍDO</v>
      </c>
      <c r="R512" s="36"/>
    </row>
    <row r="513" spans="1:18" hidden="1">
      <c r="A513" s="16">
        <v>46062</v>
      </c>
      <c r="B513" s="16">
        <v>46069</v>
      </c>
      <c r="C513" s="21" t="s">
        <v>1134</v>
      </c>
      <c r="D513" s="16" t="str">
        <f>IFERROR(VLOOKUP(Tabela5[[#This Row],[PREFIXO ]],Tabela4[#All],2,0),"CENTRO DE CUSTO")</f>
        <v>CENTRO DE CUSTO</v>
      </c>
      <c r="E513" s="18" t="s">
        <v>340</v>
      </c>
      <c r="F513" s="21">
        <v>222</v>
      </c>
      <c r="G513" s="22">
        <v>4561</v>
      </c>
      <c r="H513" s="22"/>
      <c r="I513" s="22">
        <f t="shared" si="9"/>
        <v>4561</v>
      </c>
      <c r="J513" s="18" t="s">
        <v>1265</v>
      </c>
      <c r="K513" s="18">
        <v>9763167</v>
      </c>
      <c r="L513" s="18">
        <v>865338</v>
      </c>
      <c r="M513" s="18" t="s">
        <v>1929</v>
      </c>
      <c r="N513" s="16" t="s">
        <v>1433</v>
      </c>
      <c r="O513" s="18" t="s">
        <v>1930</v>
      </c>
      <c r="P513" s="18" t="s">
        <v>1779</v>
      </c>
      <c r="Q513" s="29" t="str" cm="1">
        <f t="array" ref="Q513">_xlfn.IFS(
A513="","",
AND(A513&lt;&gt;"",B513=""),"FALTA LANÇAMENTO",
AND(B513&lt;&gt;"",M513=""),"FALTA O PEDIDO",
AND(M513&lt;&gt;"",O513=""),"FALTA NF",
O513&lt;&gt;"","CONCLUÍDO")</f>
        <v>CONCLUÍDO</v>
      </c>
      <c r="R513" s="36"/>
    </row>
    <row r="514" spans="1:18" hidden="1">
      <c r="A514" s="16">
        <v>46062</v>
      </c>
      <c r="B514" s="16">
        <v>46069</v>
      </c>
      <c r="C514" s="21">
        <v>43040001</v>
      </c>
      <c r="D514" s="16" t="str">
        <f>IFERROR(VLOOKUP(Tabela5[[#This Row],[PREFIXO ]],Tabela4[#All],2,0),"CENTRO DE CUSTO")</f>
        <v>MOTONIVELADORA JOHN DEERE 672 P</v>
      </c>
      <c r="E514" s="18" t="s">
        <v>340</v>
      </c>
      <c r="F514" s="21">
        <v>342</v>
      </c>
      <c r="G514" s="22">
        <v>2596.6</v>
      </c>
      <c r="H514" s="22"/>
      <c r="I514" s="22">
        <f t="shared" si="9"/>
        <v>2596.6</v>
      </c>
      <c r="J514" s="18" t="s">
        <v>1265</v>
      </c>
      <c r="K514" s="18">
        <v>9763200</v>
      </c>
      <c r="L514" s="18">
        <v>865280</v>
      </c>
      <c r="M514" s="18" t="s">
        <v>1931</v>
      </c>
      <c r="N514" s="16" t="s">
        <v>1433</v>
      </c>
      <c r="O514" s="18" t="s">
        <v>1932</v>
      </c>
      <c r="P514" s="18" t="s">
        <v>1779</v>
      </c>
      <c r="Q514" s="29" t="str" cm="1">
        <f t="array" ref="Q514">_xlfn.IFS(
A514="","",
AND(A514&lt;&gt;"",B514=""),"FALTA LANÇAMENTO",
AND(B514&lt;&gt;"",M514=""),"FALTA O PEDIDO",
AND(M514&lt;&gt;"",O514=""),"FALTA NF",
O514&lt;&gt;"","CONCLUÍDO")</f>
        <v>CONCLUÍDO</v>
      </c>
      <c r="R514" s="36"/>
    </row>
    <row r="515" spans="1:18" hidden="1">
      <c r="A515" s="16">
        <v>46062</v>
      </c>
      <c r="B515" s="16">
        <v>46066</v>
      </c>
      <c r="C515" s="21">
        <v>81521317</v>
      </c>
      <c r="D515" s="16" t="str">
        <f>IFERROR(VLOOKUP(Tabela5[[#This Row],[PREFIXO ]],Tabela4[#All],2,0),"CENTRO DE CUSTO")</f>
        <v>PLANT GRÃOS JOHN DEERE DB90 ME 60 LINHAS</v>
      </c>
      <c r="E515" s="18" t="s">
        <v>179</v>
      </c>
      <c r="F515" s="21">
        <v>2246</v>
      </c>
      <c r="G515" s="22">
        <v>1327.35</v>
      </c>
      <c r="H515" s="22">
        <v>13212.74</v>
      </c>
      <c r="I515" s="22">
        <f t="shared" si="9"/>
        <v>14540.09</v>
      </c>
      <c r="J515" s="18" t="s">
        <v>1199</v>
      </c>
      <c r="K515" s="18">
        <v>9763696</v>
      </c>
      <c r="L515" s="18">
        <v>863961</v>
      </c>
      <c r="M515" s="18" t="s">
        <v>1933</v>
      </c>
      <c r="N515" s="16" t="s">
        <v>1814</v>
      </c>
      <c r="O515" s="18" t="s">
        <v>1934</v>
      </c>
      <c r="P515" s="18" t="s">
        <v>1935</v>
      </c>
      <c r="Q515" s="29" t="str" cm="1">
        <f t="array" ref="Q515">_xlfn.IFS(
A515="","",
AND(A515&lt;&gt;"",B515=""),"FALTA LANÇAMENTO",
AND(B515&lt;&gt;"",M515=""),"FALTA O PEDIDO",
AND(M515&lt;&gt;"",O515=""),"FALTA NF",
O515&lt;&gt;"","CONCLUÍDO")</f>
        <v>CONCLUÍDO</v>
      </c>
      <c r="R515" s="36"/>
    </row>
    <row r="516" spans="1:18" hidden="1">
      <c r="A516" s="16">
        <v>46062</v>
      </c>
      <c r="B516" s="16">
        <v>46069</v>
      </c>
      <c r="C516" s="21">
        <v>81521315</v>
      </c>
      <c r="D516" s="16" t="str">
        <f>IFERROR(VLOOKUP(Tabela5[[#This Row],[PREFIXO ]],Tabela4[#All],2,0),"CENTRO DE CUSTO")</f>
        <v>PLANT GRÃOS JOHN DEERE DB90 ME 60 LINHAS</v>
      </c>
      <c r="E516" s="18" t="s">
        <v>179</v>
      </c>
      <c r="F516" s="21">
        <v>2244</v>
      </c>
      <c r="G516" s="22">
        <v>1968.32</v>
      </c>
      <c r="H516" s="22">
        <v>8273.68</v>
      </c>
      <c r="I516" s="22">
        <f t="shared" si="9"/>
        <v>10242</v>
      </c>
      <c r="J516" s="18" t="s">
        <v>1199</v>
      </c>
      <c r="K516" s="18">
        <v>9763800</v>
      </c>
      <c r="L516" s="18">
        <v>864936</v>
      </c>
      <c r="M516" s="18" t="s">
        <v>1936</v>
      </c>
      <c r="N516" s="16" t="s">
        <v>1556</v>
      </c>
      <c r="O516" s="18" t="s">
        <v>1937</v>
      </c>
      <c r="P516" s="18" t="s">
        <v>1938</v>
      </c>
      <c r="Q516" s="29" t="str" cm="1">
        <f t="array" ref="Q516">_xlfn.IFS(
A516="","",
AND(A516&lt;&gt;"",B516=""),"FALTA LANÇAMENTO",
AND(B516&lt;&gt;"",M516=""),"FALTA O PEDIDO",
AND(M516&lt;&gt;"",O516=""),"FALTA NF",
O516&lt;&gt;"","CONCLUÍDO")</f>
        <v>CONCLUÍDO</v>
      </c>
      <c r="R516" s="36"/>
    </row>
    <row r="517" spans="1:18" hidden="1">
      <c r="A517" s="16">
        <v>46062</v>
      </c>
      <c r="B517" s="16">
        <v>46066</v>
      </c>
      <c r="C517" s="21">
        <v>81521316</v>
      </c>
      <c r="D517" s="16" t="str">
        <f>IFERROR(VLOOKUP(Tabela5[[#This Row],[PREFIXO ]],Tabela4[#All],2,0),"CENTRO DE CUSTO")</f>
        <v>PLANT GRÃOS JOHN DEERE DB90 ME 60 LINHAS</v>
      </c>
      <c r="E517" s="18" t="s">
        <v>179</v>
      </c>
      <c r="F517" s="21">
        <v>2245</v>
      </c>
      <c r="G517" s="22">
        <v>1988.64</v>
      </c>
      <c r="H517" s="22">
        <v>8116.36</v>
      </c>
      <c r="I517" s="22">
        <f t="shared" si="9"/>
        <v>10105</v>
      </c>
      <c r="J517" s="18" t="s">
        <v>1199</v>
      </c>
      <c r="K517" s="18">
        <v>9763216</v>
      </c>
      <c r="L517" s="18">
        <v>863820</v>
      </c>
      <c r="M517" s="18" t="s">
        <v>1939</v>
      </c>
      <c r="N517" s="16" t="s">
        <v>1814</v>
      </c>
      <c r="O517" s="18" t="s">
        <v>1940</v>
      </c>
      <c r="P517" s="18" t="s">
        <v>1941</v>
      </c>
      <c r="Q517" s="29" t="str" cm="1">
        <f t="array" ref="Q517">_xlfn.IFS(
A517="","",
AND(A517&lt;&gt;"",B517=""),"FALTA LANÇAMENTO",
AND(B517&lt;&gt;"",M517=""),"FALTA O PEDIDO",
AND(M517&lt;&gt;"",O517=""),"FALTA NF",
O517&lt;&gt;"","CONCLUÍDO")</f>
        <v>CONCLUÍDO</v>
      </c>
      <c r="R517" s="36"/>
    </row>
    <row r="518" spans="1:18" hidden="1">
      <c r="A518" s="16">
        <v>46062</v>
      </c>
      <c r="B518" s="16">
        <v>46066</v>
      </c>
      <c r="C518" s="21">
        <v>81519219</v>
      </c>
      <c r="D518" s="16" t="str">
        <f>IFERROR(VLOOKUP(Tabela5[[#This Row],[PREFIXO ]],Tabela4[#All],2,0),"CENTRO DE CUSTO")</f>
        <v>PLANT GRÃOS JOHN DEERE DB90 ME 60 LINHAS</v>
      </c>
      <c r="E518" s="18" t="s">
        <v>179</v>
      </c>
      <c r="F518" s="21">
        <v>2243</v>
      </c>
      <c r="G518" s="22">
        <v>2042.64</v>
      </c>
      <c r="H518" s="22">
        <v>7701.36</v>
      </c>
      <c r="I518" s="22">
        <f t="shared" si="9"/>
        <v>9744</v>
      </c>
      <c r="J518" s="18" t="s">
        <v>1199</v>
      </c>
      <c r="K518" s="18">
        <v>9763210</v>
      </c>
      <c r="L518" s="18">
        <v>863840</v>
      </c>
      <c r="M518" s="18" t="s">
        <v>1942</v>
      </c>
      <c r="N518" s="16" t="s">
        <v>1814</v>
      </c>
      <c r="O518" s="18" t="s">
        <v>1943</v>
      </c>
      <c r="P518" s="18" t="s">
        <v>1938</v>
      </c>
      <c r="Q518" s="29" t="str" cm="1">
        <f t="array" ref="Q518">_xlfn.IFS(
A518="","",
AND(A518&lt;&gt;"",B518=""),"FALTA LANÇAMENTO",
AND(B518&lt;&gt;"",M518=""),"FALTA O PEDIDO",
AND(M518&lt;&gt;"",O518=""),"FALTA NF",
O518&lt;&gt;"","CONCLUÍDO")</f>
        <v>CONCLUÍDO</v>
      </c>
      <c r="R518" s="36"/>
    </row>
    <row r="519" spans="1:18" hidden="1">
      <c r="A519" s="16">
        <v>46062</v>
      </c>
      <c r="B519" s="16">
        <v>46069</v>
      </c>
      <c r="C519" s="21">
        <v>81521332</v>
      </c>
      <c r="D519" s="16" t="str">
        <f>IFERROR(VLOOKUP(Tabela5[[#This Row],[PREFIXO ]],Tabela4[#All],2,0),"CENTRO DE CUSTO")</f>
        <v>PLANT GRÃOS N.HOLLAND PL7000 60 LINHAS</v>
      </c>
      <c r="E519" s="18" t="s">
        <v>179</v>
      </c>
      <c r="F519" s="21">
        <v>2236</v>
      </c>
      <c r="G519" s="22">
        <v>2161.12</v>
      </c>
      <c r="H519" s="22">
        <v>6798.14</v>
      </c>
      <c r="I519" s="22">
        <f t="shared" si="9"/>
        <v>8959.26</v>
      </c>
      <c r="J519" s="18" t="s">
        <v>1199</v>
      </c>
      <c r="K519" s="18">
        <v>9763694</v>
      </c>
      <c r="L519" s="18">
        <v>865044</v>
      </c>
      <c r="M519" s="18" t="s">
        <v>1944</v>
      </c>
      <c r="N519" s="16" t="s">
        <v>1556</v>
      </c>
      <c r="O519" s="18" t="s">
        <v>1945</v>
      </c>
      <c r="P519" s="18" t="s">
        <v>1938</v>
      </c>
      <c r="Q519" s="29" t="str" cm="1">
        <f t="array" ref="Q519">_xlfn.IFS(
A519="","",
AND(A519&lt;&gt;"",B519=""),"FALTA LANÇAMENTO",
AND(B519&lt;&gt;"",M519=""),"FALTA O PEDIDO",
AND(M519&lt;&gt;"",O519=""),"FALTA NF",
O519&lt;&gt;"","CONCLUÍDO")</f>
        <v>CONCLUÍDO</v>
      </c>
      <c r="R519" s="36"/>
    </row>
    <row r="520" spans="1:18" hidden="1">
      <c r="A520" s="16">
        <v>46062</v>
      </c>
      <c r="B520" s="16">
        <v>46066</v>
      </c>
      <c r="C520" s="21">
        <v>85048097</v>
      </c>
      <c r="D520" s="16" t="str">
        <f>IFERROR(VLOOKUP(Tabela5[[#This Row],[PREFIXO ]],Tabela4[#All],2,0),"CENTRO DE CUSTO")</f>
        <v>CENTRO DE CUSTO</v>
      </c>
      <c r="E520" s="18" t="s">
        <v>179</v>
      </c>
      <c r="F520" s="21">
        <v>2238</v>
      </c>
      <c r="G520" s="22">
        <v>2171.58</v>
      </c>
      <c r="H520" s="22">
        <v>6712.42</v>
      </c>
      <c r="I520" s="22">
        <f t="shared" si="9"/>
        <v>8884</v>
      </c>
      <c r="J520" s="18" t="s">
        <v>1199</v>
      </c>
      <c r="K520" s="18">
        <v>9763241</v>
      </c>
      <c r="L520" s="18">
        <v>863690</v>
      </c>
      <c r="M520" s="18" t="s">
        <v>1946</v>
      </c>
      <c r="N520" s="16" t="s">
        <v>1814</v>
      </c>
      <c r="O520" s="18" t="s">
        <v>1947</v>
      </c>
      <c r="P520" s="18" t="s">
        <v>1935</v>
      </c>
      <c r="Q520" s="29" t="str" cm="1">
        <f t="array" ref="Q520">_xlfn.IFS(
A520="","",
AND(A520&lt;&gt;"",B520=""),"FALTA LANÇAMENTO",
AND(B520&lt;&gt;"",M520=""),"FALTA O PEDIDO",
AND(M520&lt;&gt;"",O520=""),"FALTA NF",
O520&lt;&gt;"","CONCLUÍDO")</f>
        <v>CONCLUÍDO</v>
      </c>
      <c r="R520" s="36"/>
    </row>
    <row r="521" spans="1:18" hidden="1">
      <c r="A521" s="16">
        <v>46062</v>
      </c>
      <c r="B521" s="16">
        <v>46070</v>
      </c>
      <c r="C521" s="21">
        <v>85048095</v>
      </c>
      <c r="D521" s="16" t="str">
        <f>IFERROR(VLOOKUP(Tabela5[[#This Row],[PREFIXO ]],Tabela4[#All],2,0),"CENTRO DE CUSTO")</f>
        <v>PLANT GRÃOS JOHN DEERE DB90 ME 60 LINHAS</v>
      </c>
      <c r="E521" s="18" t="s">
        <v>179</v>
      </c>
      <c r="F521" s="21">
        <v>2239</v>
      </c>
      <c r="G521" s="22">
        <v>2215.1799999999998</v>
      </c>
      <c r="H521" s="22">
        <v>6382.82</v>
      </c>
      <c r="I521" s="22">
        <f t="shared" si="9"/>
        <v>8598</v>
      </c>
      <c r="J521" s="18" t="s">
        <v>1199</v>
      </c>
      <c r="K521" s="18">
        <v>9763242</v>
      </c>
      <c r="L521" s="18">
        <v>866598</v>
      </c>
      <c r="M521" s="18" t="s">
        <v>1948</v>
      </c>
      <c r="N521" s="16" t="s">
        <v>1597</v>
      </c>
      <c r="O521" s="18" t="s">
        <v>1949</v>
      </c>
      <c r="P521" s="18" t="s">
        <v>1938</v>
      </c>
      <c r="Q521" s="29" t="str" cm="1">
        <f t="array" ref="Q521">_xlfn.IFS(
A521="","",
AND(A521&lt;&gt;"",B521=""),"FALTA LANÇAMENTO",
AND(B521&lt;&gt;"",M521=""),"FALTA O PEDIDO",
AND(M521&lt;&gt;"",O521=""),"FALTA NF",
O521&lt;&gt;"","CONCLUÍDO")</f>
        <v>CONCLUÍDO</v>
      </c>
      <c r="R521" s="36"/>
    </row>
    <row r="522" spans="1:18" hidden="1">
      <c r="A522" s="16">
        <v>46062</v>
      </c>
      <c r="B522" s="16">
        <v>46069</v>
      </c>
      <c r="C522" s="21">
        <v>81521296</v>
      </c>
      <c r="D522" s="16" t="str">
        <f>IFERROR(VLOOKUP(Tabela5[[#This Row],[PREFIXO ]],Tabela4[#All],2,0),"CENTRO DE CUSTO")</f>
        <v>PLANT GRÃOS CASE FAST RISER 60 LINHAS</v>
      </c>
      <c r="E522" s="18" t="s">
        <v>179</v>
      </c>
      <c r="F522" s="21">
        <v>2258</v>
      </c>
      <c r="G522" s="22">
        <v>3500</v>
      </c>
      <c r="H522" s="22">
        <v>2149.7199999999998</v>
      </c>
      <c r="I522" s="22">
        <f t="shared" si="9"/>
        <v>5649.7199999999993</v>
      </c>
      <c r="J522" s="18" t="s">
        <v>1199</v>
      </c>
      <c r="K522" s="18">
        <v>9763303</v>
      </c>
      <c r="L522" s="18">
        <v>865466</v>
      </c>
      <c r="M522" s="18" t="s">
        <v>1950</v>
      </c>
      <c r="N522" s="16" t="s">
        <v>1433</v>
      </c>
      <c r="O522" s="18" t="s">
        <v>1951</v>
      </c>
      <c r="P522" s="18" t="s">
        <v>1935</v>
      </c>
      <c r="Q522" s="29" t="str" cm="1">
        <f t="array" ref="Q522">_xlfn.IFS(
A522="","",
AND(A522&lt;&gt;"",B522=""),"FALTA LANÇAMENTO",
AND(B522&lt;&gt;"",M522=""),"FALTA O PEDIDO",
AND(M522&lt;&gt;"",O522=""),"FALTA NF",
O522&lt;&gt;"","CONCLUÍDO")</f>
        <v>CONCLUÍDO</v>
      </c>
      <c r="R522" s="36"/>
    </row>
    <row r="523" spans="1:18" hidden="1">
      <c r="A523" s="16">
        <v>46062</v>
      </c>
      <c r="B523" s="16">
        <v>46069</v>
      </c>
      <c r="C523" s="21">
        <v>17320834</v>
      </c>
      <c r="D523" s="16" t="str">
        <f>IFERROR(VLOOKUP(Tabela5[[#This Row],[PREFIXO ]],Tabela4[#All],2,0),"CENTRO DE CUSTO")</f>
        <v>PLANTADEIRA CASE IH FAST RISER 6100</v>
      </c>
      <c r="E523" s="18" t="s">
        <v>179</v>
      </c>
      <c r="F523" s="21">
        <v>2260</v>
      </c>
      <c r="G523" s="22">
        <v>3500</v>
      </c>
      <c r="H523" s="22">
        <v>1945.9</v>
      </c>
      <c r="I523" s="22">
        <f t="shared" si="9"/>
        <v>5445.9</v>
      </c>
      <c r="J523" s="18" t="s">
        <v>1199</v>
      </c>
      <c r="K523" s="18">
        <v>9763305</v>
      </c>
      <c r="L523" s="18">
        <v>865305</v>
      </c>
      <c r="M523" s="18" t="s">
        <v>1952</v>
      </c>
      <c r="N523" s="16" t="s">
        <v>1433</v>
      </c>
      <c r="O523" s="18" t="s">
        <v>1953</v>
      </c>
      <c r="P523" s="18" t="s">
        <v>1935</v>
      </c>
      <c r="Q523" s="29" t="str" cm="1">
        <f t="array" ref="Q523">_xlfn.IFS(
A523="","",
AND(A523&lt;&gt;"",B523=""),"FALTA LANÇAMENTO",
AND(B523&lt;&gt;"",M523=""),"FALTA O PEDIDO",
AND(M523&lt;&gt;"",O523=""),"FALTA NF",
O523&lt;&gt;"","CONCLUÍDO")</f>
        <v>CONCLUÍDO</v>
      </c>
      <c r="R523" s="36"/>
    </row>
    <row r="524" spans="1:18" hidden="1">
      <c r="A524" s="16">
        <v>46062</v>
      </c>
      <c r="B524" s="16">
        <v>46069</v>
      </c>
      <c r="C524" s="21">
        <v>81521297</v>
      </c>
      <c r="D524" s="16" t="str">
        <f>IFERROR(VLOOKUP(Tabela5[[#This Row],[PREFIXO ]],Tabela4[#All],2,0),"CENTRO DE CUSTO")</f>
        <v>PLANT GRÃOS CASE FAST RISER 60 LINHAS</v>
      </c>
      <c r="E524" s="18" t="s">
        <v>179</v>
      </c>
      <c r="F524" s="21">
        <v>2282</v>
      </c>
      <c r="G524" s="22">
        <v>3500</v>
      </c>
      <c r="H524" s="22">
        <v>1900.78</v>
      </c>
      <c r="I524" s="22">
        <f t="shared" si="9"/>
        <v>5400.78</v>
      </c>
      <c r="J524" s="18" t="s">
        <v>1199</v>
      </c>
      <c r="K524" s="18">
        <v>9763301</v>
      </c>
      <c r="L524" s="18">
        <v>865078</v>
      </c>
      <c r="M524" s="18" t="s">
        <v>1954</v>
      </c>
      <c r="N524" s="16" t="s">
        <v>1556</v>
      </c>
      <c r="O524" s="18" t="s">
        <v>1955</v>
      </c>
      <c r="P524" s="18" t="s">
        <v>1935</v>
      </c>
      <c r="Q524" s="29" t="str" cm="1">
        <f t="array" ref="Q524">_xlfn.IFS(
A524="","",
AND(A524&lt;&gt;"",B524=""),"FALTA LANÇAMENTO",
AND(B524&lt;&gt;"",M524=""),"FALTA O PEDIDO",
AND(M524&lt;&gt;"",O524=""),"FALTA NF",
O524&lt;&gt;"","CONCLUÍDO")</f>
        <v>CONCLUÍDO</v>
      </c>
      <c r="R524" s="36"/>
    </row>
    <row r="525" spans="1:18" hidden="1">
      <c r="A525" s="16">
        <v>46062</v>
      </c>
      <c r="B525" s="16">
        <v>46069</v>
      </c>
      <c r="C525" s="21">
        <v>7320835</v>
      </c>
      <c r="D525" s="16" t="str">
        <f>IFERROR(VLOOKUP(Tabela5[[#This Row],[PREFIXO ]],Tabela4[#All],2,0),"CENTRO DE CUSTO")</f>
        <v>CENTRO DE CUSTO</v>
      </c>
      <c r="E525" s="18" t="s">
        <v>179</v>
      </c>
      <c r="F525" s="21">
        <v>2279</v>
      </c>
      <c r="G525" s="22">
        <v>3500</v>
      </c>
      <c r="H525" s="22">
        <v>1813.39</v>
      </c>
      <c r="I525" s="22">
        <f t="shared" si="9"/>
        <v>5313.39</v>
      </c>
      <c r="J525" s="18" t="s">
        <v>1199</v>
      </c>
      <c r="K525" s="18">
        <v>9763307</v>
      </c>
      <c r="L525" s="18">
        <v>865368</v>
      </c>
      <c r="M525" s="18" t="s">
        <v>1956</v>
      </c>
      <c r="N525" s="16" t="s">
        <v>1433</v>
      </c>
      <c r="O525" s="18" t="s">
        <v>1957</v>
      </c>
      <c r="P525" s="18" t="s">
        <v>1935</v>
      </c>
      <c r="Q525" s="29" t="str" cm="1">
        <f t="array" ref="Q525">_xlfn.IFS(
A525="","",
AND(A525&lt;&gt;"",B525=""),"FALTA LANÇAMENTO",
AND(B525&lt;&gt;"",M525=""),"FALTA O PEDIDO",
AND(M525&lt;&gt;"",O525=""),"FALTA NF",
O525&lt;&gt;"","CONCLUÍDO")</f>
        <v>CONCLUÍDO</v>
      </c>
      <c r="R525" s="36"/>
    </row>
    <row r="526" spans="1:18" hidden="1">
      <c r="A526" s="16">
        <v>46062</v>
      </c>
      <c r="B526" s="16">
        <v>46069</v>
      </c>
      <c r="C526" s="21">
        <v>81521295</v>
      </c>
      <c r="D526" s="16" t="str">
        <f>IFERROR(VLOOKUP(Tabela5[[#This Row],[PREFIXO ]],Tabela4[#All],2,0),"CENTRO DE CUSTO")</f>
        <v>PLANTADEIRA NH PL7000 60 LINHAS</v>
      </c>
      <c r="E526" s="18" t="s">
        <v>179</v>
      </c>
      <c r="F526" s="21">
        <v>2289</v>
      </c>
      <c r="G526" s="22">
        <v>3500</v>
      </c>
      <c r="H526" s="22">
        <v>1802.93</v>
      </c>
      <c r="I526" s="22">
        <f t="shared" si="9"/>
        <v>5302.93</v>
      </c>
      <c r="J526" s="18" t="s">
        <v>1199</v>
      </c>
      <c r="K526" s="18">
        <v>9763309</v>
      </c>
      <c r="L526" s="18">
        <v>865403</v>
      </c>
      <c r="M526" s="18" t="s">
        <v>1958</v>
      </c>
      <c r="N526" s="16" t="s">
        <v>1433</v>
      </c>
      <c r="O526" s="18" t="s">
        <v>1959</v>
      </c>
      <c r="P526" s="18" t="s">
        <v>1935</v>
      </c>
      <c r="Q526" s="29" t="str" cm="1">
        <f t="array" ref="Q526">_xlfn.IFS(
A526="","",
AND(A526&lt;&gt;"",B526=""),"FALTA LANÇAMENTO",
AND(B526&lt;&gt;"",M526=""),"FALTA O PEDIDO",
AND(M526&lt;&gt;"",O526=""),"FALTA NF",
O526&lt;&gt;"","CONCLUÍDO")</f>
        <v>CONCLUÍDO</v>
      </c>
      <c r="R526" s="36"/>
    </row>
    <row r="527" spans="1:18" hidden="1">
      <c r="A527" s="16">
        <v>46062</v>
      </c>
      <c r="B527" s="16">
        <v>46070</v>
      </c>
      <c r="C527" s="21">
        <v>17320835</v>
      </c>
      <c r="D527" s="16" t="str">
        <f>IFERROR(VLOOKUP(Tabela5[[#This Row],[PREFIXO ]],Tabela4[#All],2,0),"CENTRO DE CUSTO")</f>
        <v>PLANTADEIRA CASE IH FAST RISER 6100</v>
      </c>
      <c r="E527" s="18" t="s">
        <v>179</v>
      </c>
      <c r="F527" s="21">
        <v>2287</v>
      </c>
      <c r="G527" s="22">
        <v>3500</v>
      </c>
      <c r="H527" s="22">
        <v>1780.13</v>
      </c>
      <c r="I527" s="22">
        <f t="shared" si="9"/>
        <v>5280.13</v>
      </c>
      <c r="J527" s="18" t="s">
        <v>1199</v>
      </c>
      <c r="K527" s="18">
        <v>9763248</v>
      </c>
      <c r="L527" s="18">
        <v>866581</v>
      </c>
      <c r="M527" s="18" t="s">
        <v>1960</v>
      </c>
      <c r="N527" s="16" t="s">
        <v>1597</v>
      </c>
      <c r="O527" s="18" t="s">
        <v>1961</v>
      </c>
      <c r="P527" s="18" t="s">
        <v>1938</v>
      </c>
      <c r="Q527" s="29" t="str" cm="1">
        <f t="array" ref="Q527">_xlfn.IFS(
A527="","",
AND(A527&lt;&gt;"",B527=""),"FALTA LANÇAMENTO",
AND(B527&lt;&gt;"",M527=""),"FALTA O PEDIDO",
AND(M527&lt;&gt;"",O527=""),"FALTA NF",
O527&lt;&gt;"","CONCLUÍDO")</f>
        <v>CONCLUÍDO</v>
      </c>
      <c r="R527" s="36"/>
    </row>
    <row r="528" spans="1:18" hidden="1">
      <c r="A528" s="16">
        <v>46062</v>
      </c>
      <c r="B528" s="16">
        <v>46070</v>
      </c>
      <c r="C528" s="21">
        <v>81521334</v>
      </c>
      <c r="D528" s="16" t="str">
        <f>IFERROR(VLOOKUP(Tabela5[[#This Row],[PREFIXO ]],Tabela4[#All],2,0),"CENTRO DE CUSTO")</f>
        <v>PLANT GRÃOS N.HOLLAND PL7000 60 LINHAS</v>
      </c>
      <c r="E528" s="18" t="s">
        <v>179</v>
      </c>
      <c r="F528" s="21">
        <v>2261</v>
      </c>
      <c r="G528" s="22">
        <v>3500</v>
      </c>
      <c r="H528" s="22">
        <v>1708.36</v>
      </c>
      <c r="I528" s="22">
        <f t="shared" si="9"/>
        <v>5208.3599999999997</v>
      </c>
      <c r="J528" s="18" t="s">
        <v>1199</v>
      </c>
      <c r="K528" s="18">
        <v>9763254</v>
      </c>
      <c r="L528" s="18">
        <v>866513</v>
      </c>
      <c r="M528" s="18" t="s">
        <v>1962</v>
      </c>
      <c r="N528" s="16" t="s">
        <v>1433</v>
      </c>
      <c r="O528" s="18" t="s">
        <v>1963</v>
      </c>
      <c r="P528" s="18" t="s">
        <v>1938</v>
      </c>
      <c r="Q528" s="29" t="str" cm="1">
        <f t="array" ref="Q528">_xlfn.IFS(
A528="","",
AND(A528&lt;&gt;"",B528=""),"FALTA LANÇAMENTO",
AND(B528&lt;&gt;"",M528=""),"FALTA O PEDIDO",
AND(M528&lt;&gt;"",O528=""),"FALTA NF",
O528&lt;&gt;"","CONCLUÍDO")</f>
        <v>CONCLUÍDO</v>
      </c>
      <c r="R528" s="36"/>
    </row>
    <row r="529" spans="1:18" hidden="1">
      <c r="A529" s="16">
        <v>46062</v>
      </c>
      <c r="B529" s="16">
        <v>46070</v>
      </c>
      <c r="C529" s="21">
        <v>17320836</v>
      </c>
      <c r="D529" s="16" t="str">
        <f>IFERROR(VLOOKUP(Tabela5[[#This Row],[PREFIXO ]],Tabela4[#All],2,0),"CENTRO DE CUSTO")</f>
        <v>PLANTADEIRA CASE IH FAST RISER 6100</v>
      </c>
      <c r="E529" s="18" t="s">
        <v>179</v>
      </c>
      <c r="F529" s="21">
        <v>2263</v>
      </c>
      <c r="G529" s="22">
        <v>3500</v>
      </c>
      <c r="H529" s="22">
        <v>1695.89</v>
      </c>
      <c r="I529" s="22">
        <f t="shared" si="9"/>
        <v>5195.8900000000003</v>
      </c>
      <c r="J529" s="18" t="s">
        <v>1199</v>
      </c>
      <c r="K529" s="18">
        <v>9763249</v>
      </c>
      <c r="L529" s="18">
        <v>866551</v>
      </c>
      <c r="M529" s="18" t="s">
        <v>1964</v>
      </c>
      <c r="N529" s="16" t="s">
        <v>1597</v>
      </c>
      <c r="O529" s="18" t="s">
        <v>1965</v>
      </c>
      <c r="P529" s="18" t="s">
        <v>1938</v>
      </c>
      <c r="Q529" s="29" t="str" cm="1">
        <f t="array" ref="Q529">_xlfn.IFS(
A529="","",
AND(A529&lt;&gt;"",B529=""),"FALTA LANÇAMENTO",
AND(B529&lt;&gt;"",M529=""),"FALTA O PEDIDO",
AND(M529&lt;&gt;"",O529=""),"FALTA NF",
O529&lt;&gt;"","CONCLUÍDO")</f>
        <v>CONCLUÍDO</v>
      </c>
      <c r="R529" s="36"/>
    </row>
    <row r="530" spans="1:18" hidden="1">
      <c r="A530" s="16">
        <v>46062</v>
      </c>
      <c r="B530" s="16">
        <v>46070</v>
      </c>
      <c r="C530" s="21">
        <v>17320832</v>
      </c>
      <c r="D530" s="16" t="str">
        <f>IFERROR(VLOOKUP(Tabela5[[#This Row],[PREFIXO ]],Tabela4[#All],2,0),"CENTRO DE CUSTO")</f>
        <v>PLANTADEIRA CASE IH FAST RISER 6100</v>
      </c>
      <c r="E530" s="18" t="s">
        <v>179</v>
      </c>
      <c r="F530" s="21">
        <v>2262</v>
      </c>
      <c r="G530" s="22">
        <v>3500</v>
      </c>
      <c r="H530" s="22">
        <v>1668.52</v>
      </c>
      <c r="I530" s="22">
        <f t="shared" si="9"/>
        <v>5168.5200000000004</v>
      </c>
      <c r="J530" s="18" t="s">
        <v>1199</v>
      </c>
      <c r="K530" s="18">
        <v>9763256</v>
      </c>
      <c r="L530" s="18">
        <v>866461</v>
      </c>
      <c r="M530" s="18" t="s">
        <v>1966</v>
      </c>
      <c r="N530" s="16" t="s">
        <v>1433</v>
      </c>
      <c r="O530" s="18" t="s">
        <v>1967</v>
      </c>
      <c r="P530" s="18" t="s">
        <v>1938</v>
      </c>
      <c r="Q530" s="29" t="str" cm="1">
        <f t="array" ref="Q530">_xlfn.IFS(
A530="","",
AND(A530&lt;&gt;"",B530=""),"FALTA LANÇAMENTO",
AND(B530&lt;&gt;"",M530=""),"FALTA O PEDIDO",
AND(M530&lt;&gt;"",O530=""),"FALTA NF",
O530&lt;&gt;"","CONCLUÍDO")</f>
        <v>CONCLUÍDO</v>
      </c>
      <c r="R530" s="36"/>
    </row>
    <row r="531" spans="1:18" hidden="1">
      <c r="A531" s="16">
        <v>46062</v>
      </c>
      <c r="B531" s="16">
        <v>46069</v>
      </c>
      <c r="C531" s="21">
        <v>17320837</v>
      </c>
      <c r="D531" s="16" t="str">
        <f>IFERROR(VLOOKUP(Tabela5[[#This Row],[PREFIXO ]],Tabela4[#All],2,0),"CENTRO DE CUSTO")</f>
        <v>PLANTADEIRA CASE IH FAST RISER 6100</v>
      </c>
      <c r="E531" s="18" t="s">
        <v>179</v>
      </c>
      <c r="F531" s="21">
        <v>2259</v>
      </c>
      <c r="G531" s="22">
        <v>3500</v>
      </c>
      <c r="H531" s="22">
        <v>1552.42</v>
      </c>
      <c r="I531" s="22">
        <f t="shared" si="9"/>
        <v>5052.42</v>
      </c>
      <c r="J531" s="18" t="s">
        <v>1199</v>
      </c>
      <c r="K531" s="18">
        <v>9763306</v>
      </c>
      <c r="L531" s="18">
        <v>865331</v>
      </c>
      <c r="M531" s="18" t="s">
        <v>1968</v>
      </c>
      <c r="N531" s="16" t="s">
        <v>1433</v>
      </c>
      <c r="O531" s="18" t="s">
        <v>1969</v>
      </c>
      <c r="P531" s="18" t="s">
        <v>1935</v>
      </c>
      <c r="Q531" s="29" t="str" cm="1">
        <f t="array" ref="Q531">_xlfn.IFS(
A531="","",
AND(A531&lt;&gt;"",B531=""),"FALTA LANÇAMENTO",
AND(B531&lt;&gt;"",M531=""),"FALTA O PEDIDO",
AND(M531&lt;&gt;"",O531=""),"FALTA NF",
O531&lt;&gt;"","CONCLUÍDO")</f>
        <v>CONCLUÍDO</v>
      </c>
      <c r="R531" s="36"/>
    </row>
    <row r="532" spans="1:18" hidden="1">
      <c r="A532" s="16">
        <v>46062</v>
      </c>
      <c r="B532" s="16">
        <v>46069</v>
      </c>
      <c r="C532" s="21">
        <v>17320833</v>
      </c>
      <c r="D532" s="16" t="str">
        <f>IFERROR(VLOOKUP(Tabela5[[#This Row],[PREFIXO ]],Tabela4[#All],2,0),"CENTRO DE CUSTO")</f>
        <v>PLANTADEIRA CASE IH FAST RISER 6100</v>
      </c>
      <c r="E532" s="18" t="s">
        <v>179</v>
      </c>
      <c r="F532" s="21">
        <v>2264</v>
      </c>
      <c r="G532" s="22">
        <v>2500</v>
      </c>
      <c r="H532" s="22">
        <v>1741.71</v>
      </c>
      <c r="I532" s="22">
        <f t="shared" si="9"/>
        <v>4241.71</v>
      </c>
      <c r="J532" s="18" t="s">
        <v>1199</v>
      </c>
      <c r="K532" s="18">
        <v>9763259</v>
      </c>
      <c r="L532" s="18">
        <v>865236</v>
      </c>
      <c r="M532" s="18" t="s">
        <v>1970</v>
      </c>
      <c r="N532" s="16" t="s">
        <v>1433</v>
      </c>
      <c r="O532" s="18" t="s">
        <v>1971</v>
      </c>
      <c r="P532" s="18" t="s">
        <v>1938</v>
      </c>
      <c r="Q532" s="29" t="str" cm="1">
        <f t="array" ref="Q532">_xlfn.IFS(
A532="","",
AND(A532&lt;&gt;"",B532=""),"FALTA LANÇAMENTO",
AND(B532&lt;&gt;"",M532=""),"FALTA O PEDIDO",
AND(M532&lt;&gt;"",O532=""),"FALTA NF",
O532&lt;&gt;"","CONCLUÍDO")</f>
        <v>CONCLUÍDO</v>
      </c>
      <c r="R532" s="36"/>
    </row>
    <row r="533" spans="1:18" hidden="1">
      <c r="A533" s="16">
        <v>46062</v>
      </c>
      <c r="B533" s="16">
        <v>46069</v>
      </c>
      <c r="C533" s="21">
        <v>81521335</v>
      </c>
      <c r="D533" s="16" t="str">
        <f>IFERROR(VLOOKUP(Tabela5[[#This Row],[PREFIXO ]],Tabela4[#All],2,0),"CENTRO DE CUSTO")</f>
        <v>PLANT GRÃOS N.HOLLAND PL7000 60 LINHAS</v>
      </c>
      <c r="E533" s="18" t="s">
        <v>179</v>
      </c>
      <c r="F533" s="21">
        <v>2286</v>
      </c>
      <c r="G533" s="22">
        <v>2500</v>
      </c>
      <c r="H533" s="22">
        <v>1586.32</v>
      </c>
      <c r="I533" s="22">
        <f t="shared" si="9"/>
        <v>4086.3199999999997</v>
      </c>
      <c r="J533" s="18" t="s">
        <v>1199</v>
      </c>
      <c r="K533" s="18">
        <v>9763258</v>
      </c>
      <c r="L533" s="18">
        <v>865279</v>
      </c>
      <c r="M533" s="18" t="s">
        <v>1972</v>
      </c>
      <c r="N533" s="16" t="s">
        <v>1433</v>
      </c>
      <c r="O533" s="18" t="s">
        <v>1973</v>
      </c>
      <c r="P533" s="18" t="s">
        <v>1935</v>
      </c>
      <c r="Q533" s="29" t="str" cm="1">
        <f t="array" ref="Q533">_xlfn.IFS(
A533="","",
AND(A533&lt;&gt;"",B533=""),"FALTA LANÇAMENTO",
AND(B533&lt;&gt;"",M533=""),"FALTA O PEDIDO",
AND(M533&lt;&gt;"",O533=""),"FALTA NF",
O533&lt;&gt;"","CONCLUÍDO")</f>
        <v>CONCLUÍDO</v>
      </c>
      <c r="R533" s="36"/>
    </row>
    <row r="534" spans="1:18" hidden="1">
      <c r="A534" s="16">
        <v>46062</v>
      </c>
      <c r="B534" s="16">
        <v>46064</v>
      </c>
      <c r="C534" s="21">
        <v>500580090</v>
      </c>
      <c r="D534" s="16" t="str">
        <f>IFERROR(VLOOKUP(Tabela5[[#This Row],[PREFIXO ]],Tabela4[#All],2,0),"CENTRO DE CUSTO")</f>
        <v>Plantadeiras</v>
      </c>
      <c r="E534" s="18" t="s">
        <v>179</v>
      </c>
      <c r="F534" s="21">
        <v>2305</v>
      </c>
      <c r="G534" s="22">
        <v>4000.8</v>
      </c>
      <c r="H534" s="22"/>
      <c r="I534" s="22">
        <f t="shared" si="9"/>
        <v>4000.8</v>
      </c>
      <c r="J534" s="18" t="s">
        <v>1199</v>
      </c>
      <c r="K534" s="18">
        <v>5019295</v>
      </c>
      <c r="L534" s="18">
        <v>861962</v>
      </c>
      <c r="M534" s="18" t="s">
        <v>1974</v>
      </c>
      <c r="N534" s="16" t="s">
        <v>1492</v>
      </c>
      <c r="O534" s="18" t="s">
        <v>1975</v>
      </c>
      <c r="P534" s="18" t="s">
        <v>1127</v>
      </c>
      <c r="Q534" s="29" t="str" cm="1">
        <f t="array" ref="Q534">_xlfn.IFS(
A534="","",
AND(A534&lt;&gt;"",B534=""),"FALTA LANÇAMENTO",
AND(B534&lt;&gt;"",M534=""),"FALTA O PEDIDO",
AND(M534&lt;&gt;"",O534=""),"FALTA NF",
O534&lt;&gt;"","CONCLUÍDO")</f>
        <v>CONCLUÍDO</v>
      </c>
      <c r="R534" s="36"/>
    </row>
    <row r="535" spans="1:18" hidden="1">
      <c r="A535" s="16">
        <v>46062</v>
      </c>
      <c r="B535" s="16">
        <v>46080</v>
      </c>
      <c r="C535" s="21">
        <v>81521331</v>
      </c>
      <c r="D535" s="16" t="str">
        <f>IFERROR(VLOOKUP(Tabela5[[#This Row],[PREFIXO ]],Tabela4[#All],2,0),"CENTRO DE CUSTO")</f>
        <v>PLANT GRÃOS N.HOLLAND PL7000 60 LINHAS</v>
      </c>
      <c r="E535" s="18" t="s">
        <v>179</v>
      </c>
      <c r="F535" s="21">
        <v>2288</v>
      </c>
      <c r="G535" s="22">
        <v>2500</v>
      </c>
      <c r="H535" s="22">
        <v>1356.98</v>
      </c>
      <c r="I535" s="22">
        <f t="shared" si="9"/>
        <v>3856.98</v>
      </c>
      <c r="J535" s="18" t="s">
        <v>1199</v>
      </c>
      <c r="K535" s="18">
        <v>9763257</v>
      </c>
      <c r="L535" s="18">
        <v>872890</v>
      </c>
      <c r="M535" s="18" t="s">
        <v>1976</v>
      </c>
      <c r="N535" s="16" t="s">
        <v>1700</v>
      </c>
      <c r="O535" s="18" t="s">
        <v>1977</v>
      </c>
      <c r="P535" s="18" t="s">
        <v>1978</v>
      </c>
      <c r="Q535" s="29" t="str" cm="1">
        <f t="array" ref="Q535">_xlfn.IFS(
A535="","",
AND(A535&lt;&gt;"",B535=""),"FALTA LANÇAMENTO",
AND(B535&lt;&gt;"",M535=""),"FALTA O PEDIDO",
AND(M535&lt;&gt;"",O535=""),"FALTA NF",
O535&lt;&gt;"","CONCLUÍDO")</f>
        <v>CONCLUÍDO</v>
      </c>
      <c r="R535" s="36"/>
    </row>
    <row r="536" spans="1:18" hidden="1">
      <c r="A536" s="16">
        <v>46062</v>
      </c>
      <c r="B536" s="16">
        <v>46064</v>
      </c>
      <c r="C536" s="21"/>
      <c r="D536" s="16" t="str">
        <f>IFERROR(VLOOKUP(Tabela5[[#This Row],[PREFIXO ]],Tabela4[#All],2,0),"CENTRO DE CUSTO")</f>
        <v>CENTRO DE CUSTO</v>
      </c>
      <c r="E536" s="18" t="s">
        <v>179</v>
      </c>
      <c r="F536" s="21">
        <v>347</v>
      </c>
      <c r="G536" s="22">
        <v>566</v>
      </c>
      <c r="H536" s="22"/>
      <c r="I536" s="22">
        <f t="shared" si="9"/>
        <v>566</v>
      </c>
      <c r="J536" s="18" t="s">
        <v>1085</v>
      </c>
      <c r="K536" s="18">
        <v>9762649</v>
      </c>
      <c r="L536" s="18" t="s">
        <v>1095</v>
      </c>
      <c r="M536" s="18" t="s">
        <v>1095</v>
      </c>
      <c r="N536" s="16" t="s">
        <v>1095</v>
      </c>
      <c r="O536" s="18" t="s">
        <v>1095</v>
      </c>
      <c r="P536" s="18" t="s">
        <v>1095</v>
      </c>
      <c r="Q536" s="29" t="str" cm="1">
        <f t="array" ref="Q536">_xlfn.IFS(
A536="","",
AND(A536&lt;&gt;"",B536=""),"FALTA LANÇAMENTO",
AND(B536&lt;&gt;"",M536=""),"FALTA O PEDIDO",
AND(M536&lt;&gt;"",O536=""),"FALTA NF",
O536&lt;&gt;"","CONCLUÍDO")</f>
        <v>CONCLUÍDO</v>
      </c>
      <c r="R536" s="36"/>
    </row>
    <row r="537" spans="1:18" hidden="1">
      <c r="A537" s="16">
        <v>46062</v>
      </c>
      <c r="B537" s="16">
        <v>46065</v>
      </c>
      <c r="C537" s="21">
        <v>500580263</v>
      </c>
      <c r="D537" s="16" t="str">
        <f>IFERROR(VLOOKUP(Tabela5[[#This Row],[PREFIXO ]],Tabela4[#All],2,0),"CENTRO DE CUSTO")</f>
        <v>Colheit. Grãos-Axial</v>
      </c>
      <c r="E537" s="18" t="s">
        <v>308</v>
      </c>
      <c r="F537" s="21" t="s">
        <v>1298</v>
      </c>
      <c r="G537" s="22">
        <v>10444</v>
      </c>
      <c r="H537" s="22"/>
      <c r="I537" s="22">
        <f t="shared" si="9"/>
        <v>10444</v>
      </c>
      <c r="J537" s="18" t="s">
        <v>1123</v>
      </c>
      <c r="K537" s="18">
        <v>5019405</v>
      </c>
      <c r="L537" s="18">
        <v>863002</v>
      </c>
      <c r="M537" s="18" t="s">
        <v>1979</v>
      </c>
      <c r="N537" s="16" t="s">
        <v>1127</v>
      </c>
      <c r="O537" s="18" t="s">
        <v>1536</v>
      </c>
      <c r="P537" s="18" t="s">
        <v>1885</v>
      </c>
      <c r="Q537" s="29" t="str" cm="1">
        <f t="array" ref="Q537">_xlfn.IFS(
A537="","",
AND(A537&lt;&gt;"",B537=""),"FALTA LANÇAMENTO",
AND(B537&lt;&gt;"",M537=""),"FALTA O PEDIDO",
AND(M537&lt;&gt;"",O537=""),"FALTA NF",
O537&lt;&gt;"","CONCLUÍDO")</f>
        <v>CONCLUÍDO</v>
      </c>
      <c r="R537" s="36"/>
    </row>
    <row r="538" spans="1:18" hidden="1">
      <c r="A538" s="16">
        <v>46062</v>
      </c>
      <c r="B538" s="16">
        <v>46065</v>
      </c>
      <c r="C538" s="21">
        <v>500580263</v>
      </c>
      <c r="D538" s="16" t="str">
        <f>IFERROR(VLOOKUP(Tabela5[[#This Row],[PREFIXO ]],Tabela4[#All],2,0),"CENTRO DE CUSTO")</f>
        <v>Colheit. Grãos-Axial</v>
      </c>
      <c r="E538" s="18" t="s">
        <v>308</v>
      </c>
      <c r="F538" s="21" t="s">
        <v>1308</v>
      </c>
      <c r="G538" s="22">
        <v>2362.5</v>
      </c>
      <c r="H538" s="22"/>
      <c r="I538" s="22">
        <f t="shared" si="9"/>
        <v>2362.5</v>
      </c>
      <c r="J538" s="18" t="s">
        <v>1123</v>
      </c>
      <c r="K538" s="18">
        <v>5019403</v>
      </c>
      <c r="L538" s="18">
        <v>863002</v>
      </c>
      <c r="M538" s="18" t="s">
        <v>1979</v>
      </c>
      <c r="N538" s="16" t="s">
        <v>1127</v>
      </c>
      <c r="O538" s="18" t="s">
        <v>1536</v>
      </c>
      <c r="P538" s="18" t="s">
        <v>1885</v>
      </c>
      <c r="Q538" s="29" t="str" cm="1">
        <f t="array" ref="Q538">_xlfn.IFS(
A538="","",
AND(A538&lt;&gt;"",B538=""),"FALTA LANÇAMENTO",
AND(B538&lt;&gt;"",M538=""),"FALTA O PEDIDO",
AND(M538&lt;&gt;"",O538=""),"FALTA NF",
O538&lt;&gt;"","CONCLUÍDO")</f>
        <v>CONCLUÍDO</v>
      </c>
      <c r="R538" s="36"/>
    </row>
    <row r="539" spans="1:18" hidden="1">
      <c r="A539" s="16">
        <v>46062</v>
      </c>
      <c r="B539" s="16">
        <v>46065</v>
      </c>
      <c r="C539" s="21">
        <v>500580263</v>
      </c>
      <c r="D539" s="16" t="str">
        <f>IFERROR(VLOOKUP(Tabela5[[#This Row],[PREFIXO ]],Tabela4[#All],2,0),"CENTRO DE CUSTO")</f>
        <v>Colheit. Grãos-Axial</v>
      </c>
      <c r="E539" s="18" t="s">
        <v>308</v>
      </c>
      <c r="F539" s="21" t="s">
        <v>1310</v>
      </c>
      <c r="G539" s="22">
        <v>2020</v>
      </c>
      <c r="H539" s="22"/>
      <c r="I539" s="22">
        <f t="shared" si="9"/>
        <v>2020</v>
      </c>
      <c r="J539" s="18" t="s">
        <v>1123</v>
      </c>
      <c r="K539" s="18">
        <v>5019404</v>
      </c>
      <c r="L539" s="18">
        <v>863002</v>
      </c>
      <c r="M539" s="18" t="s">
        <v>1979</v>
      </c>
      <c r="N539" s="16" t="s">
        <v>1127</v>
      </c>
      <c r="O539" s="18" t="s">
        <v>1536</v>
      </c>
      <c r="P539" s="18" t="s">
        <v>1885</v>
      </c>
      <c r="Q539" s="29" t="str" cm="1">
        <f t="array" ref="Q539">_xlfn.IFS(
A539="","",
AND(A539&lt;&gt;"",B539=""),"FALTA LANÇAMENTO",
AND(B539&lt;&gt;"",M539=""),"FALTA O PEDIDO",
AND(M539&lt;&gt;"",O539=""),"FALTA NF",
O539&lt;&gt;"","CONCLUÍDO")</f>
        <v>CONCLUÍDO</v>
      </c>
      <c r="R539" s="36"/>
    </row>
    <row r="540" spans="1:18" hidden="1">
      <c r="A540" s="16">
        <v>46062</v>
      </c>
      <c r="B540" s="16">
        <v>46066</v>
      </c>
      <c r="C540" s="21" t="s">
        <v>1980</v>
      </c>
      <c r="D540" s="16" t="str">
        <f>IFERROR(VLOOKUP(Tabela5[[#This Row],[PREFIXO ]],Tabela4[#All],2,0),"CENTRO DE CUSTO")</f>
        <v>CENTRO DE CUSTO</v>
      </c>
      <c r="E540" s="18" t="s">
        <v>71</v>
      </c>
      <c r="F540" s="21">
        <v>7698</v>
      </c>
      <c r="G540" s="22">
        <v>13600.7</v>
      </c>
      <c r="H540" s="22">
        <v>6614.48</v>
      </c>
      <c r="I540" s="22">
        <f t="shared" si="9"/>
        <v>20215.18</v>
      </c>
      <c r="J540" s="18" t="s">
        <v>1123</v>
      </c>
      <c r="K540" s="18" t="s">
        <v>1981</v>
      </c>
      <c r="L540" s="18">
        <v>863637</v>
      </c>
      <c r="M540" s="18" t="s">
        <v>1982</v>
      </c>
      <c r="N540" s="16" t="s">
        <v>1556</v>
      </c>
      <c r="O540" s="18" t="s">
        <v>1983</v>
      </c>
      <c r="P540" s="18" t="s">
        <v>1816</v>
      </c>
      <c r="Q540" s="29" t="str" cm="1">
        <f t="array" ref="Q540">_xlfn.IFS(
A540="","",
AND(A540&lt;&gt;"",B540=""),"FALTA LANÇAMENTO",
AND(B540&lt;&gt;"",M540=""),"FALTA O PEDIDO",
AND(M540&lt;&gt;"",O540=""),"FALTA NF",
O540&lt;&gt;"","CONCLUÍDO")</f>
        <v>CONCLUÍDO</v>
      </c>
      <c r="R540" s="36"/>
    </row>
    <row r="541" spans="1:18" hidden="1">
      <c r="A541" s="16">
        <v>46062</v>
      </c>
      <c r="B541" s="16">
        <v>46069</v>
      </c>
      <c r="C541" s="21" t="s">
        <v>1984</v>
      </c>
      <c r="D541" s="16" t="str">
        <f>IFERROR(VLOOKUP(Tabela5[[#This Row],[PREFIXO ]],Tabela4[#All],2,0),"CENTRO DE CUSTO")</f>
        <v>CENTRO DE CUSTO</v>
      </c>
      <c r="E541" s="18" t="s">
        <v>71</v>
      </c>
      <c r="F541" s="21">
        <v>7696</v>
      </c>
      <c r="G541" s="22">
        <v>8229.83</v>
      </c>
      <c r="H541" s="22">
        <v>1070.3499999999999</v>
      </c>
      <c r="I541" s="22">
        <f t="shared" si="9"/>
        <v>9300.18</v>
      </c>
      <c r="J541" s="18" t="s">
        <v>1123</v>
      </c>
      <c r="K541" s="18" t="s">
        <v>1985</v>
      </c>
      <c r="L541" s="18">
        <v>865495</v>
      </c>
      <c r="M541" s="18" t="s">
        <v>1986</v>
      </c>
      <c r="N541" s="16" t="s">
        <v>1433</v>
      </c>
      <c r="O541" s="18" t="s">
        <v>1987</v>
      </c>
      <c r="P541" s="18" t="s">
        <v>1486</v>
      </c>
      <c r="Q541" s="29" t="str" cm="1">
        <f t="array" ref="Q541">_xlfn.IFS(
A541="","",
AND(A541&lt;&gt;"",B541=""),"FALTA LANÇAMENTO",
AND(B541&lt;&gt;"",M541=""),"FALTA O PEDIDO",
AND(M541&lt;&gt;"",O541=""),"FALTA NF",
O541&lt;&gt;"","CONCLUÍDO")</f>
        <v>CONCLUÍDO</v>
      </c>
      <c r="R541" s="36"/>
    </row>
    <row r="542" spans="1:18" hidden="1">
      <c r="A542" s="16">
        <v>46062</v>
      </c>
      <c r="B542" s="16">
        <v>46066</v>
      </c>
      <c r="C542" s="21">
        <v>500580263</v>
      </c>
      <c r="D542" s="16" t="str">
        <f>IFERROR(VLOOKUP(Tabela5[[#This Row],[PREFIXO ]],Tabela4[#All],2,0),"CENTRO DE CUSTO")</f>
        <v>Colheit. Grãos-Axial</v>
      </c>
      <c r="E542" s="18" t="s">
        <v>71</v>
      </c>
      <c r="F542" s="21">
        <v>7697</v>
      </c>
      <c r="G542" s="22">
        <v>6012.04</v>
      </c>
      <c r="H542" s="22">
        <v>493.2</v>
      </c>
      <c r="I542" s="22">
        <f t="shared" si="9"/>
        <v>6505.24</v>
      </c>
      <c r="J542" s="18" t="s">
        <v>1123</v>
      </c>
      <c r="K542" s="18">
        <v>5019371</v>
      </c>
      <c r="L542" s="18">
        <v>863878</v>
      </c>
      <c r="M542" s="18" t="s">
        <v>1988</v>
      </c>
      <c r="N542" s="16" t="s">
        <v>1814</v>
      </c>
      <c r="O542" s="18" t="s">
        <v>1989</v>
      </c>
      <c r="P542" s="18" t="s">
        <v>1816</v>
      </c>
      <c r="Q542" s="29" t="str" cm="1">
        <f t="array" ref="Q542">_xlfn.IFS(
A542="","",
AND(A542&lt;&gt;"",B542=""),"FALTA LANÇAMENTO",
AND(B542&lt;&gt;"",M542=""),"FALTA O PEDIDO",
AND(M542&lt;&gt;"",O542=""),"FALTA NF",
O542&lt;&gt;"","CONCLUÍDO")</f>
        <v>CONCLUÍDO</v>
      </c>
      <c r="R542" s="36"/>
    </row>
    <row r="543" spans="1:18" hidden="1">
      <c r="A543" s="16">
        <v>46062</v>
      </c>
      <c r="B543" s="16">
        <v>46073</v>
      </c>
      <c r="C543" s="21">
        <v>500580263</v>
      </c>
      <c r="D543" s="16" t="str">
        <f>IFERROR(VLOOKUP(Tabela5[[#This Row],[PREFIXO ]],Tabela4[#All],2,0),"CENTRO DE CUSTO")</f>
        <v>Colheit. Grãos-Axial</v>
      </c>
      <c r="E543" s="18" t="s">
        <v>218</v>
      </c>
      <c r="F543" s="21">
        <v>26446</v>
      </c>
      <c r="G543" s="22">
        <v>17675</v>
      </c>
      <c r="H543" s="22">
        <v>66920.94</v>
      </c>
      <c r="I543" s="22">
        <f t="shared" si="9"/>
        <v>84595.94</v>
      </c>
      <c r="J543" s="18" t="s">
        <v>1123</v>
      </c>
      <c r="K543" s="18">
        <v>5019410</v>
      </c>
      <c r="L543" s="18">
        <v>869608</v>
      </c>
      <c r="M543" s="18" t="s">
        <v>1990</v>
      </c>
      <c r="N543" s="16" t="s">
        <v>1892</v>
      </c>
      <c r="O543" s="18" t="s">
        <v>1991</v>
      </c>
      <c r="P543" s="18" t="s">
        <v>1935</v>
      </c>
      <c r="Q543" s="29" t="str" cm="1">
        <f t="array" ref="Q543">_xlfn.IFS(
A543="","",
AND(A543&lt;&gt;"",B543=""),"FALTA LANÇAMENTO",
AND(B543&lt;&gt;"",M543=""),"FALTA O PEDIDO",
AND(M543&lt;&gt;"",O543=""),"FALTA NF",
O543&lt;&gt;"","CONCLUÍDO")</f>
        <v>CONCLUÍDO</v>
      </c>
      <c r="R543" s="36"/>
    </row>
    <row r="544" spans="1:18" hidden="1">
      <c r="A544" s="16">
        <v>46062</v>
      </c>
      <c r="B544" s="16">
        <v>46071</v>
      </c>
      <c r="C544" s="21">
        <v>500580263</v>
      </c>
      <c r="D544" s="16" t="str">
        <f>IFERROR(VLOOKUP(Tabela5[[#This Row],[PREFIXO ]],Tabela4[#All],2,0),"CENTRO DE CUSTO")</f>
        <v>Colheit. Grãos-Axial</v>
      </c>
      <c r="E544" s="18" t="s">
        <v>218</v>
      </c>
      <c r="F544" s="21">
        <v>26418</v>
      </c>
      <c r="G544" s="22">
        <v>18677.5</v>
      </c>
      <c r="H544" s="22">
        <v>61689.04</v>
      </c>
      <c r="I544" s="22">
        <f t="shared" si="9"/>
        <v>80366.540000000008</v>
      </c>
      <c r="J544" s="18" t="s">
        <v>1123</v>
      </c>
      <c r="K544" s="18">
        <v>5019409</v>
      </c>
      <c r="L544" s="18">
        <v>865665</v>
      </c>
      <c r="M544" s="18" t="s">
        <v>1992</v>
      </c>
      <c r="N544" s="16" t="s">
        <v>1779</v>
      </c>
      <c r="O544" s="18" t="s">
        <v>1993</v>
      </c>
      <c r="P544" s="18" t="s">
        <v>1781</v>
      </c>
      <c r="Q544" s="29" t="str" cm="1">
        <f t="array" ref="Q544">_xlfn.IFS(
A544="","",
AND(A544&lt;&gt;"",B544=""),"FALTA LANÇAMENTO",
AND(B544&lt;&gt;"",M544=""),"FALTA O PEDIDO",
AND(M544&lt;&gt;"",O544=""),"FALTA NF",
O544&lt;&gt;"","CONCLUÍDO")</f>
        <v>CONCLUÍDO</v>
      </c>
      <c r="R544" s="36"/>
    </row>
    <row r="545" spans="1:18" hidden="1">
      <c r="A545" s="16">
        <v>46062</v>
      </c>
      <c r="B545" s="16">
        <v>46077</v>
      </c>
      <c r="C545" s="21">
        <v>500580263</v>
      </c>
      <c r="D545" s="16" t="str">
        <f>IFERROR(VLOOKUP(Tabela5[[#This Row],[PREFIXO ]],Tabela4[#All],2,0),"CENTRO DE CUSTO")</f>
        <v>Colheit. Grãos-Axial</v>
      </c>
      <c r="E545" s="18" t="s">
        <v>218</v>
      </c>
      <c r="F545" s="21">
        <v>26417</v>
      </c>
      <c r="G545" s="22">
        <v>17795</v>
      </c>
      <c r="H545" s="22">
        <v>60452.41</v>
      </c>
      <c r="I545" s="22">
        <f t="shared" si="9"/>
        <v>78247.41</v>
      </c>
      <c r="J545" s="18" t="s">
        <v>1123</v>
      </c>
      <c r="K545" s="18">
        <v>5019407</v>
      </c>
      <c r="L545" s="18">
        <v>869258</v>
      </c>
      <c r="M545" s="18" t="s">
        <v>1994</v>
      </c>
      <c r="N545" s="16" t="s">
        <v>1875</v>
      </c>
      <c r="O545" s="18" t="s">
        <v>1995</v>
      </c>
      <c r="P545" s="18" t="s">
        <v>1978</v>
      </c>
      <c r="Q545" s="29" t="str" cm="1">
        <f t="array" ref="Q545">_xlfn.IFS(
A545="","",
AND(A545&lt;&gt;"",B545=""),"FALTA LANÇAMENTO",
AND(B545&lt;&gt;"",M545=""),"FALTA O PEDIDO",
AND(M545&lt;&gt;"",O545=""),"FALTA NF",
O545&lt;&gt;"","CONCLUÍDO")</f>
        <v>CONCLUÍDO</v>
      </c>
      <c r="R545" s="36"/>
    </row>
    <row r="546" spans="1:18" hidden="1">
      <c r="A546" s="16">
        <v>46062</v>
      </c>
      <c r="B546" s="16">
        <v>46071</v>
      </c>
      <c r="C546" s="21">
        <v>500580263</v>
      </c>
      <c r="D546" s="16" t="str">
        <f>IFERROR(VLOOKUP(Tabela5[[#This Row],[PREFIXO ]],Tabela4[#All],2,0),"CENTRO DE CUSTO")</f>
        <v>Colheit. Grãos-Axial</v>
      </c>
      <c r="E546" s="18" t="s">
        <v>218</v>
      </c>
      <c r="F546" s="21">
        <v>26447</v>
      </c>
      <c r="G546" s="22">
        <v>17922.5</v>
      </c>
      <c r="H546" s="22">
        <v>44718.64</v>
      </c>
      <c r="I546" s="22">
        <f t="shared" si="9"/>
        <v>62641.14</v>
      </c>
      <c r="J546" s="18" t="s">
        <v>1123</v>
      </c>
      <c r="K546" s="18">
        <v>5019411</v>
      </c>
      <c r="L546" s="18">
        <v>866910</v>
      </c>
      <c r="M546" s="18" t="s">
        <v>1996</v>
      </c>
      <c r="N546" s="16" t="s">
        <v>1779</v>
      </c>
      <c r="O546" s="18" t="s">
        <v>1997</v>
      </c>
      <c r="P546" s="18" t="s">
        <v>1781</v>
      </c>
      <c r="Q546" s="29" t="str" cm="1">
        <f t="array" ref="Q546">_xlfn.IFS(
A546="","",
AND(A546&lt;&gt;"",B546=""),"FALTA LANÇAMENTO",
AND(B546&lt;&gt;"",M546=""),"FALTA O PEDIDO",
AND(M546&lt;&gt;"",O546=""),"FALTA NF",
O546&lt;&gt;"","CONCLUÍDO")</f>
        <v>CONCLUÍDO</v>
      </c>
      <c r="R546" s="36"/>
    </row>
    <row r="547" spans="1:18" hidden="1">
      <c r="A547" s="16">
        <v>46062</v>
      </c>
      <c r="B547" s="16">
        <v>46069</v>
      </c>
      <c r="C547" s="21">
        <v>51521083</v>
      </c>
      <c r="D547" s="16" t="str">
        <f>IFERROR(VLOOKUP(Tabela5[[#This Row],[PREFIXO ]],Tabela4[#All],2,0),"CENTRO DE CUSTO")</f>
        <v>COLHEIT DE GRÃOS N.HOLLAND CR 8.90</v>
      </c>
      <c r="E547" s="18" t="s">
        <v>218</v>
      </c>
      <c r="F547" s="21">
        <v>26436</v>
      </c>
      <c r="G547" s="22">
        <v>10344.799999999999</v>
      </c>
      <c r="H547" s="22">
        <v>9901.2999999999993</v>
      </c>
      <c r="I547" s="22">
        <f t="shared" si="9"/>
        <v>20246.099999999999</v>
      </c>
      <c r="J547" s="18" t="s">
        <v>1123</v>
      </c>
      <c r="K547" s="18">
        <v>9762801</v>
      </c>
      <c r="L547" s="18">
        <v>865445</v>
      </c>
      <c r="M547" s="18" t="s">
        <v>1998</v>
      </c>
      <c r="N547" s="16" t="s">
        <v>1433</v>
      </c>
      <c r="O547" s="18" t="s">
        <v>1999</v>
      </c>
      <c r="P547" s="18" t="s">
        <v>1486</v>
      </c>
      <c r="Q547" s="29" t="str" cm="1">
        <f t="array" ref="Q547">_xlfn.IFS(
A547="","",
AND(A547&lt;&gt;"",B547=""),"FALTA LANÇAMENTO",
AND(B547&lt;&gt;"",M547=""),"FALTA O PEDIDO",
AND(M547&lt;&gt;"",O547=""),"FALTA NF",
O547&lt;&gt;"","CONCLUÍDO")</f>
        <v>CONCLUÍDO</v>
      </c>
      <c r="R547" s="36"/>
    </row>
    <row r="548" spans="1:18" hidden="1">
      <c r="A548" s="16">
        <v>46062</v>
      </c>
      <c r="B548" s="16">
        <v>46069</v>
      </c>
      <c r="C548" s="21">
        <v>81521373</v>
      </c>
      <c r="D548" s="16" t="str">
        <f>IFERROR(VLOOKUP(Tabela5[[#This Row],[PREFIXO ]],Tabela4[#All],2,0),"CENTRO DE CUSTO")</f>
        <v>PLATAF COLHEITA N.HOLLAND DRAPER 8645P</v>
      </c>
      <c r="E548" s="18" t="s">
        <v>218</v>
      </c>
      <c r="F548" s="21">
        <v>15609</v>
      </c>
      <c r="G548" s="22">
        <v>402</v>
      </c>
      <c r="H548" s="22">
        <v>13147.77</v>
      </c>
      <c r="I548" s="22">
        <f t="shared" si="9"/>
        <v>13549.77</v>
      </c>
      <c r="J548" s="18" t="s">
        <v>1123</v>
      </c>
      <c r="K548" s="18">
        <v>9762885</v>
      </c>
      <c r="L548" s="18">
        <v>863906</v>
      </c>
      <c r="M548" s="18" t="s">
        <v>2000</v>
      </c>
      <c r="N548" s="16" t="s">
        <v>1433</v>
      </c>
      <c r="O548" s="18" t="s">
        <v>2001</v>
      </c>
      <c r="P548" s="18" t="s">
        <v>1935</v>
      </c>
      <c r="Q548" s="29" t="str" cm="1">
        <f t="array" ref="Q548">_xlfn.IFS(
A548="","",
AND(A548&lt;&gt;"",B548=""),"FALTA LANÇAMENTO",
AND(B548&lt;&gt;"",M548=""),"FALTA O PEDIDO",
AND(M548&lt;&gt;"",O548=""),"FALTA NF",
O548&lt;&gt;"","CONCLUÍDO")</f>
        <v>CONCLUÍDO</v>
      </c>
      <c r="R548" s="36"/>
    </row>
    <row r="549" spans="1:18" hidden="1">
      <c r="A549" s="16">
        <v>46062</v>
      </c>
      <c r="B549" s="16">
        <v>46071</v>
      </c>
      <c r="C549" s="21">
        <v>500580263</v>
      </c>
      <c r="D549" s="16" t="str">
        <f>IFERROR(VLOOKUP(Tabela5[[#This Row],[PREFIXO ]],Tabela4[#All],2,0),"CENTRO DE CUSTO")</f>
        <v>Colheit. Grãos-Axial</v>
      </c>
      <c r="E549" s="18" t="s">
        <v>218</v>
      </c>
      <c r="F549" s="21">
        <v>26450</v>
      </c>
      <c r="G549" s="22">
        <v>3866</v>
      </c>
      <c r="H549" s="22">
        <v>5683.23</v>
      </c>
      <c r="I549" s="22">
        <f t="shared" si="9"/>
        <v>9549.23</v>
      </c>
      <c r="J549" s="18" t="s">
        <v>1123</v>
      </c>
      <c r="K549" s="18">
        <v>5019408</v>
      </c>
      <c r="L549" s="18">
        <v>865622</v>
      </c>
      <c r="M549" s="18" t="s">
        <v>2002</v>
      </c>
      <c r="N549" s="16" t="s">
        <v>1597</v>
      </c>
      <c r="O549" s="18" t="s">
        <v>2003</v>
      </c>
      <c r="P549" s="18" t="s">
        <v>1805</v>
      </c>
      <c r="Q549" s="29" t="str" cm="1">
        <f t="array" ref="Q549">_xlfn.IFS(
A549="","",
AND(A549&lt;&gt;"",B549=""),"FALTA LANÇAMENTO",
AND(B549&lt;&gt;"",M549=""),"FALTA O PEDIDO",
AND(M549&lt;&gt;"",O549=""),"FALTA NF",
O549&lt;&gt;"","CONCLUÍDO")</f>
        <v>CONCLUÍDO</v>
      </c>
      <c r="R549" s="36"/>
    </row>
    <row r="550" spans="1:18" hidden="1">
      <c r="A550" s="16">
        <v>46062</v>
      </c>
      <c r="B550" s="16">
        <v>46071</v>
      </c>
      <c r="C550" s="21">
        <v>51521108</v>
      </c>
      <c r="D550" s="16" t="str">
        <f>IFERROR(VLOOKUP(Tabela5[[#This Row],[PREFIXO ]],Tabela4[#All],2,0),"CENTRO DE CUSTO")</f>
        <v>COLHEIT DE GRÃOS N.HOLLAND CR 8.90</v>
      </c>
      <c r="E550" s="18" t="s">
        <v>218</v>
      </c>
      <c r="F550" s="21">
        <v>26438</v>
      </c>
      <c r="G550" s="22">
        <v>1454</v>
      </c>
      <c r="H550" s="22">
        <v>6455.05</v>
      </c>
      <c r="I550" s="22">
        <f t="shared" si="9"/>
        <v>7909.05</v>
      </c>
      <c r="J550" s="18" t="s">
        <v>1123</v>
      </c>
      <c r="K550" s="18">
        <v>9762758</v>
      </c>
      <c r="L550" s="18">
        <v>767356</v>
      </c>
      <c r="M550" s="18" t="s">
        <v>1095</v>
      </c>
      <c r="N550" s="16" t="s">
        <v>1095</v>
      </c>
      <c r="O550" s="18" t="s">
        <v>1095</v>
      </c>
      <c r="P550" s="18" t="s">
        <v>1095</v>
      </c>
      <c r="Q550" s="29" t="str" cm="1">
        <f t="array" ref="Q550">_xlfn.IFS(
A550="","",
AND(A550&lt;&gt;"",B550=""),"FALTA LANÇAMENTO",
AND(B550&lt;&gt;"",M550=""),"FALTA O PEDIDO",
AND(M550&lt;&gt;"",O550=""),"FALTA NF",
O550&lt;&gt;"","CONCLUÍDO")</f>
        <v>CONCLUÍDO</v>
      </c>
      <c r="R550" s="36"/>
    </row>
    <row r="551" spans="1:18" hidden="1">
      <c r="A551" s="16">
        <v>46062</v>
      </c>
      <c r="B551" s="16">
        <v>46064</v>
      </c>
      <c r="C551" s="21">
        <v>51519030</v>
      </c>
      <c r="D551" s="16" t="str">
        <f>IFERROR(VLOOKUP(Tabela5[[#This Row],[PREFIXO ]],Tabela4[#All],2,0),"CENTRO DE CUSTO")</f>
        <v>COLHEIT DE GRÃOS N.HOLLAND CR 8.90</v>
      </c>
      <c r="E551" s="18" t="s">
        <v>218</v>
      </c>
      <c r="F551" s="21">
        <v>26454</v>
      </c>
      <c r="G551" s="22">
        <v>4740</v>
      </c>
      <c r="H551" s="22"/>
      <c r="I551" s="22">
        <f t="shared" si="9"/>
        <v>4740</v>
      </c>
      <c r="J551" s="18" t="s">
        <v>1123</v>
      </c>
      <c r="K551" s="18">
        <v>9762598</v>
      </c>
      <c r="L551" s="18">
        <v>862070</v>
      </c>
      <c r="M551" s="18" t="s">
        <v>2004</v>
      </c>
      <c r="N551" s="16" t="s">
        <v>1492</v>
      </c>
      <c r="O551" s="18" t="s">
        <v>1494</v>
      </c>
      <c r="P551" s="18" t="s">
        <v>1127</v>
      </c>
      <c r="Q551" s="29" t="str" cm="1">
        <f t="array" ref="Q551">_xlfn.IFS(
A551="","",
AND(A551&lt;&gt;"",B551=""),"FALTA LANÇAMENTO",
AND(B551&lt;&gt;"",M551=""),"FALTA O PEDIDO",
AND(M551&lt;&gt;"",O551=""),"FALTA NF",
O551&lt;&gt;"","CONCLUÍDO")</f>
        <v>CONCLUÍDO</v>
      </c>
      <c r="R551" s="36"/>
    </row>
    <row r="552" spans="1:18" hidden="1">
      <c r="A552" s="16">
        <v>46062</v>
      </c>
      <c r="B552" s="16">
        <v>46065</v>
      </c>
      <c r="C552" s="21">
        <v>500580263</v>
      </c>
      <c r="D552" s="16" t="str">
        <f>IFERROR(VLOOKUP(Tabela5[[#This Row],[PREFIXO ]],Tabela4[#All],2,0),"CENTRO DE CUSTO")</f>
        <v>Colheit. Grãos-Axial</v>
      </c>
      <c r="E552" s="18" t="s">
        <v>218</v>
      </c>
      <c r="F552" s="21">
        <v>26480</v>
      </c>
      <c r="G552" s="22">
        <v>3818.5</v>
      </c>
      <c r="H552" s="22"/>
      <c r="I552" s="22">
        <f t="shared" si="9"/>
        <v>3818.5</v>
      </c>
      <c r="J552" s="18" t="s">
        <v>1123</v>
      </c>
      <c r="K552" s="18">
        <v>5019358</v>
      </c>
      <c r="L552" s="18">
        <v>8624900</v>
      </c>
      <c r="M552" s="18" t="s">
        <v>2005</v>
      </c>
      <c r="N552" s="16" t="s">
        <v>1127</v>
      </c>
      <c r="O552" s="18" t="s">
        <v>2006</v>
      </c>
      <c r="P552" s="18" t="s">
        <v>2007</v>
      </c>
      <c r="Q552" s="29" t="str" cm="1">
        <f t="array" ref="Q552">_xlfn.IFS(
A552="","",
AND(A552&lt;&gt;"",B552=""),"FALTA LANÇAMENTO",
AND(B552&lt;&gt;"",M552=""),"FALTA O PEDIDO",
AND(M552&lt;&gt;"",O552=""),"FALTA NF",
O552&lt;&gt;"","CONCLUÍDO")</f>
        <v>CONCLUÍDO</v>
      </c>
      <c r="R552" s="36"/>
    </row>
    <row r="553" spans="1:18" hidden="1">
      <c r="A553" s="16">
        <v>46062</v>
      </c>
      <c r="B553" s="16">
        <v>46065</v>
      </c>
      <c r="C553" s="21">
        <v>500580263</v>
      </c>
      <c r="D553" s="16" t="str">
        <f>IFERROR(VLOOKUP(Tabela5[[#This Row],[PREFIXO ]],Tabela4[#All],2,0),"CENTRO DE CUSTO")</f>
        <v>Colheit. Grãos-Axial</v>
      </c>
      <c r="E553" s="18" t="s">
        <v>218</v>
      </c>
      <c r="F553" s="21">
        <v>26481</v>
      </c>
      <c r="G553" s="22">
        <v>3773.5</v>
      </c>
      <c r="H553" s="22"/>
      <c r="I553" s="22">
        <f t="shared" si="9"/>
        <v>3773.5</v>
      </c>
      <c r="J553" s="18" t="s">
        <v>1123</v>
      </c>
      <c r="K553" s="18">
        <v>5019400</v>
      </c>
      <c r="L553" s="18">
        <v>862230</v>
      </c>
      <c r="M553" s="18" t="s">
        <v>2008</v>
      </c>
      <c r="N553" s="16" t="s">
        <v>1127</v>
      </c>
      <c r="O553" s="18" t="s">
        <v>2009</v>
      </c>
      <c r="P553" s="18" t="s">
        <v>2007</v>
      </c>
      <c r="Q553" s="29" t="str" cm="1">
        <f t="array" ref="Q553">_xlfn.IFS(
A553="","",
AND(A553&lt;&gt;"",B553=""),"FALTA LANÇAMENTO",
AND(B553&lt;&gt;"",M553=""),"FALTA O PEDIDO",
AND(M553&lt;&gt;"",O553=""),"FALTA NF",
O553&lt;&gt;"","CONCLUÍDO")</f>
        <v>CONCLUÍDO</v>
      </c>
      <c r="R553" s="36"/>
    </row>
    <row r="554" spans="1:18" hidden="1">
      <c r="A554" s="16">
        <v>46062</v>
      </c>
      <c r="B554" s="16">
        <v>46065</v>
      </c>
      <c r="C554" s="21">
        <v>500580263</v>
      </c>
      <c r="D554" s="16" t="str">
        <f>IFERROR(VLOOKUP(Tabela5[[#This Row],[PREFIXO ]],Tabela4[#All],2,0),"CENTRO DE CUSTO")</f>
        <v>Colheit. Grãos-Axial</v>
      </c>
      <c r="E554" s="18" t="s">
        <v>218</v>
      </c>
      <c r="F554" s="21">
        <v>26453</v>
      </c>
      <c r="G554" s="22">
        <v>3728</v>
      </c>
      <c r="H554" s="22"/>
      <c r="I554" s="22">
        <f t="shared" si="9"/>
        <v>3728</v>
      </c>
      <c r="J554" s="18" t="s">
        <v>1123</v>
      </c>
      <c r="K554" s="18">
        <v>5019357</v>
      </c>
      <c r="L554" s="18">
        <v>862507</v>
      </c>
      <c r="M554" s="18" t="s">
        <v>2010</v>
      </c>
      <c r="N554" s="16" t="s">
        <v>1127</v>
      </c>
      <c r="O554" s="18" t="s">
        <v>2011</v>
      </c>
      <c r="P554" s="18" t="s">
        <v>2007</v>
      </c>
      <c r="Q554" s="29" t="str" cm="1">
        <f t="array" ref="Q554">_xlfn.IFS(
A554="","",
AND(A554&lt;&gt;"",B554=""),"FALTA LANÇAMENTO",
AND(B554&lt;&gt;"",M554=""),"FALTA O PEDIDO",
AND(M554&lt;&gt;"",O554=""),"FALTA NF",
O554&lt;&gt;"","CONCLUÍDO")</f>
        <v>CONCLUÍDO</v>
      </c>
      <c r="R554" s="36"/>
    </row>
    <row r="555" spans="1:18" hidden="1">
      <c r="A555" s="16">
        <v>46062</v>
      </c>
      <c r="B555" s="16">
        <v>46065</v>
      </c>
      <c r="C555" s="21">
        <v>500580263</v>
      </c>
      <c r="D555" s="16" t="str">
        <f>IFERROR(VLOOKUP(Tabela5[[#This Row],[PREFIXO ]],Tabela4[#All],2,0),"CENTRO DE CUSTO")</f>
        <v>Colheit. Grãos-Axial</v>
      </c>
      <c r="E555" s="18" t="s">
        <v>218</v>
      </c>
      <c r="F555" s="21">
        <v>26482</v>
      </c>
      <c r="G555" s="22">
        <v>2412</v>
      </c>
      <c r="H555" s="22"/>
      <c r="I555" s="22">
        <f t="shared" si="9"/>
        <v>2412</v>
      </c>
      <c r="J555" s="18" t="s">
        <v>1123</v>
      </c>
      <c r="K555" s="18">
        <v>5019359</v>
      </c>
      <c r="L555" s="18">
        <v>862469</v>
      </c>
      <c r="M555" s="18" t="s">
        <v>2012</v>
      </c>
      <c r="N555" s="16" t="s">
        <v>1127</v>
      </c>
      <c r="O555" s="18" t="s">
        <v>2013</v>
      </c>
      <c r="P555" s="18" t="s">
        <v>2007</v>
      </c>
      <c r="Q555" s="29" t="str" cm="1">
        <f t="array" ref="Q555">_xlfn.IFS(
A555="","",
AND(A555&lt;&gt;"",B555=""),"FALTA LANÇAMENTO",
AND(B555&lt;&gt;"",M555=""),"FALTA O PEDIDO",
AND(M555&lt;&gt;"",O555=""),"FALTA NF",
O555&lt;&gt;"","CONCLUÍDO")</f>
        <v>CONCLUÍDO</v>
      </c>
      <c r="R555" s="36"/>
    </row>
    <row r="556" spans="1:18" hidden="1">
      <c r="A556" s="16">
        <v>46062</v>
      </c>
      <c r="B556" s="16">
        <v>46065</v>
      </c>
      <c r="C556" s="21">
        <v>500580579</v>
      </c>
      <c r="D556" s="16" t="str">
        <f>IFERROR(VLOOKUP(Tabela5[[#This Row],[PREFIXO ]],Tabela4[#All],2,0),"CENTRO DE CUSTO")</f>
        <v>Pátio de Vendas</v>
      </c>
      <c r="E556" s="18" t="s">
        <v>224</v>
      </c>
      <c r="F556" s="21">
        <v>2551</v>
      </c>
      <c r="G556" s="22">
        <v>3037.5</v>
      </c>
      <c r="H556" s="22"/>
      <c r="I556" s="22">
        <f t="shared" si="9"/>
        <v>3037.5</v>
      </c>
      <c r="J556" s="18" t="s">
        <v>1199</v>
      </c>
      <c r="K556" s="18">
        <v>5019298</v>
      </c>
      <c r="L556" s="18" t="s">
        <v>1095</v>
      </c>
      <c r="M556" s="18" t="s">
        <v>1095</v>
      </c>
      <c r="N556" s="16" t="s">
        <v>1095</v>
      </c>
      <c r="O556" s="18" t="s">
        <v>1095</v>
      </c>
      <c r="P556" s="18" t="s">
        <v>1095</v>
      </c>
      <c r="Q556" s="29" t="str" cm="1">
        <f t="array" ref="Q556">_xlfn.IFS(
A556="","",
AND(A556&lt;&gt;"",B556=""),"FALTA LANÇAMENTO",
AND(B556&lt;&gt;"",M556=""),"FALTA O PEDIDO",
AND(M556&lt;&gt;"",O556=""),"FALTA NF",
O556&lt;&gt;"","CONCLUÍDO")</f>
        <v>CONCLUÍDO</v>
      </c>
      <c r="R556" s="36"/>
    </row>
    <row r="557" spans="1:18" hidden="1">
      <c r="A557" s="16">
        <v>46062</v>
      </c>
      <c r="B557" s="16">
        <v>46066</v>
      </c>
      <c r="C557" s="21"/>
      <c r="D557" s="16" t="str">
        <f>IFERROR(VLOOKUP(Tabela5[[#This Row],[PREFIXO ]],Tabela4[#All],2,0),"CENTRO DE CUSTO")</f>
        <v>CENTRO DE CUSTO</v>
      </c>
      <c r="E557" s="18" t="s">
        <v>227</v>
      </c>
      <c r="F557" s="21">
        <v>222014</v>
      </c>
      <c r="G557" s="22"/>
      <c r="H557" s="22">
        <v>1900.56</v>
      </c>
      <c r="I557" s="22">
        <f t="shared" si="9"/>
        <v>1900.56</v>
      </c>
      <c r="J557" s="18" t="s">
        <v>1085</v>
      </c>
      <c r="K557" s="18">
        <v>9763318</v>
      </c>
      <c r="L557" s="18" t="s">
        <v>1095</v>
      </c>
      <c r="M557" s="18" t="s">
        <v>1095</v>
      </c>
      <c r="N557" s="16" t="s">
        <v>1095</v>
      </c>
      <c r="O557" s="18" t="s">
        <v>1095</v>
      </c>
      <c r="P557" s="18" t="s">
        <v>1095</v>
      </c>
      <c r="Q557" s="29" t="str" cm="1">
        <f t="array" ref="Q557">_xlfn.IFS(
A557="","",
AND(A557&lt;&gt;"",B557=""),"FALTA LANÇAMENTO",
AND(B557&lt;&gt;"",M557=""),"FALTA O PEDIDO",
AND(M557&lt;&gt;"",O557=""),"FALTA NF",
O557&lt;&gt;"","CONCLUÍDO")</f>
        <v>CONCLUÍDO</v>
      </c>
      <c r="R557" s="36"/>
    </row>
    <row r="558" spans="1:18" hidden="1">
      <c r="A558" s="16">
        <v>46062</v>
      </c>
      <c r="B558" s="16">
        <v>46064</v>
      </c>
      <c r="C558" s="21" t="s">
        <v>1134</v>
      </c>
      <c r="D558" s="16" t="str">
        <f>IFERROR(VLOOKUP(Tabela5[[#This Row],[PREFIXO ]],Tabela4[#All],2,0),"CENTRO DE CUSTO")</f>
        <v>CENTRO DE CUSTO</v>
      </c>
      <c r="E558" s="18" t="s">
        <v>356</v>
      </c>
      <c r="F558" s="21">
        <v>6886</v>
      </c>
      <c r="G558" s="22">
        <v>1700</v>
      </c>
      <c r="H558" s="22"/>
      <c r="I558" s="22">
        <f t="shared" si="9"/>
        <v>1700</v>
      </c>
      <c r="J558" s="18" t="s">
        <v>1085</v>
      </c>
      <c r="K558" s="18">
        <v>9764606</v>
      </c>
      <c r="L558" s="18">
        <v>862081</v>
      </c>
      <c r="M558" s="18" t="s">
        <v>2014</v>
      </c>
      <c r="N558" s="16" t="s">
        <v>1492</v>
      </c>
      <c r="O558" s="18" t="s">
        <v>2015</v>
      </c>
      <c r="P558" s="18" t="s">
        <v>1779</v>
      </c>
      <c r="Q558" s="29" t="str" cm="1">
        <f t="array" ref="Q558">_xlfn.IFS(
A558="","",
AND(A558&lt;&gt;"",B558=""),"FALTA LANÇAMENTO",
AND(B558&lt;&gt;"",M558=""),"FALTA O PEDIDO",
AND(M558&lt;&gt;"",O558=""),"FALTA NF",
O558&lt;&gt;"","CONCLUÍDO")</f>
        <v>CONCLUÍDO</v>
      </c>
      <c r="R558" s="36"/>
    </row>
    <row r="559" spans="1:18" hidden="1">
      <c r="A559" s="16">
        <v>46062</v>
      </c>
      <c r="B559" s="16">
        <v>46065</v>
      </c>
      <c r="C559" s="21"/>
      <c r="D559" s="16" t="str">
        <f>IFERROR(VLOOKUP(Tabela5[[#This Row],[PREFIXO ]],Tabela4[#All],2,0),"CENTRO DE CUSTO")</f>
        <v>CENTRO DE CUSTO</v>
      </c>
      <c r="E559" s="18" t="s">
        <v>77</v>
      </c>
      <c r="F559" s="21">
        <v>250</v>
      </c>
      <c r="G559" s="22">
        <v>2684</v>
      </c>
      <c r="H559" s="22"/>
      <c r="I559" s="22">
        <f t="shared" si="9"/>
        <v>2684</v>
      </c>
      <c r="J559" s="18" t="s">
        <v>1199</v>
      </c>
      <c r="K559" s="18">
        <v>9763042</v>
      </c>
      <c r="L559" s="18">
        <v>862520</v>
      </c>
      <c r="M559" s="18" t="s">
        <v>2016</v>
      </c>
      <c r="N559" s="16" t="s">
        <v>1127</v>
      </c>
      <c r="O559" s="18" t="s">
        <v>1304</v>
      </c>
      <c r="P559" s="18" t="s">
        <v>1556</v>
      </c>
      <c r="Q559" s="29" t="str" cm="1">
        <f t="array" ref="Q559">_xlfn.IFS(
A559="","",
AND(A559&lt;&gt;"",B559=""),"FALTA LANÇAMENTO",
AND(B559&lt;&gt;"",M559=""),"FALTA O PEDIDO",
AND(M559&lt;&gt;"",O559=""),"FALTA NF",
O559&lt;&gt;"","CONCLUÍDO")</f>
        <v>CONCLUÍDO</v>
      </c>
      <c r="R559" s="36"/>
    </row>
    <row r="560" spans="1:18" hidden="1">
      <c r="A560" s="16">
        <v>46062</v>
      </c>
      <c r="B560" s="16">
        <v>46069</v>
      </c>
      <c r="C560" s="21">
        <v>31521038</v>
      </c>
      <c r="D560" s="16" t="str">
        <f>IFERROR(VLOOKUP(Tabela5[[#This Row],[PREFIXO ]],Tabela4[#All],2,0),"CENTRO DE CUSTO")</f>
        <v>ADUB AUTOPROP KUHN ACCURA ST 7000</v>
      </c>
      <c r="E560" s="18" t="s">
        <v>247</v>
      </c>
      <c r="F560" s="21">
        <v>134059</v>
      </c>
      <c r="G560" s="22">
        <v>1348.5</v>
      </c>
      <c r="H560" s="22">
        <v>3525.72</v>
      </c>
      <c r="I560" s="22">
        <f t="shared" si="9"/>
        <v>4874.2199999999993</v>
      </c>
      <c r="J560" s="18" t="s">
        <v>1080</v>
      </c>
      <c r="K560" s="18">
        <v>9762800</v>
      </c>
      <c r="L560" s="18">
        <v>865072</v>
      </c>
      <c r="M560" s="18" t="s">
        <v>2017</v>
      </c>
      <c r="N560" s="16" t="s">
        <v>1556</v>
      </c>
      <c r="O560" s="18" t="s">
        <v>2018</v>
      </c>
      <c r="P560" s="18" t="s">
        <v>1816</v>
      </c>
      <c r="Q560" s="29" t="str" cm="1">
        <f t="array" ref="Q560">_xlfn.IFS(
A560="","",
AND(A560&lt;&gt;"",B560=""),"FALTA LANÇAMENTO",
AND(B560&lt;&gt;"",M560=""),"FALTA O PEDIDO",
AND(M560&lt;&gt;"",O560=""),"FALTA NF",
O560&lt;&gt;"","CONCLUÍDO")</f>
        <v>CONCLUÍDO</v>
      </c>
      <c r="R560" s="36"/>
    </row>
    <row r="561" spans="1:18" hidden="1">
      <c r="A561" s="16">
        <v>46062</v>
      </c>
      <c r="B561" s="16">
        <v>46066</v>
      </c>
      <c r="C561" s="21" t="s">
        <v>1134</v>
      </c>
      <c r="D561" s="16" t="str">
        <f>IFERROR(VLOOKUP(Tabela5[[#This Row],[PREFIXO ]],Tabela4[#All],2,0),"CENTRO DE CUSTO")</f>
        <v>CENTRO DE CUSTO</v>
      </c>
      <c r="E561" s="18" t="s">
        <v>249</v>
      </c>
      <c r="F561" s="21">
        <v>221</v>
      </c>
      <c r="G561" s="22">
        <v>27500</v>
      </c>
      <c r="H561" s="22"/>
      <c r="I561" s="22">
        <f t="shared" si="9"/>
        <v>27500</v>
      </c>
      <c r="J561" s="18" t="s">
        <v>1199</v>
      </c>
      <c r="K561" s="18" t="s">
        <v>2019</v>
      </c>
      <c r="L561" s="18">
        <v>863498</v>
      </c>
      <c r="M561" s="18" t="s">
        <v>2020</v>
      </c>
      <c r="N561" s="16" t="s">
        <v>1556</v>
      </c>
      <c r="O561" s="18" t="s">
        <v>1763</v>
      </c>
      <c r="P561" s="18" t="s">
        <v>1433</v>
      </c>
      <c r="Q561" s="29" t="str" cm="1">
        <f t="array" ref="Q561">_xlfn.IFS(
A561="","",
AND(A561&lt;&gt;"",B561=""),"FALTA LANÇAMENTO",
AND(B561&lt;&gt;"",M561=""),"FALTA O PEDIDO",
AND(M561&lt;&gt;"",O561=""),"FALTA NF",
O561&lt;&gt;"","CONCLUÍDO")</f>
        <v>CONCLUÍDO</v>
      </c>
      <c r="R561" s="36"/>
    </row>
    <row r="562" spans="1:18" hidden="1">
      <c r="A562" s="16">
        <v>46062</v>
      </c>
      <c r="B562" s="16">
        <v>46065</v>
      </c>
      <c r="C562" s="21">
        <v>500580069</v>
      </c>
      <c r="D562" s="16" t="str">
        <f>IFERROR(VLOOKUP(Tabela5[[#This Row],[PREFIXO ]],Tabela4[#All],2,0),"CENTRO DE CUSTO")</f>
        <v>Oficina Mecânica</v>
      </c>
      <c r="E562" s="18" t="s">
        <v>249</v>
      </c>
      <c r="F562" s="21">
        <v>223</v>
      </c>
      <c r="G562" s="22">
        <v>11000</v>
      </c>
      <c r="H562" s="22"/>
      <c r="I562" s="22">
        <f t="shared" si="9"/>
        <v>11000</v>
      </c>
      <c r="J562" s="18" t="s">
        <v>1199</v>
      </c>
      <c r="K562" s="18">
        <v>5019351</v>
      </c>
      <c r="L562" s="18" t="s">
        <v>1095</v>
      </c>
      <c r="M562" s="18" t="s">
        <v>1095</v>
      </c>
      <c r="N562" s="16" t="s">
        <v>1095</v>
      </c>
      <c r="O562" s="18" t="s">
        <v>1095</v>
      </c>
      <c r="P562" s="18" t="s">
        <v>1095</v>
      </c>
      <c r="Q562" s="29" t="str" cm="1">
        <f t="array" ref="Q562">_xlfn.IFS(
A562="","",
AND(A562&lt;&gt;"",B562=""),"FALTA LANÇAMENTO",
AND(B562&lt;&gt;"",M562=""),"FALTA O PEDIDO",
AND(M562&lt;&gt;"",O562=""),"FALTA NF",
O562&lt;&gt;"","CONCLUÍDO")</f>
        <v>CONCLUÍDO</v>
      </c>
      <c r="R562" s="36"/>
    </row>
    <row r="563" spans="1:18" hidden="1">
      <c r="A563" s="16">
        <v>46062</v>
      </c>
      <c r="B563" s="16">
        <v>46065</v>
      </c>
      <c r="C563" s="21">
        <v>500580579</v>
      </c>
      <c r="D563" s="16" t="str">
        <f>IFERROR(VLOOKUP(Tabela5[[#This Row],[PREFIXO ]],Tabela4[#All],2,0),"CENTRO DE CUSTO")</f>
        <v>Pátio de Vendas</v>
      </c>
      <c r="E563" s="18" t="s">
        <v>249</v>
      </c>
      <c r="F563" s="21">
        <v>222</v>
      </c>
      <c r="G563" s="22">
        <v>3500</v>
      </c>
      <c r="H563" s="22"/>
      <c r="I563" s="22">
        <f t="shared" si="9"/>
        <v>3500</v>
      </c>
      <c r="J563" s="18" t="s">
        <v>1199</v>
      </c>
      <c r="K563" s="18">
        <v>5019350</v>
      </c>
      <c r="L563" s="18" t="s">
        <v>1095</v>
      </c>
      <c r="M563" s="18" t="s">
        <v>1095</v>
      </c>
      <c r="N563" s="16" t="s">
        <v>1095</v>
      </c>
      <c r="O563" s="18" t="s">
        <v>1095</v>
      </c>
      <c r="P563" s="18" t="s">
        <v>1095</v>
      </c>
      <c r="Q563" s="29" t="str" cm="1">
        <f t="array" ref="Q563">_xlfn.IFS(
A563="","",
AND(A563&lt;&gt;"",B563=""),"FALTA LANÇAMENTO",
AND(B563&lt;&gt;"",M563=""),"FALTA O PEDIDO",
AND(M563&lt;&gt;"",O563=""),"FALTA NF",
O563&lt;&gt;"","CONCLUÍDO")</f>
        <v>CONCLUÍDO</v>
      </c>
      <c r="R563" s="36"/>
    </row>
    <row r="564" spans="1:18" hidden="1">
      <c r="A564" s="16">
        <v>46062</v>
      </c>
      <c r="B564" s="16">
        <v>46065</v>
      </c>
      <c r="C564" s="21" t="s">
        <v>2021</v>
      </c>
      <c r="D564" s="16" t="str">
        <f>IFERROR(VLOOKUP(Tabela5[[#This Row],[PREFIXO ]],Tabela4[#All],2,0),"CENTRO DE CUSTO")</f>
        <v>CENTRO DE CUSTO</v>
      </c>
      <c r="E564" s="18" t="s">
        <v>255</v>
      </c>
      <c r="F564" s="21">
        <v>843</v>
      </c>
      <c r="G564" s="22">
        <v>1700</v>
      </c>
      <c r="H564" s="22"/>
      <c r="I564" s="22">
        <f t="shared" si="9"/>
        <v>1700</v>
      </c>
      <c r="J564" s="18" t="s">
        <v>1199</v>
      </c>
      <c r="K564" s="18" t="s">
        <v>2022</v>
      </c>
      <c r="L564" s="18">
        <v>863181</v>
      </c>
      <c r="M564" s="18" t="s">
        <v>2023</v>
      </c>
      <c r="N564" s="16" t="s">
        <v>1814</v>
      </c>
      <c r="O564" s="18" t="s">
        <v>1534</v>
      </c>
      <c r="P564" s="18" t="s">
        <v>1597</v>
      </c>
      <c r="Q564" s="29" t="str" cm="1">
        <f t="array" ref="Q564">_xlfn.IFS(
A564="","",
AND(A564&lt;&gt;"",B564=""),"FALTA LANÇAMENTO",
AND(B564&lt;&gt;"",M564=""),"FALTA O PEDIDO",
AND(M564&lt;&gt;"",O564=""),"FALTA NF",
O564&lt;&gt;"","CONCLUÍDO")</f>
        <v>CONCLUÍDO</v>
      </c>
      <c r="R564" s="36"/>
    </row>
    <row r="565" spans="1:18" hidden="1">
      <c r="A565" s="16">
        <v>46062</v>
      </c>
      <c r="B565" s="16">
        <v>46065</v>
      </c>
      <c r="C565" s="21" t="s">
        <v>2024</v>
      </c>
      <c r="D565" s="16" t="str">
        <f>IFERROR(VLOOKUP(Tabela5[[#This Row],[PREFIXO ]],Tabela4[#All],2,0),"CENTRO DE CUSTO")</f>
        <v>CENTRO DE CUSTO</v>
      </c>
      <c r="E565" s="18" t="s">
        <v>255</v>
      </c>
      <c r="F565" s="21">
        <v>842</v>
      </c>
      <c r="G565" s="22">
        <v>1650</v>
      </c>
      <c r="H565" s="22"/>
      <c r="I565" s="22">
        <f t="shared" si="9"/>
        <v>1650</v>
      </c>
      <c r="J565" s="18" t="s">
        <v>1123</v>
      </c>
      <c r="K565" s="18" t="s">
        <v>2025</v>
      </c>
      <c r="L565" s="18">
        <v>863181</v>
      </c>
      <c r="M565" s="18" t="s">
        <v>2023</v>
      </c>
      <c r="N565" s="16" t="s">
        <v>1814</v>
      </c>
      <c r="O565" s="18" t="s">
        <v>1534</v>
      </c>
      <c r="P565" s="18" t="s">
        <v>1597</v>
      </c>
      <c r="Q565" s="29" t="str" cm="1">
        <f t="array" ref="Q565">_xlfn.IFS(
A565="","",
AND(A565&lt;&gt;"",B565=""),"FALTA LANÇAMENTO",
AND(B565&lt;&gt;"",M565=""),"FALTA O PEDIDO",
AND(M565&lt;&gt;"",O565=""),"FALTA NF",
O565&lt;&gt;"","CONCLUÍDO")</f>
        <v>CONCLUÍDO</v>
      </c>
      <c r="R565" s="36"/>
    </row>
    <row r="566" spans="1:18" hidden="1">
      <c r="A566" s="16">
        <v>46062</v>
      </c>
      <c r="B566" s="16">
        <v>46065</v>
      </c>
      <c r="C566" s="21">
        <v>51521063</v>
      </c>
      <c r="D566" s="16" t="str">
        <f>IFERROR(VLOOKUP(Tabela5[[#This Row],[PREFIXO ]],Tabela4[#All],2,0),"CENTRO DE CUSTO")</f>
        <v>COLHED ALGODÃO JOHN DEERE CP 690</v>
      </c>
      <c r="E566" s="18" t="s">
        <v>255</v>
      </c>
      <c r="F566" s="21">
        <v>844</v>
      </c>
      <c r="G566" s="22">
        <v>1550</v>
      </c>
      <c r="H566" s="22"/>
      <c r="I566" s="22">
        <f t="shared" si="9"/>
        <v>1550</v>
      </c>
      <c r="J566" s="18" t="s">
        <v>1123</v>
      </c>
      <c r="K566" s="18">
        <v>9762580</v>
      </c>
      <c r="L566" s="18">
        <v>863181</v>
      </c>
      <c r="M566" s="18" t="s">
        <v>2023</v>
      </c>
      <c r="N566" s="16" t="s">
        <v>1814</v>
      </c>
      <c r="O566" s="18" t="s">
        <v>1534</v>
      </c>
      <c r="P566" s="18" t="s">
        <v>1597</v>
      </c>
      <c r="Q566" s="29" t="str" cm="1">
        <f t="array" ref="Q566">_xlfn.IFS(
A566="","",
AND(A566&lt;&gt;"",B566=""),"FALTA LANÇAMENTO",
AND(B566&lt;&gt;"",M566=""),"FALTA O PEDIDO",
AND(M566&lt;&gt;"",O566=""),"FALTA NF",
O566&lt;&gt;"","CONCLUÍDO")</f>
        <v>CONCLUÍDO</v>
      </c>
      <c r="R566" s="36"/>
    </row>
    <row r="567" spans="1:18" hidden="1">
      <c r="A567" s="16">
        <v>46062</v>
      </c>
      <c r="B567" s="16">
        <v>46065</v>
      </c>
      <c r="C567" s="21">
        <v>51521050</v>
      </c>
      <c r="D567" s="16" t="str">
        <f>IFERROR(VLOOKUP(Tabela5[[#This Row],[PREFIXO ]],Tabela4[#All],2,0),"CENTRO DE CUSTO")</f>
        <v>COLHED ALGODÃO JOHN DEERE CP 690</v>
      </c>
      <c r="E567" s="18" t="s">
        <v>255</v>
      </c>
      <c r="F567" s="21">
        <v>845</v>
      </c>
      <c r="G567" s="22">
        <v>1500</v>
      </c>
      <c r="H567" s="22"/>
      <c r="I567" s="22">
        <f t="shared" si="9"/>
        <v>1500</v>
      </c>
      <c r="J567" s="18" t="s">
        <v>1123</v>
      </c>
      <c r="K567" s="18">
        <v>9762586</v>
      </c>
      <c r="L567" s="18">
        <v>863181</v>
      </c>
      <c r="M567" s="18" t="s">
        <v>2023</v>
      </c>
      <c r="N567" s="16" t="s">
        <v>1814</v>
      </c>
      <c r="O567" s="18" t="s">
        <v>1534</v>
      </c>
      <c r="P567" s="18" t="s">
        <v>1597</v>
      </c>
      <c r="Q567" s="29" t="str" cm="1">
        <f t="array" ref="Q567">_xlfn.IFS(
A567="","",
AND(A567&lt;&gt;"",B567=""),"FALTA LANÇAMENTO",
AND(B567&lt;&gt;"",M567=""),"FALTA O PEDIDO",
AND(M567&lt;&gt;"",O567=""),"FALTA NF",
O567&lt;&gt;"","CONCLUÍDO")</f>
        <v>CONCLUÍDO</v>
      </c>
      <c r="R567" s="36"/>
    </row>
    <row r="568" spans="1:18" hidden="1">
      <c r="A568" s="16">
        <v>46062</v>
      </c>
      <c r="B568" s="16">
        <v>46065</v>
      </c>
      <c r="C568" s="21" t="s">
        <v>2026</v>
      </c>
      <c r="D568" s="16" t="str">
        <f>IFERROR(VLOOKUP(Tabela5[[#This Row],[PREFIXO ]],Tabela4[#All],2,0),"CENTRO DE CUSTO")</f>
        <v>CENTRO DE CUSTO</v>
      </c>
      <c r="E568" s="18" t="s">
        <v>255</v>
      </c>
      <c r="F568" s="21">
        <v>841</v>
      </c>
      <c r="G568" s="22">
        <v>1400</v>
      </c>
      <c r="H568" s="22"/>
      <c r="I568" s="22">
        <f t="shared" si="9"/>
        <v>1400</v>
      </c>
      <c r="J568" s="18" t="s">
        <v>1123</v>
      </c>
      <c r="K568" s="18" t="s">
        <v>2027</v>
      </c>
      <c r="L568" s="18">
        <v>863181</v>
      </c>
      <c r="M568" s="18" t="s">
        <v>2023</v>
      </c>
      <c r="N568" s="16" t="s">
        <v>1814</v>
      </c>
      <c r="O568" s="18" t="s">
        <v>1534</v>
      </c>
      <c r="P568" s="18" t="s">
        <v>1597</v>
      </c>
      <c r="Q568" s="29" t="str" cm="1">
        <f t="array" ref="Q568">_xlfn.IFS(
A568="","",
AND(A568&lt;&gt;"",B568=""),"FALTA LANÇAMENTO",
AND(B568&lt;&gt;"",M568=""),"FALTA O PEDIDO",
AND(M568&lt;&gt;"",O568=""),"FALTA NF",
O568&lt;&gt;"","CONCLUÍDO")</f>
        <v>CONCLUÍDO</v>
      </c>
      <c r="R568" s="36"/>
    </row>
    <row r="569" spans="1:18" hidden="1">
      <c r="A569" s="16">
        <v>46062</v>
      </c>
      <c r="B569" s="16">
        <v>46065</v>
      </c>
      <c r="C569" s="21" t="s">
        <v>2028</v>
      </c>
      <c r="D569" s="16" t="str">
        <f>IFERROR(VLOOKUP(Tabela5[[#This Row],[PREFIXO ]],Tabela4[#All],2,0),"CENTRO DE CUSTO")</f>
        <v>CENTRO DE CUSTO</v>
      </c>
      <c r="E569" s="18" t="s">
        <v>255</v>
      </c>
      <c r="F569" s="21">
        <v>846</v>
      </c>
      <c r="G569" s="22">
        <v>1300</v>
      </c>
      <c r="H569" s="22"/>
      <c r="I569" s="22">
        <f t="shared" si="9"/>
        <v>1300</v>
      </c>
      <c r="J569" s="18" t="s">
        <v>1123</v>
      </c>
      <c r="K569" s="18" t="s">
        <v>2029</v>
      </c>
      <c r="L569" s="18">
        <v>863181</v>
      </c>
      <c r="M569" s="18" t="s">
        <v>2023</v>
      </c>
      <c r="N569" s="16" t="s">
        <v>1814</v>
      </c>
      <c r="O569" s="18" t="s">
        <v>1534</v>
      </c>
      <c r="P569" s="18" t="s">
        <v>1597</v>
      </c>
      <c r="Q569" s="29" t="str" cm="1">
        <f t="array" ref="Q569">_xlfn.IFS(
A569="","",
AND(A569&lt;&gt;"",B569=""),"FALTA LANÇAMENTO",
AND(B569&lt;&gt;"",M569=""),"FALTA O PEDIDO",
AND(M569&lt;&gt;"",O569=""),"FALTA NF",
O569&lt;&gt;"","CONCLUÍDO")</f>
        <v>CONCLUÍDO</v>
      </c>
      <c r="R569" s="36"/>
    </row>
    <row r="570" spans="1:18" hidden="1">
      <c r="A570" s="16">
        <v>46062</v>
      </c>
      <c r="B570" s="16">
        <v>46065</v>
      </c>
      <c r="C570" s="21" t="s">
        <v>2030</v>
      </c>
      <c r="D570" s="16" t="str">
        <f>IFERROR(VLOOKUP(Tabela5[[#This Row],[PREFIXO ]],Tabela4[#All],2,0),"CENTRO DE CUSTO")</f>
        <v>CENTRO DE CUSTO</v>
      </c>
      <c r="E570" s="18" t="s">
        <v>255</v>
      </c>
      <c r="F570" s="21">
        <v>840</v>
      </c>
      <c r="G570" s="22">
        <v>1300</v>
      </c>
      <c r="H570" s="22"/>
      <c r="I570" s="22">
        <f t="shared" si="9"/>
        <v>1300</v>
      </c>
      <c r="J570" s="18" t="s">
        <v>1123</v>
      </c>
      <c r="K570" s="18" t="s">
        <v>2031</v>
      </c>
      <c r="L570" s="18">
        <v>863181</v>
      </c>
      <c r="M570" s="18" t="s">
        <v>2023</v>
      </c>
      <c r="N570" s="16" t="s">
        <v>1814</v>
      </c>
      <c r="O570" s="18" t="s">
        <v>1534</v>
      </c>
      <c r="P570" s="18" t="s">
        <v>1597</v>
      </c>
      <c r="Q570" s="29" t="str" cm="1">
        <f t="array" ref="Q570">_xlfn.IFS(
A570="","",
AND(A570&lt;&gt;"",B570=""),"FALTA LANÇAMENTO",
AND(B570&lt;&gt;"",M570=""),"FALTA O PEDIDO",
AND(M570&lt;&gt;"",O570=""),"FALTA NF",
O570&lt;&gt;"","CONCLUÍDO")</f>
        <v>CONCLUÍDO</v>
      </c>
      <c r="R570" s="36"/>
    </row>
    <row r="571" spans="1:18" hidden="1">
      <c r="A571" s="16">
        <v>46062</v>
      </c>
      <c r="B571" s="16">
        <v>46065</v>
      </c>
      <c r="C571" s="21">
        <v>500580325</v>
      </c>
      <c r="D571" s="16" t="str">
        <f>IFERROR(VLOOKUP(Tabela5[[#This Row],[PREFIXO ]],Tabela4[#All],2,0),"CENTRO DE CUSTO")</f>
        <v>Colheitad. Alg Auto</v>
      </c>
      <c r="E571" s="18" t="s">
        <v>255</v>
      </c>
      <c r="F571" s="21">
        <v>847</v>
      </c>
      <c r="G571" s="22">
        <v>800</v>
      </c>
      <c r="H571" s="22"/>
      <c r="I571" s="22">
        <f t="shared" si="9"/>
        <v>800</v>
      </c>
      <c r="J571" s="18" t="s">
        <v>1123</v>
      </c>
      <c r="K571" s="18">
        <v>5019445</v>
      </c>
      <c r="L571" s="18">
        <v>863181</v>
      </c>
      <c r="M571" s="18" t="s">
        <v>2023</v>
      </c>
      <c r="N571" s="16" t="s">
        <v>1814</v>
      </c>
      <c r="O571" s="18" t="s">
        <v>1534</v>
      </c>
      <c r="P571" s="18" t="s">
        <v>1597</v>
      </c>
      <c r="Q571" s="29" t="str" cm="1">
        <f t="array" ref="Q571">_xlfn.IFS(
A571="","",
AND(A571&lt;&gt;"",B571=""),"FALTA LANÇAMENTO",
AND(B571&lt;&gt;"",M571=""),"FALTA O PEDIDO",
AND(M571&lt;&gt;"",O571=""),"FALTA NF",
O571&lt;&gt;"","CONCLUÍDO")</f>
        <v>CONCLUÍDO</v>
      </c>
      <c r="R571" s="36"/>
    </row>
    <row r="572" spans="1:18" hidden="1">
      <c r="A572" s="16">
        <v>46062</v>
      </c>
      <c r="B572" s="16">
        <v>46064</v>
      </c>
      <c r="C572" s="21">
        <v>8173535</v>
      </c>
      <c r="D572" s="16" t="str">
        <f>IFERROR(VLOOKUP(Tabela5[[#This Row],[PREFIXO ]],Tabela4[#All],2,0),"CENTRO DE CUSTO")</f>
        <v>CARRETINHA CONVIVENCIA PROPRIO</v>
      </c>
      <c r="E572" s="18" t="s">
        <v>348</v>
      </c>
      <c r="F572" s="21">
        <v>2668</v>
      </c>
      <c r="G572" s="22">
        <v>19000</v>
      </c>
      <c r="H572" s="22"/>
      <c r="I572" s="22">
        <f t="shared" si="9"/>
        <v>19000</v>
      </c>
      <c r="J572" s="18" t="s">
        <v>1199</v>
      </c>
      <c r="K572" s="18">
        <v>9762645</v>
      </c>
      <c r="L572" s="18" t="s">
        <v>1095</v>
      </c>
      <c r="M572" s="18" t="s">
        <v>1095</v>
      </c>
      <c r="N572" s="16" t="s">
        <v>1095</v>
      </c>
      <c r="O572" s="18" t="s">
        <v>1095</v>
      </c>
      <c r="P572" s="18" t="s">
        <v>1095</v>
      </c>
      <c r="Q572" s="29" t="str" cm="1">
        <f t="array" ref="Q572">_xlfn.IFS(
A572="","",
AND(A572&lt;&gt;"",B572=""),"FALTA LANÇAMENTO",
AND(B572&lt;&gt;"",M572=""),"FALTA O PEDIDO",
AND(M572&lt;&gt;"",O572=""),"FALTA NF",
O572&lt;&gt;"","CONCLUÍDO")</f>
        <v>CONCLUÍDO</v>
      </c>
      <c r="R572" s="36"/>
    </row>
    <row r="573" spans="1:18" hidden="1">
      <c r="A573" s="16">
        <v>46062</v>
      </c>
      <c r="B573" s="16">
        <v>46064</v>
      </c>
      <c r="C573" s="21" t="s">
        <v>1134</v>
      </c>
      <c r="D573" s="16" t="str">
        <f>IFERROR(VLOOKUP(Tabela5[[#This Row],[PREFIXO ]],Tabela4[#All],2,0),"CENTRO DE CUSTO")</f>
        <v>CENTRO DE CUSTO</v>
      </c>
      <c r="E573" s="18" t="s">
        <v>348</v>
      </c>
      <c r="F573" s="21">
        <v>1229</v>
      </c>
      <c r="G573" s="22">
        <v>10500</v>
      </c>
      <c r="H573" s="22"/>
      <c r="I573" s="22">
        <f t="shared" si="9"/>
        <v>10500</v>
      </c>
      <c r="J573" s="18" t="s">
        <v>1199</v>
      </c>
      <c r="K573" s="18">
        <v>9763136</v>
      </c>
      <c r="L573" s="18">
        <v>862208</v>
      </c>
      <c r="M573" s="18" t="s">
        <v>2032</v>
      </c>
      <c r="N573" s="16" t="s">
        <v>1492</v>
      </c>
      <c r="O573" s="18" t="s">
        <v>1538</v>
      </c>
      <c r="P573" s="18" t="s">
        <v>1127</v>
      </c>
      <c r="Q573" s="29" t="str" cm="1">
        <f t="array" ref="Q573">_xlfn.IFS(
A573="","",
AND(A573&lt;&gt;"",B573=""),"FALTA LANÇAMENTO",
AND(B573&lt;&gt;"",M573=""),"FALTA O PEDIDO",
AND(M573&lt;&gt;"",O573=""),"FALTA NF",
O573&lt;&gt;"","CONCLUÍDO")</f>
        <v>CONCLUÍDO</v>
      </c>
      <c r="R573" s="36"/>
    </row>
    <row r="574" spans="1:18" hidden="1">
      <c r="A574" s="16">
        <v>46062</v>
      </c>
      <c r="B574" s="16">
        <v>46064</v>
      </c>
      <c r="C574" s="21">
        <v>16170016</v>
      </c>
      <c r="D574" s="16" t="str">
        <f>IFERROR(VLOOKUP(Tabela5[[#This Row],[PREFIXO ]],Tabela4[#All],2,0),"CENTRO DE CUSTO")</f>
        <v>CENTRO DE CUSTO</v>
      </c>
      <c r="E574" s="18" t="s">
        <v>348</v>
      </c>
      <c r="F574" s="21">
        <v>1215</v>
      </c>
      <c r="G574" s="22">
        <v>10500</v>
      </c>
      <c r="H574" s="22"/>
      <c r="I574" s="22">
        <f t="shared" si="9"/>
        <v>10500</v>
      </c>
      <c r="J574" s="18" t="s">
        <v>1199</v>
      </c>
      <c r="K574" s="18">
        <v>9763138</v>
      </c>
      <c r="L574" s="18">
        <v>862164</v>
      </c>
      <c r="M574" s="18" t="s">
        <v>2033</v>
      </c>
      <c r="N574" s="16" t="s">
        <v>1492</v>
      </c>
      <c r="O574" s="18" t="s">
        <v>1536</v>
      </c>
      <c r="P574" s="18" t="s">
        <v>1127</v>
      </c>
      <c r="Q574" s="29" t="str" cm="1">
        <f t="array" ref="Q574">_xlfn.IFS(
A574="","",
AND(A574&lt;&gt;"",B574=""),"FALTA LANÇAMENTO",
AND(B574&lt;&gt;"",M574=""),"FALTA O PEDIDO",
AND(M574&lt;&gt;"",O574=""),"FALTA NF",
O574&lt;&gt;"","CONCLUÍDO")</f>
        <v>CONCLUÍDO</v>
      </c>
      <c r="R574" s="36"/>
    </row>
    <row r="575" spans="1:18" hidden="1">
      <c r="A575" s="16">
        <v>46062</v>
      </c>
      <c r="B575" s="16">
        <v>46065</v>
      </c>
      <c r="C575" s="21">
        <v>500580263</v>
      </c>
      <c r="D575" s="16" t="str">
        <f>IFERROR(VLOOKUP(Tabela5[[#This Row],[PREFIXO ]],Tabela4[#All],2,0),"CENTRO DE CUSTO")</f>
        <v>Colheit. Grãos-Axial</v>
      </c>
      <c r="E575" s="18" t="s">
        <v>346</v>
      </c>
      <c r="F575" s="21" t="s">
        <v>1302</v>
      </c>
      <c r="G575" s="22">
        <v>10262</v>
      </c>
      <c r="H575" s="22"/>
      <c r="I575" s="22">
        <f t="shared" si="9"/>
        <v>10262</v>
      </c>
      <c r="J575" s="18" t="s">
        <v>1123</v>
      </c>
      <c r="K575" s="18">
        <v>5019402</v>
      </c>
      <c r="L575" s="18">
        <v>862658</v>
      </c>
      <c r="M575" s="18" t="s">
        <v>2034</v>
      </c>
      <c r="N575" s="16" t="s">
        <v>1127</v>
      </c>
      <c r="O575" s="18" t="s">
        <v>1301</v>
      </c>
      <c r="P575" s="18" t="s">
        <v>1127</v>
      </c>
      <c r="Q575" s="29" t="str" cm="1">
        <f t="array" ref="Q575">_xlfn.IFS(
A575="","",
AND(A575&lt;&gt;"",B575=""),"FALTA LANÇAMENTO",
AND(B575&lt;&gt;"",M575=""),"FALTA O PEDIDO",
AND(M575&lt;&gt;"",O575=""),"FALTA NF",
O575&lt;&gt;"","CONCLUÍDO")</f>
        <v>CONCLUÍDO</v>
      </c>
      <c r="R575" s="36"/>
    </row>
    <row r="576" spans="1:18" hidden="1">
      <c r="A576" s="16">
        <v>46062</v>
      </c>
      <c r="B576" s="16">
        <v>46065</v>
      </c>
      <c r="C576" s="21" t="s">
        <v>2035</v>
      </c>
      <c r="D576" s="16" t="str">
        <f>IFERROR(VLOOKUP(Tabela5[[#This Row],[PREFIXO ]],Tabela4[#All],2,0),"CENTRO DE CUSTO")</f>
        <v>CENTRO DE CUSTO</v>
      </c>
      <c r="E576" s="18" t="s">
        <v>346</v>
      </c>
      <c r="F576" s="21" t="s">
        <v>1296</v>
      </c>
      <c r="G576" s="22">
        <v>1964</v>
      </c>
      <c r="H576" s="22"/>
      <c r="I576" s="22">
        <f t="shared" ref="I576:I639" si="10">G576+H576</f>
        <v>1964</v>
      </c>
      <c r="J576" s="18" t="s">
        <v>1123</v>
      </c>
      <c r="K576" s="18">
        <v>5019401</v>
      </c>
      <c r="L576" s="18" t="s">
        <v>1095</v>
      </c>
      <c r="M576" s="18" t="s">
        <v>1095</v>
      </c>
      <c r="N576" s="16" t="s">
        <v>1095</v>
      </c>
      <c r="O576" s="18" t="s">
        <v>1095</v>
      </c>
      <c r="P576" s="18" t="s">
        <v>1095</v>
      </c>
      <c r="Q576" s="29" t="str" cm="1">
        <f t="array" ref="Q576">_xlfn.IFS(
A576="","",
AND(A576&lt;&gt;"",B576=""),"FALTA LANÇAMENTO",
AND(B576&lt;&gt;"",M576=""),"FALTA O PEDIDO",
AND(M576&lt;&gt;"",O576=""),"FALTA NF",
O576&lt;&gt;"","CONCLUÍDO")</f>
        <v>CONCLUÍDO</v>
      </c>
      <c r="R576" s="36"/>
    </row>
    <row r="577" spans="1:18" hidden="1">
      <c r="A577" s="16">
        <v>46064</v>
      </c>
      <c r="B577" s="16">
        <v>46064</v>
      </c>
      <c r="C577" s="21">
        <v>15048015</v>
      </c>
      <c r="D577" s="16" t="str">
        <f>IFERROR(VLOOKUP(Tabela5[[#This Row],[PREFIXO ]],Tabela4[#All],2,0),"CENTRO DE CUSTO")</f>
        <v>TRAT PN EXT PES FENDT VARIO 1050</v>
      </c>
      <c r="E577" s="18" t="s">
        <v>259</v>
      </c>
      <c r="F577" s="21" t="s">
        <v>2036</v>
      </c>
      <c r="G577" s="22">
        <v>150000</v>
      </c>
      <c r="H577" s="22"/>
      <c r="I577" s="22">
        <f t="shared" si="10"/>
        <v>150000</v>
      </c>
      <c r="J577" s="18" t="s">
        <v>1199</v>
      </c>
      <c r="K577" s="18">
        <v>9764618</v>
      </c>
      <c r="L577" s="18">
        <v>862206</v>
      </c>
      <c r="M577" s="18" t="s">
        <v>2037</v>
      </c>
      <c r="N577" s="16" t="s">
        <v>1492</v>
      </c>
      <c r="O577" s="18" t="s">
        <v>2038</v>
      </c>
      <c r="P577" s="18" t="s">
        <v>2039</v>
      </c>
      <c r="Q577" s="29" t="str" cm="1">
        <f t="array" ref="Q577">_xlfn.IFS(
A577="","",
AND(A577&lt;&gt;"",B577=""),"FALTA LANÇAMENTO",
AND(B577&lt;&gt;"",M577=""),"FALTA O PEDIDO",
AND(M577&lt;&gt;"",O577=""),"FALTA NF",
O577&lt;&gt;"","CONCLUÍDO")</f>
        <v>CONCLUÍDO</v>
      </c>
      <c r="R577" s="36"/>
    </row>
    <row r="578" spans="1:18" hidden="1">
      <c r="A578" s="16">
        <v>46066</v>
      </c>
      <c r="B578" s="16">
        <v>46072</v>
      </c>
      <c r="C578" s="21">
        <v>500580263</v>
      </c>
      <c r="D578" s="16" t="str">
        <f>IFERROR(VLOOKUP(Tabela5[[#This Row],[PREFIXO ]],Tabela4[#All],2,0),"CENTRO DE CUSTO")</f>
        <v>Colheit. Grãos-Axial</v>
      </c>
      <c r="E578" s="18" t="s">
        <v>293</v>
      </c>
      <c r="F578" s="21">
        <v>45</v>
      </c>
      <c r="G578" s="22">
        <v>30544</v>
      </c>
      <c r="H578" s="22"/>
      <c r="I578" s="22">
        <f t="shared" si="10"/>
        <v>30544</v>
      </c>
      <c r="J578" s="18" t="s">
        <v>1123</v>
      </c>
      <c r="K578" s="18">
        <v>5019577</v>
      </c>
      <c r="L578" s="18">
        <v>867272</v>
      </c>
      <c r="M578" s="18" t="s">
        <v>2040</v>
      </c>
      <c r="N578" s="16" t="s">
        <v>1821</v>
      </c>
      <c r="O578" s="18" t="s">
        <v>2041</v>
      </c>
      <c r="P578" s="18" t="s">
        <v>1700</v>
      </c>
      <c r="Q578" s="29" t="str" cm="1">
        <f t="array" ref="Q578">_xlfn.IFS(
A578="","",
AND(A578&lt;&gt;"",B578=""),"FALTA LANÇAMENTO",
AND(B578&lt;&gt;"",M578=""),"FALTA O PEDIDO",
AND(M578&lt;&gt;"",O578=""),"FALTA NF",
O578&lt;&gt;"","CONCLUÍDO")</f>
        <v>CONCLUÍDO</v>
      </c>
      <c r="R578" s="36"/>
    </row>
    <row r="579" spans="1:18" hidden="1">
      <c r="A579" s="16">
        <v>46066</v>
      </c>
      <c r="B579" s="16">
        <v>46078</v>
      </c>
      <c r="C579" s="21">
        <v>51521048</v>
      </c>
      <c r="D579" s="16" t="str">
        <f>IFERROR(VLOOKUP(Tabela5[[#This Row],[PREFIXO ]],Tabela4[#All],2,0),"CENTRO DE CUSTO")</f>
        <v>COLHED ALGODÃO JOHN DEERE CP 690</v>
      </c>
      <c r="E579" s="18" t="s">
        <v>17</v>
      </c>
      <c r="F579" s="21">
        <v>42879</v>
      </c>
      <c r="G579" s="22">
        <v>8887.7000000000007</v>
      </c>
      <c r="H579" s="22">
        <v>15542.12</v>
      </c>
      <c r="I579" s="22">
        <f t="shared" si="10"/>
        <v>24429.82</v>
      </c>
      <c r="J579" s="18" t="s">
        <v>1113</v>
      </c>
      <c r="K579" s="18">
        <v>9783952</v>
      </c>
      <c r="L579" s="18">
        <v>871760</v>
      </c>
      <c r="M579" s="18" t="s">
        <v>2042</v>
      </c>
      <c r="N579" s="16" t="s">
        <v>2043</v>
      </c>
      <c r="O579" s="18" t="s">
        <v>2044</v>
      </c>
      <c r="P579" s="18" t="s">
        <v>1828</v>
      </c>
      <c r="Q579" s="29" t="str" cm="1">
        <f t="array" ref="Q579">_xlfn.IFS(
A579="","",
AND(A579&lt;&gt;"",B579=""),"FALTA LANÇAMENTO",
AND(B579&lt;&gt;"",M579=""),"FALTA O PEDIDO",
AND(M579&lt;&gt;"",O579=""),"FALTA NF",
O579&lt;&gt;"","CONCLUÍDO")</f>
        <v>CONCLUÍDO</v>
      </c>
      <c r="R579" s="36"/>
    </row>
    <row r="580" spans="1:18" hidden="1">
      <c r="A580" s="16">
        <v>46066</v>
      </c>
      <c r="B580" s="16">
        <v>46078</v>
      </c>
      <c r="C580" s="21">
        <v>81519196</v>
      </c>
      <c r="D580" s="16" t="str">
        <f>IFERROR(VLOOKUP(Tabela5[[#This Row],[PREFIXO ]],Tabela4[#All],2,0),"CENTRO DE CUSTO")</f>
        <v>PLATAF COLHEITA JOHN DEERE HYDRAFLEX 625</v>
      </c>
      <c r="E580" s="18" t="s">
        <v>17</v>
      </c>
      <c r="F580" s="21">
        <v>42997</v>
      </c>
      <c r="G580" s="22">
        <v>2735.64</v>
      </c>
      <c r="H580" s="22">
        <v>942.54</v>
      </c>
      <c r="I580" s="22">
        <f t="shared" si="10"/>
        <v>3678.18</v>
      </c>
      <c r="J580" s="18" t="s">
        <v>1123</v>
      </c>
      <c r="K580" s="18">
        <v>9783953</v>
      </c>
      <c r="L580" s="18">
        <v>871768</v>
      </c>
      <c r="M580" s="18" t="s">
        <v>2045</v>
      </c>
      <c r="N580" s="16" t="s">
        <v>2043</v>
      </c>
      <c r="O580" s="18" t="s">
        <v>2046</v>
      </c>
      <c r="P580" s="18" t="s">
        <v>2047</v>
      </c>
      <c r="Q580" s="29" t="str" cm="1">
        <f t="array" ref="Q580">_xlfn.IFS(
A580="","",
AND(A580&lt;&gt;"",B580=""),"FALTA LANÇAMENTO",
AND(B580&lt;&gt;"",M580=""),"FALTA O PEDIDO",
AND(M580&lt;&gt;"",O580=""),"FALTA NF",
O580&lt;&gt;"","CONCLUÍDO")</f>
        <v>CONCLUÍDO</v>
      </c>
      <c r="R580" s="36"/>
    </row>
    <row r="581" spans="1:18" hidden="1">
      <c r="A581" s="16">
        <v>46066</v>
      </c>
      <c r="B581" s="16">
        <v>46078</v>
      </c>
      <c r="C581" s="21">
        <v>11040025</v>
      </c>
      <c r="D581" s="16" t="str">
        <f>IFERROR(VLOOKUP(Tabela5[[#This Row],[PREFIXO ]],Tabela4[#All],2,0),"CENTRO DE CUSTO")</f>
        <v>CAV MEC EXT PES SCANIA R500</v>
      </c>
      <c r="E581" s="18" t="s">
        <v>29</v>
      </c>
      <c r="F581" s="21">
        <v>54846</v>
      </c>
      <c r="G581" s="22">
        <v>7639</v>
      </c>
      <c r="H581" s="22">
        <v>8789</v>
      </c>
      <c r="I581" s="22">
        <f t="shared" si="10"/>
        <v>16428</v>
      </c>
      <c r="J581" s="18" t="s">
        <v>1085</v>
      </c>
      <c r="K581" s="18">
        <v>9753166</v>
      </c>
      <c r="L581" s="18">
        <v>871853</v>
      </c>
      <c r="M581" s="18" t="s">
        <v>2048</v>
      </c>
      <c r="N581" s="16" t="s">
        <v>2043</v>
      </c>
      <c r="O581" s="18" t="s">
        <v>2049</v>
      </c>
      <c r="P581" s="18" t="s">
        <v>1941</v>
      </c>
      <c r="Q581" s="29" t="str" cm="1">
        <f t="array" ref="Q581">_xlfn.IFS(
A581="","",
AND(A581&lt;&gt;"",B581=""),"FALTA LANÇAMENTO",
AND(B581&lt;&gt;"",M581=""),"FALTA O PEDIDO",
AND(M581&lt;&gt;"",O581=""),"FALTA NF",
O581&lt;&gt;"","CONCLUÍDO")</f>
        <v>CONCLUÍDO</v>
      </c>
      <c r="R581" s="36"/>
    </row>
    <row r="582" spans="1:18" hidden="1">
      <c r="A582" s="16">
        <v>46066</v>
      </c>
      <c r="B582" s="16">
        <v>46078</v>
      </c>
      <c r="C582" s="21">
        <v>8172116</v>
      </c>
      <c r="D582" s="16" t="str">
        <f>IFERROR(VLOOKUP(Tabela5[[#This Row],[PREFIXO ]],Tabela4[#All],2,0),"CENTRO DE CUSTO")</f>
        <v>SEMI REBOQUE TANQUE RANDON 22.000L</v>
      </c>
      <c r="E582" s="18" t="s">
        <v>29</v>
      </c>
      <c r="F582" s="21">
        <v>54933</v>
      </c>
      <c r="G582" s="22">
        <v>50</v>
      </c>
      <c r="H582" s="22">
        <v>1985</v>
      </c>
      <c r="I582" s="22">
        <f t="shared" si="10"/>
        <v>2035</v>
      </c>
      <c r="J582" s="18" t="s">
        <v>1085</v>
      </c>
      <c r="K582" s="18">
        <v>9785480</v>
      </c>
      <c r="L582" s="18">
        <v>872299</v>
      </c>
      <c r="M582" s="18" t="s">
        <v>2050</v>
      </c>
      <c r="N582" s="16" t="s">
        <v>1875</v>
      </c>
      <c r="O582" s="18" t="s">
        <v>2051</v>
      </c>
      <c r="P582" s="18" t="s">
        <v>1941</v>
      </c>
      <c r="Q582" s="29" t="str" cm="1">
        <f t="array" ref="Q582">_xlfn.IFS(
A582="","",
AND(A582&lt;&gt;"",B582=""),"FALTA LANÇAMENTO",
AND(B582&lt;&gt;"",M582=""),"FALTA O PEDIDO",
AND(M582&lt;&gt;"",O582=""),"FALTA NF",
O582&lt;&gt;"","CONCLUÍDO")</f>
        <v>CONCLUÍDO</v>
      </c>
      <c r="R582" s="36"/>
    </row>
    <row r="583" spans="1:18" hidden="1">
      <c r="A583" s="16">
        <v>46066</v>
      </c>
      <c r="B583" s="16">
        <v>46072</v>
      </c>
      <c r="C583" s="21">
        <v>13150003</v>
      </c>
      <c r="D583" s="16" t="str">
        <f>IFERROR(VLOOKUP(Tabela5[[#This Row],[PREFIXO ]],Tabela4[#All],2,0),"CENTRO DE CUSTO")</f>
        <v>CENTRO DE CUSTO</v>
      </c>
      <c r="E583" s="18" t="s">
        <v>33</v>
      </c>
      <c r="F583" s="21">
        <v>144</v>
      </c>
      <c r="G583" s="22">
        <v>970</v>
      </c>
      <c r="H583" s="22"/>
      <c r="I583" s="22">
        <f t="shared" si="10"/>
        <v>970</v>
      </c>
      <c r="J583" s="18" t="s">
        <v>1080</v>
      </c>
      <c r="K583" s="18">
        <v>9780183</v>
      </c>
      <c r="L583" s="18" t="s">
        <v>1095</v>
      </c>
      <c r="M583" s="18" t="s">
        <v>1095</v>
      </c>
      <c r="N583" s="16" t="s">
        <v>1095</v>
      </c>
      <c r="O583" s="18" t="s">
        <v>1095</v>
      </c>
      <c r="P583" s="18" t="s">
        <v>1095</v>
      </c>
      <c r="Q583" s="29" t="str" cm="1">
        <f t="array" ref="Q583">_xlfn.IFS(
A583="","",
AND(A583&lt;&gt;"",B583=""),"FALTA LANÇAMENTO",
AND(B583&lt;&gt;"",M583=""),"FALTA O PEDIDO",
AND(M583&lt;&gt;"",O583=""),"FALTA NF",
O583&lt;&gt;"","CONCLUÍDO")</f>
        <v>CONCLUÍDO</v>
      </c>
      <c r="R583" s="36"/>
    </row>
    <row r="584" spans="1:18" hidden="1">
      <c r="A584" s="16">
        <v>46066</v>
      </c>
      <c r="B584" s="16">
        <v>46072</v>
      </c>
      <c r="C584" s="21">
        <v>16170022</v>
      </c>
      <c r="D584" s="16" t="str">
        <f>IFERROR(VLOOKUP(Tabela5[[#This Row],[PREFIXO ]],Tabela4[#All],2,0),"CENTRO DE CUSTO")</f>
        <v>CENTRO DE CUSTO</v>
      </c>
      <c r="E584" s="18" t="s">
        <v>62</v>
      </c>
      <c r="F584" s="21">
        <v>453</v>
      </c>
      <c r="G584" s="22">
        <v>9000</v>
      </c>
      <c r="H584" s="22"/>
      <c r="I584" s="22">
        <f t="shared" si="10"/>
        <v>9000</v>
      </c>
      <c r="J584" s="18" t="s">
        <v>1199</v>
      </c>
      <c r="K584" s="18">
        <v>9780205</v>
      </c>
      <c r="L584" s="18">
        <v>868314</v>
      </c>
      <c r="M584" s="18" t="s">
        <v>2052</v>
      </c>
      <c r="N584" s="16" t="s">
        <v>1821</v>
      </c>
      <c r="O584" s="18" t="s">
        <v>2053</v>
      </c>
      <c r="P584" s="18" t="s">
        <v>1495</v>
      </c>
      <c r="Q584" s="29" t="str" cm="1">
        <f t="array" ref="Q584">_xlfn.IFS(
A584="","",
AND(A584&lt;&gt;"",B584=""),"FALTA LANÇAMENTO",
AND(B584&lt;&gt;"",M584=""),"FALTA O PEDIDO",
AND(M584&lt;&gt;"",O584=""),"FALTA NF",
O584&lt;&gt;"","CONCLUÍDO")</f>
        <v>CONCLUÍDO</v>
      </c>
      <c r="R584" s="36"/>
    </row>
    <row r="585" spans="1:18" hidden="1">
      <c r="A585" s="16">
        <v>46066</v>
      </c>
      <c r="B585" s="16">
        <v>46072</v>
      </c>
      <c r="C585" s="21">
        <v>8181121</v>
      </c>
      <c r="D585" s="16" t="str">
        <f>IFERROR(VLOOKUP(Tabela5[[#This Row],[PREFIXO ]],Tabela4[#All],2,0),"CENTRO DE CUSTO")</f>
        <v>SULCADOR POWER 4,5 540RPM</v>
      </c>
      <c r="E585" s="18" t="s">
        <v>62</v>
      </c>
      <c r="F585" s="21">
        <v>454</v>
      </c>
      <c r="G585" s="22">
        <v>7617.7</v>
      </c>
      <c r="H585" s="22"/>
      <c r="I585" s="22">
        <f t="shared" si="10"/>
        <v>7617.7</v>
      </c>
      <c r="J585" s="18" t="s">
        <v>1199</v>
      </c>
      <c r="K585" s="18">
        <v>9780210</v>
      </c>
      <c r="L585" s="18">
        <v>868330</v>
      </c>
      <c r="M585" s="18" t="s">
        <v>2054</v>
      </c>
      <c r="N585" s="16" t="s">
        <v>1821</v>
      </c>
      <c r="O585" s="18" t="s">
        <v>2055</v>
      </c>
      <c r="P585" s="18" t="s">
        <v>1885</v>
      </c>
      <c r="Q585" s="29" t="str" cm="1">
        <f t="array" ref="Q585">_xlfn.IFS(
A585="","",
AND(A585&lt;&gt;"",B585=""),"FALTA LANÇAMENTO",
AND(B585&lt;&gt;"",M585=""),"FALTA O PEDIDO",
AND(M585&lt;&gt;"",O585=""),"FALTA NF",
O585&lt;&gt;"","CONCLUÍDO")</f>
        <v>CONCLUÍDO</v>
      </c>
      <c r="R585" s="36"/>
    </row>
    <row r="586" spans="1:18" hidden="1">
      <c r="A586" s="16">
        <v>46066</v>
      </c>
      <c r="B586" s="16">
        <v>46077</v>
      </c>
      <c r="C586" s="21">
        <v>51521097</v>
      </c>
      <c r="D586" s="16" t="str">
        <f>IFERROR(VLOOKUP(Tabela5[[#This Row],[PREFIXO ]],Tabela4[#All],2,0),"CENTRO DE CUSTO")</f>
        <v>COLHEIT DE GRÃOS N.HOLLAND CR 8.90</v>
      </c>
      <c r="E586" s="18" t="s">
        <v>96</v>
      </c>
      <c r="F586" s="21">
        <v>15193</v>
      </c>
      <c r="G586" s="22"/>
      <c r="H586" s="22">
        <v>1433.24</v>
      </c>
      <c r="I586" s="22">
        <f t="shared" si="10"/>
        <v>1433.24</v>
      </c>
      <c r="J586" s="18" t="s">
        <v>1123</v>
      </c>
      <c r="K586" s="18">
        <v>9783949</v>
      </c>
      <c r="L586" s="18">
        <v>871745</v>
      </c>
      <c r="M586" s="18" t="s">
        <v>2056</v>
      </c>
      <c r="N586" s="16" t="s">
        <v>1885</v>
      </c>
      <c r="O586" s="18" t="s">
        <v>2057</v>
      </c>
      <c r="P586" s="18" t="s">
        <v>1700</v>
      </c>
      <c r="Q586" s="29" t="str" cm="1">
        <f t="array" ref="Q586">_xlfn.IFS(
A586="","",
AND(A586&lt;&gt;"",B586=""),"FALTA LANÇAMENTO",
AND(B586&lt;&gt;"",M586=""),"FALTA O PEDIDO",
AND(M586&lt;&gt;"",O586=""),"FALTA NF",
O586&lt;&gt;"","CONCLUÍDO")</f>
        <v>CONCLUÍDO</v>
      </c>
      <c r="R586" s="36"/>
    </row>
    <row r="587" spans="1:18" hidden="1">
      <c r="A587" s="16">
        <v>46066</v>
      </c>
      <c r="B587" s="16">
        <v>46077</v>
      </c>
      <c r="C587" s="21">
        <v>51521060</v>
      </c>
      <c r="D587" s="16" t="str">
        <f>IFERROR(VLOOKUP(Tabela5[[#This Row],[PREFIXO ]],Tabela4[#All],2,0),"CENTRO DE CUSTO")</f>
        <v>COLHED ALGODÃO JOHN DEERE CP 690</v>
      </c>
      <c r="E587" s="18" t="s">
        <v>96</v>
      </c>
      <c r="F587" s="21">
        <v>4055</v>
      </c>
      <c r="G587" s="22">
        <v>612</v>
      </c>
      <c r="H587" s="22"/>
      <c r="I587" s="22">
        <f t="shared" si="10"/>
        <v>612</v>
      </c>
      <c r="J587" s="18" t="s">
        <v>1123</v>
      </c>
      <c r="K587" s="18">
        <v>9783947</v>
      </c>
      <c r="L587" s="18">
        <v>871431</v>
      </c>
      <c r="M587" s="18" t="s">
        <v>2058</v>
      </c>
      <c r="N587" s="16" t="s">
        <v>1885</v>
      </c>
      <c r="O587" s="18" t="s">
        <v>2059</v>
      </c>
      <c r="P587" s="18" t="s">
        <v>1489</v>
      </c>
      <c r="Q587" s="29" t="str" cm="1">
        <f t="array" ref="Q587">_xlfn.IFS(
A587="","",
AND(A587&lt;&gt;"",B587=""),"FALTA LANÇAMENTO",
AND(B587&lt;&gt;"",M587=""),"FALTA O PEDIDO",
AND(M587&lt;&gt;"",O587=""),"FALTA NF",
O587&lt;&gt;"","CONCLUÍDO")</f>
        <v>CONCLUÍDO</v>
      </c>
      <c r="R587" s="36"/>
    </row>
    <row r="588" spans="1:18" hidden="1">
      <c r="A588" s="16">
        <v>46066</v>
      </c>
      <c r="B588" s="16">
        <v>46077</v>
      </c>
      <c r="C588" s="21">
        <v>51521060</v>
      </c>
      <c r="D588" s="16" t="str">
        <f>IFERROR(VLOOKUP(Tabela5[[#This Row],[PREFIXO ]],Tabela4[#All],2,0),"CENTRO DE CUSTO")</f>
        <v>COLHED ALGODÃO JOHN DEERE CP 690</v>
      </c>
      <c r="E588" s="18" t="s">
        <v>96</v>
      </c>
      <c r="F588" s="21">
        <v>15160</v>
      </c>
      <c r="G588" s="22"/>
      <c r="H588" s="22">
        <v>280.35000000000002</v>
      </c>
      <c r="I588" s="22">
        <f t="shared" si="10"/>
        <v>280.35000000000002</v>
      </c>
      <c r="J588" s="18" t="s">
        <v>1123</v>
      </c>
      <c r="K588" s="18">
        <v>9783947</v>
      </c>
      <c r="L588" s="18">
        <v>871431</v>
      </c>
      <c r="M588" s="18" t="s">
        <v>2060</v>
      </c>
      <c r="N588" s="16" t="s">
        <v>1885</v>
      </c>
      <c r="O588" s="18" t="s">
        <v>2061</v>
      </c>
      <c r="P588" s="18" t="s">
        <v>1700</v>
      </c>
      <c r="Q588" s="29" t="str" cm="1">
        <f t="array" ref="Q588">_xlfn.IFS(
A588="","",
AND(A588&lt;&gt;"",B588=""),"FALTA LANÇAMENTO",
AND(B588&lt;&gt;"",M588=""),"FALTA O PEDIDO",
AND(M588&lt;&gt;"",O588=""),"FALTA NF",
O588&lt;&gt;"","CONCLUÍDO")</f>
        <v>CONCLUÍDO</v>
      </c>
      <c r="R588" s="36"/>
    </row>
    <row r="589" spans="1:18" hidden="1">
      <c r="A589" s="16">
        <v>46066</v>
      </c>
      <c r="B589" s="16">
        <v>46077</v>
      </c>
      <c r="C589" s="21">
        <v>51521097</v>
      </c>
      <c r="D589" s="16" t="str">
        <f>IFERROR(VLOOKUP(Tabela5[[#This Row],[PREFIXO ]],Tabela4[#All],2,0),"CENTRO DE CUSTO")</f>
        <v>COLHEIT DE GRÃOS N.HOLLAND CR 8.90</v>
      </c>
      <c r="E589" s="18" t="s">
        <v>96</v>
      </c>
      <c r="F589" s="21">
        <v>4063</v>
      </c>
      <c r="G589" s="22">
        <v>200</v>
      </c>
      <c r="H589" s="22"/>
      <c r="I589" s="22">
        <f t="shared" si="10"/>
        <v>200</v>
      </c>
      <c r="J589" s="18" t="s">
        <v>1123</v>
      </c>
      <c r="K589" s="18">
        <v>9783949</v>
      </c>
      <c r="L589" s="18">
        <v>871745</v>
      </c>
      <c r="M589" s="18" t="s">
        <v>2062</v>
      </c>
      <c r="N589" s="16" t="s">
        <v>1885</v>
      </c>
      <c r="O589" s="18" t="s">
        <v>2063</v>
      </c>
      <c r="P589" s="18" t="s">
        <v>1489</v>
      </c>
      <c r="Q589" s="29" t="str" cm="1">
        <f t="array" ref="Q589">_xlfn.IFS(
A589="","",
AND(A589&lt;&gt;"",B589=""),"FALTA LANÇAMENTO",
AND(B589&lt;&gt;"",M589=""),"FALTA O PEDIDO",
AND(M589&lt;&gt;"",O589=""),"FALTA NF",
O589&lt;&gt;"","CONCLUÍDO")</f>
        <v>CONCLUÍDO</v>
      </c>
      <c r="R589" s="36"/>
    </row>
    <row r="590" spans="1:18" hidden="1">
      <c r="A590" s="16">
        <v>46066</v>
      </c>
      <c r="B590" s="16">
        <v>46072</v>
      </c>
      <c r="C590" s="21">
        <v>61521009</v>
      </c>
      <c r="D590" s="16" t="str">
        <f>IFERROR(VLOOKUP(Tabela5[[#This Row],[PREFIXO ]],Tabela4[#All],2,0),"CENTRO DE CUSTO")</f>
        <v>CAV MEC PES MERC BENZ AXOR 2644</v>
      </c>
      <c r="E590" s="18" t="s">
        <v>124</v>
      </c>
      <c r="F590" s="21">
        <v>497</v>
      </c>
      <c r="G590" s="22">
        <v>2390.4</v>
      </c>
      <c r="H590" s="22"/>
      <c r="I590" s="22">
        <f t="shared" si="10"/>
        <v>2390.4</v>
      </c>
      <c r="J590" s="18" t="s">
        <v>1085</v>
      </c>
      <c r="K590" s="18">
        <v>9780204</v>
      </c>
      <c r="L590" s="18">
        <v>868273</v>
      </c>
      <c r="M590" s="18" t="s">
        <v>2064</v>
      </c>
      <c r="N590" s="16" t="s">
        <v>1594</v>
      </c>
      <c r="O590" s="18" t="s">
        <v>2065</v>
      </c>
      <c r="P590" s="18" t="s">
        <v>1833</v>
      </c>
      <c r="Q590" s="29" t="str" cm="1">
        <f t="array" ref="Q590">_xlfn.IFS(
A590="","",
AND(A590&lt;&gt;"",B590=""),"FALTA LANÇAMENTO",
AND(B590&lt;&gt;"",M590=""),"FALTA O PEDIDO",
AND(M590&lt;&gt;"",O590=""),"FALTA NF",
O590&lt;&gt;"","CONCLUÍDO")</f>
        <v>CONCLUÍDO</v>
      </c>
      <c r="R590" s="36"/>
    </row>
    <row r="591" spans="1:18" hidden="1">
      <c r="A591" s="16">
        <v>46066</v>
      </c>
      <c r="B591" s="16">
        <v>46072</v>
      </c>
      <c r="C591" s="21">
        <v>61521043</v>
      </c>
      <c r="D591" s="16" t="str">
        <f>IFERROR(VLOOKUP(Tabela5[[#This Row],[PREFIXO ]],Tabela4[#All],2,0),"CENTRO DE CUSTO")</f>
        <v>ONIB RODOVIÁRIO MASCARELLO GRAN MIDI</v>
      </c>
      <c r="E591" s="18" t="s">
        <v>124</v>
      </c>
      <c r="F591" s="21">
        <v>476</v>
      </c>
      <c r="G591" s="22">
        <v>1900.8</v>
      </c>
      <c r="H591" s="22"/>
      <c r="I591" s="22">
        <f t="shared" si="10"/>
        <v>1900.8</v>
      </c>
      <c r="J591" s="18" t="s">
        <v>1085</v>
      </c>
      <c r="K591" s="18">
        <v>9780185</v>
      </c>
      <c r="L591" s="18">
        <v>868273</v>
      </c>
      <c r="M591" s="18" t="s">
        <v>2064</v>
      </c>
      <c r="N591" s="16" t="s">
        <v>1594</v>
      </c>
      <c r="O591" s="18" t="s">
        <v>2065</v>
      </c>
      <c r="P591" s="18" t="s">
        <v>1833</v>
      </c>
      <c r="Q591" s="29" t="str" cm="1">
        <f t="array" ref="Q591">_xlfn.IFS(
A591="","",
AND(A591&lt;&gt;"",B591=""),"FALTA LANÇAMENTO",
AND(B591&lt;&gt;"",M591=""),"FALTA O PEDIDO",
AND(M591&lt;&gt;"",O591=""),"FALTA NF",
O591&lt;&gt;"","CONCLUÍDO")</f>
        <v>CONCLUÍDO</v>
      </c>
      <c r="R591" s="36"/>
    </row>
    <row r="592" spans="1:18" hidden="1">
      <c r="A592" s="16">
        <v>46066</v>
      </c>
      <c r="B592" s="16">
        <v>46072</v>
      </c>
      <c r="C592" s="21">
        <v>15180004</v>
      </c>
      <c r="D592" s="16" t="str">
        <f>IFERROR(VLOOKUP(Tabela5[[#This Row],[PREFIXO ]],Tabela4[#All],2,0),"CENTRO DE CUSTO")</f>
        <v>ROCADEIRA INRODA ARRASTO SP2 RALL</v>
      </c>
      <c r="E592" s="18" t="s">
        <v>144</v>
      </c>
      <c r="F592" s="21">
        <v>2332</v>
      </c>
      <c r="G592" s="22">
        <v>1164</v>
      </c>
      <c r="H592" s="22"/>
      <c r="I592" s="22">
        <f t="shared" si="10"/>
        <v>1164</v>
      </c>
      <c r="J592" s="18" t="s">
        <v>1199</v>
      </c>
      <c r="K592" s="18">
        <v>9780003</v>
      </c>
      <c r="L592" s="18">
        <v>868253</v>
      </c>
      <c r="M592" s="18" t="s">
        <v>2066</v>
      </c>
      <c r="N592" s="16" t="s">
        <v>1779</v>
      </c>
      <c r="O592" s="18" t="s">
        <v>1095</v>
      </c>
      <c r="P592" s="18" t="s">
        <v>1095</v>
      </c>
      <c r="Q592" s="29" t="str" cm="1">
        <f t="array" ref="Q592">_xlfn.IFS(
A592="","",
AND(A592&lt;&gt;"",B592=""),"FALTA LANÇAMENTO",
AND(B592&lt;&gt;"",M592=""),"FALTA O PEDIDO",
AND(M592&lt;&gt;"",O592=""),"FALTA NF",
O592&lt;&gt;"","CONCLUÍDO")</f>
        <v>CONCLUÍDO</v>
      </c>
      <c r="R592" s="36"/>
    </row>
    <row r="593" spans="1:18" hidden="1">
      <c r="A593" s="16">
        <v>46066</v>
      </c>
      <c r="B593" s="16">
        <v>46072</v>
      </c>
      <c r="C593" s="21">
        <v>500580263</v>
      </c>
      <c r="D593" s="16" t="str">
        <f>IFERROR(VLOOKUP(Tabela5[[#This Row],[PREFIXO ]],Tabela4[#All],2,0),"CENTRO DE CUSTO")</f>
        <v>Colheit. Grãos-Axial</v>
      </c>
      <c r="E593" s="18" t="s">
        <v>71</v>
      </c>
      <c r="F593" s="21">
        <v>7713</v>
      </c>
      <c r="G593" s="22">
        <v>5646.58</v>
      </c>
      <c r="H593" s="22"/>
      <c r="I593" s="22">
        <f t="shared" si="10"/>
        <v>5646.58</v>
      </c>
      <c r="J593" s="18" t="s">
        <v>1123</v>
      </c>
      <c r="K593" s="18">
        <v>5019568</v>
      </c>
      <c r="L593" s="18">
        <v>868526</v>
      </c>
      <c r="M593" s="18" t="s">
        <v>2067</v>
      </c>
      <c r="N593" s="16" t="s">
        <v>1821</v>
      </c>
      <c r="O593" s="18" t="s">
        <v>2038</v>
      </c>
      <c r="P593" s="18" t="s">
        <v>1495</v>
      </c>
      <c r="Q593" s="29" t="str" cm="1">
        <f t="array" ref="Q593">_xlfn.IFS(
A593="","",
AND(A593&lt;&gt;"",B593=""),"FALTA LANÇAMENTO",
AND(B593&lt;&gt;"",M593=""),"FALTA O PEDIDO",
AND(M593&lt;&gt;"",O593=""),"FALTA NF",
O593&lt;&gt;"","CONCLUÍDO")</f>
        <v>CONCLUÍDO</v>
      </c>
      <c r="R593" s="36"/>
    </row>
    <row r="594" spans="1:18" hidden="1">
      <c r="A594" s="16">
        <v>46066</v>
      </c>
      <c r="B594" s="16">
        <v>46072</v>
      </c>
      <c r="C594" s="21">
        <v>500580579</v>
      </c>
      <c r="D594" s="16" t="str">
        <f>IFERROR(VLOOKUP(Tabela5[[#This Row],[PREFIXO ]],Tabela4[#All],2,0),"CENTRO DE CUSTO")</f>
        <v>Pátio de Vendas</v>
      </c>
      <c r="E594" s="18" t="s">
        <v>224</v>
      </c>
      <c r="F594" s="21">
        <v>2556</v>
      </c>
      <c r="G594" s="22">
        <v>3283</v>
      </c>
      <c r="H594" s="22"/>
      <c r="I594" s="22">
        <f t="shared" si="10"/>
        <v>3283</v>
      </c>
      <c r="J594" s="18" t="s">
        <v>1123</v>
      </c>
      <c r="K594" s="18">
        <v>5019514</v>
      </c>
      <c r="L594" s="18" t="s">
        <v>1095</v>
      </c>
      <c r="M594" s="18" t="s">
        <v>1095</v>
      </c>
      <c r="N594" s="16" t="s">
        <v>1095</v>
      </c>
      <c r="O594" s="18" t="s">
        <v>1095</v>
      </c>
      <c r="P594" s="18" t="s">
        <v>1095</v>
      </c>
      <c r="Q594" s="29" t="str" cm="1">
        <f t="array" ref="Q594">_xlfn.IFS(
A594="","",
AND(A594&lt;&gt;"",B594=""),"FALTA LANÇAMENTO",
AND(B594&lt;&gt;"",M594=""),"FALTA O PEDIDO",
AND(M594&lt;&gt;"",O594=""),"FALTA NF",
O594&lt;&gt;"","CONCLUÍDO")</f>
        <v>CONCLUÍDO</v>
      </c>
      <c r="R594" s="36"/>
    </row>
    <row r="595" spans="1:18" hidden="1">
      <c r="A595" s="16">
        <v>46066</v>
      </c>
      <c r="B595" s="16">
        <v>46080</v>
      </c>
      <c r="C595" s="21">
        <v>61521062</v>
      </c>
      <c r="D595" s="16" t="str">
        <f>IFERROR(VLOOKUP(Tabela5[[#This Row],[PREFIXO ]],Tabela4[#All],2,0),"CENTRO DE CUSTO")</f>
        <v>ONIB RODOVIÁRIO MERC BENZ MARCOPOLO TORI</v>
      </c>
      <c r="E595" s="18" t="s">
        <v>235</v>
      </c>
      <c r="F595" s="21">
        <v>2740</v>
      </c>
      <c r="G595" s="22">
        <v>2500</v>
      </c>
      <c r="H595" s="22"/>
      <c r="I595" s="22">
        <f t="shared" si="10"/>
        <v>2500</v>
      </c>
      <c r="J595" s="18" t="s">
        <v>1085</v>
      </c>
      <c r="K595" s="18">
        <v>9784946</v>
      </c>
      <c r="L595" s="18">
        <v>874882</v>
      </c>
      <c r="M595" s="18" t="s">
        <v>2068</v>
      </c>
      <c r="N595" s="16" t="s">
        <v>1700</v>
      </c>
      <c r="O595" s="18" t="s">
        <v>2069</v>
      </c>
      <c r="P595" s="18" t="s">
        <v>1978</v>
      </c>
      <c r="Q595" s="29" t="str" cm="1">
        <f t="array" ref="Q595">_xlfn.IFS(
A595="","",
AND(A595&lt;&gt;"",B595=""),"FALTA LANÇAMENTO",
AND(B595&lt;&gt;"",M595=""),"FALTA O PEDIDO",
AND(M595&lt;&gt;"",O595=""),"FALTA NF",
O595&lt;&gt;"","CONCLUÍDO")</f>
        <v>CONCLUÍDO</v>
      </c>
      <c r="R595" s="36"/>
    </row>
    <row r="596" spans="1:18" hidden="1">
      <c r="A596" s="16">
        <v>46066</v>
      </c>
      <c r="B596" s="16">
        <v>46072</v>
      </c>
      <c r="C596" s="21">
        <v>61521041</v>
      </c>
      <c r="D596" s="16" t="str">
        <f>IFERROR(VLOOKUP(Tabela5[[#This Row],[PREFIXO ]],Tabela4[#All],2,0),"CENTRO DE CUSTO")</f>
        <v>ONIB RODOVIÁRIO MASCARELLO GRAN MIDI</v>
      </c>
      <c r="E596" s="18" t="s">
        <v>235</v>
      </c>
      <c r="F596" s="21">
        <v>2743</v>
      </c>
      <c r="G596" s="22">
        <v>1480</v>
      </c>
      <c r="H596" s="22"/>
      <c r="I596" s="22">
        <f t="shared" si="10"/>
        <v>1480</v>
      </c>
      <c r="J596" s="18" t="s">
        <v>1085</v>
      </c>
      <c r="K596" s="18">
        <v>9780184</v>
      </c>
      <c r="L596" s="18">
        <v>868269</v>
      </c>
      <c r="M596" s="18" t="s">
        <v>2070</v>
      </c>
      <c r="N596" s="16" t="s">
        <v>1779</v>
      </c>
      <c r="O596" s="18" t="s">
        <v>2071</v>
      </c>
      <c r="P596" s="18" t="s">
        <v>1495</v>
      </c>
      <c r="Q596" s="29" t="str" cm="1">
        <f t="array" ref="Q596">_xlfn.IFS(
A596="","",
AND(A596&lt;&gt;"",B596=""),"FALTA LANÇAMENTO",
AND(B596&lt;&gt;"",M596=""),"FALTA O PEDIDO",
AND(M596&lt;&gt;"",O596=""),"FALTA NF",
O596&lt;&gt;"","CONCLUÍDO")</f>
        <v>CONCLUÍDO</v>
      </c>
      <c r="R596" s="36"/>
    </row>
    <row r="597" spans="1:18" hidden="1">
      <c r="A597" s="16">
        <v>46066</v>
      </c>
      <c r="B597" s="16">
        <v>46078</v>
      </c>
      <c r="C597" s="21">
        <v>61521043</v>
      </c>
      <c r="D597" s="16" t="str">
        <f>IFERROR(VLOOKUP(Tabela5[[#This Row],[PREFIXO ]],Tabela4[#All],2,0),"CENTRO DE CUSTO")</f>
        <v>ONIB RODOVIÁRIO MASCARELLO GRAN MIDI</v>
      </c>
      <c r="E597" s="18" t="s">
        <v>309</v>
      </c>
      <c r="F597" s="21">
        <v>7988</v>
      </c>
      <c r="G597" s="22">
        <v>11466.37</v>
      </c>
      <c r="H597" s="22"/>
      <c r="I597" s="22">
        <f t="shared" si="10"/>
        <v>11466.37</v>
      </c>
      <c r="J597" s="18" t="s">
        <v>1085</v>
      </c>
      <c r="K597" s="18">
        <v>9783958</v>
      </c>
      <c r="L597" s="18">
        <v>871789</v>
      </c>
      <c r="M597" s="18" t="s">
        <v>2072</v>
      </c>
      <c r="N597" s="16" t="s">
        <v>2043</v>
      </c>
      <c r="O597" s="18" t="s">
        <v>2073</v>
      </c>
      <c r="P597" s="18" t="s">
        <v>2074</v>
      </c>
      <c r="Q597" s="29" t="str" cm="1">
        <f t="array" ref="Q597">_xlfn.IFS(
A597="","",
AND(A597&lt;&gt;"",B597=""),"FALTA LANÇAMENTO",
AND(B597&lt;&gt;"",M597=""),"FALTA O PEDIDO",
AND(M597&lt;&gt;"",O597=""),"FALTA NF",
O597&lt;&gt;"","CONCLUÍDO")</f>
        <v>CONCLUÍDO</v>
      </c>
      <c r="R597" s="36"/>
    </row>
    <row r="598" spans="1:18" hidden="1">
      <c r="A598" s="16">
        <v>46066</v>
      </c>
      <c r="B598" s="16">
        <v>46066</v>
      </c>
      <c r="C598" s="21">
        <v>61521043</v>
      </c>
      <c r="D598" s="16" t="str">
        <f>IFERROR(VLOOKUP(Tabela5[[#This Row],[PREFIXO ]],Tabela4[#All],2,0),"CENTRO DE CUSTO")</f>
        <v>ONIB RODOVIÁRIO MASCARELLO GRAN MIDI</v>
      </c>
      <c r="E598" s="18" t="s">
        <v>80</v>
      </c>
      <c r="F598" s="21">
        <v>7998</v>
      </c>
      <c r="G598" s="22">
        <v>8849</v>
      </c>
      <c r="H598" s="22"/>
      <c r="I598" s="22">
        <f t="shared" si="10"/>
        <v>8849</v>
      </c>
      <c r="J598" s="18" t="s">
        <v>1199</v>
      </c>
      <c r="K598" s="18">
        <v>9765839</v>
      </c>
      <c r="L598" s="18">
        <v>863317</v>
      </c>
      <c r="M598" s="18" t="s">
        <v>2075</v>
      </c>
      <c r="N598" s="16" t="s">
        <v>1814</v>
      </c>
      <c r="O598" s="18" t="s">
        <v>1752</v>
      </c>
      <c r="P598" s="18" t="s">
        <v>1556</v>
      </c>
      <c r="Q598" s="29" t="str" cm="1">
        <f t="array" ref="Q598">_xlfn.IFS(
A598="","",
AND(A598&lt;&gt;"",B598=""),"FALTA LANÇAMENTO",
AND(B598&lt;&gt;"",M598=""),"FALTA O PEDIDO",
AND(M598&lt;&gt;"",O598=""),"FALTA NF",
O598&lt;&gt;"","CONCLUÍDO")</f>
        <v>CONCLUÍDO</v>
      </c>
      <c r="R598" s="36"/>
    </row>
    <row r="599" spans="1:18" hidden="1">
      <c r="A599" s="16">
        <v>46066</v>
      </c>
      <c r="B599" s="16">
        <v>46073</v>
      </c>
      <c r="C599" s="21">
        <v>31521038</v>
      </c>
      <c r="D599" s="16" t="str">
        <f>IFERROR(VLOOKUP(Tabela5[[#This Row],[PREFIXO ]],Tabela4[#All],2,0),"CENTRO DE CUSTO")</f>
        <v>ADUB AUTOPROP KUHN ACCURA ST 7000</v>
      </c>
      <c r="E599" s="18" t="s">
        <v>68</v>
      </c>
      <c r="F599" s="21">
        <v>437</v>
      </c>
      <c r="G599" s="22">
        <v>2430</v>
      </c>
      <c r="H599" s="22"/>
      <c r="I599" s="22">
        <f t="shared" si="10"/>
        <v>2430</v>
      </c>
      <c r="J599" s="18" t="s">
        <v>1265</v>
      </c>
      <c r="K599" s="18">
        <v>9781627</v>
      </c>
      <c r="L599" s="18">
        <v>868692</v>
      </c>
      <c r="M599" s="18" t="s">
        <v>2076</v>
      </c>
      <c r="N599" s="16" t="s">
        <v>1821</v>
      </c>
      <c r="O599" s="18" t="s">
        <v>2077</v>
      </c>
      <c r="P599" s="18" t="s">
        <v>1495</v>
      </c>
      <c r="Q599" s="29" t="str" cm="1">
        <f t="array" ref="Q599">_xlfn.IFS(
A599="","",
AND(A599&lt;&gt;"",B599=""),"FALTA LANÇAMENTO",
AND(B599&lt;&gt;"",M599=""),"FALTA O PEDIDO",
AND(M599&lt;&gt;"",O599=""),"FALTA NF",
O599&lt;&gt;"","CONCLUÍDO")</f>
        <v>CONCLUÍDO</v>
      </c>
      <c r="R599" s="36"/>
    </row>
    <row r="600" spans="1:18" hidden="1">
      <c r="A600" s="16">
        <v>46066</v>
      </c>
      <c r="B600" s="16">
        <v>46073</v>
      </c>
      <c r="C600" s="21">
        <v>500580100</v>
      </c>
      <c r="D600" s="16" t="str">
        <f>IFERROR(VLOOKUP(Tabela5[[#This Row],[PREFIXO ]],Tabela4[#All],2,0),"CENTRO DE CUSTO")</f>
        <v>Autopropelidos</v>
      </c>
      <c r="E600" s="18" t="s">
        <v>68</v>
      </c>
      <c r="F600" s="21">
        <v>436</v>
      </c>
      <c r="G600" s="22">
        <v>2400</v>
      </c>
      <c r="H600" s="22"/>
      <c r="I600" s="22">
        <f t="shared" si="10"/>
        <v>2400</v>
      </c>
      <c r="J600" s="18" t="s">
        <v>1265</v>
      </c>
      <c r="K600" s="18">
        <v>5019605</v>
      </c>
      <c r="L600" s="18">
        <v>868692</v>
      </c>
      <c r="M600" s="18" t="s">
        <v>2076</v>
      </c>
      <c r="N600" s="16" t="s">
        <v>1821</v>
      </c>
      <c r="O600" s="18" t="s">
        <v>2077</v>
      </c>
      <c r="P600" s="18" t="s">
        <v>1495</v>
      </c>
      <c r="Q600" s="29" t="str" cm="1">
        <f t="array" ref="Q600">_xlfn.IFS(
A600="","",
AND(A600&lt;&gt;"",B600=""),"FALTA LANÇAMENTO",
AND(B600&lt;&gt;"",M600=""),"FALTA O PEDIDO",
AND(M600&lt;&gt;"",O600=""),"FALTA NF",
O600&lt;&gt;"","CONCLUÍDO")</f>
        <v>CONCLUÍDO</v>
      </c>
      <c r="R600" s="36"/>
    </row>
    <row r="601" spans="1:18" hidden="1">
      <c r="A601" s="16">
        <v>46066</v>
      </c>
      <c r="B601" s="16">
        <v>46073</v>
      </c>
      <c r="C601" s="21">
        <v>500580349</v>
      </c>
      <c r="D601" s="16" t="str">
        <f>IFERROR(VLOOKUP(Tabela5[[#This Row],[PREFIXO ]],Tabela4[#All],2,0),"CENTRO DE CUSTO")</f>
        <v>ADUBADORES AUTOPROPE</v>
      </c>
      <c r="E601" s="18" t="s">
        <v>68</v>
      </c>
      <c r="F601" s="21">
        <v>435</v>
      </c>
      <c r="G601" s="22">
        <v>2400</v>
      </c>
      <c r="H601" s="22"/>
      <c r="I601" s="22">
        <f t="shared" si="10"/>
        <v>2400</v>
      </c>
      <c r="J601" s="18" t="s">
        <v>1265</v>
      </c>
      <c r="K601" s="18">
        <v>5019606</v>
      </c>
      <c r="L601" s="18">
        <v>868692</v>
      </c>
      <c r="M601" s="18" t="s">
        <v>2076</v>
      </c>
      <c r="N601" s="16" t="s">
        <v>1821</v>
      </c>
      <c r="O601" s="18" t="s">
        <v>2077</v>
      </c>
      <c r="P601" s="18" t="s">
        <v>1495</v>
      </c>
      <c r="Q601" s="29" t="str" cm="1">
        <f t="array" ref="Q601">_xlfn.IFS(
A601="","",
AND(A601&lt;&gt;"",B601=""),"FALTA LANÇAMENTO",
AND(B601&lt;&gt;"",M601=""),"FALTA O PEDIDO",
AND(M601&lt;&gt;"",O601=""),"FALTA NF",
O601&lt;&gt;"","CONCLUÍDO")</f>
        <v>CONCLUÍDO</v>
      </c>
      <c r="R601" s="36"/>
    </row>
    <row r="602" spans="1:18" hidden="1">
      <c r="A602" s="16">
        <v>46066</v>
      </c>
      <c r="B602" s="16">
        <v>46073</v>
      </c>
      <c r="C602" s="21">
        <v>500580349</v>
      </c>
      <c r="D602" s="16" t="str">
        <f>IFERROR(VLOOKUP(Tabela5[[#This Row],[PREFIXO ]],Tabela4[#All],2,0),"CENTRO DE CUSTO")</f>
        <v>ADUBADORES AUTOPROPE</v>
      </c>
      <c r="E602" s="18" t="s">
        <v>68</v>
      </c>
      <c r="F602" s="21">
        <v>434</v>
      </c>
      <c r="G602" s="22">
        <v>1600</v>
      </c>
      <c r="H602" s="22"/>
      <c r="I602" s="22">
        <f t="shared" si="10"/>
        <v>1600</v>
      </c>
      <c r="J602" s="18" t="s">
        <v>1265</v>
      </c>
      <c r="K602" s="18">
        <v>5019606</v>
      </c>
      <c r="L602" s="18">
        <v>868692</v>
      </c>
      <c r="M602" s="18" t="s">
        <v>2076</v>
      </c>
      <c r="N602" s="16" t="s">
        <v>1821</v>
      </c>
      <c r="O602" s="18" t="s">
        <v>2077</v>
      </c>
      <c r="P602" s="18" t="s">
        <v>1495</v>
      </c>
      <c r="Q602" s="29" t="str" cm="1">
        <f t="array" ref="Q602">_xlfn.IFS(
A602="","",
AND(A602&lt;&gt;"",B602=""),"FALTA LANÇAMENTO",
AND(B602&lt;&gt;"",M602=""),"FALTA O PEDIDO",
AND(M602&lt;&gt;"",O602=""),"FALTA NF",
O602&lt;&gt;"","CONCLUÍDO")</f>
        <v>CONCLUÍDO</v>
      </c>
      <c r="R602" s="36"/>
    </row>
    <row r="603" spans="1:18" hidden="1">
      <c r="A603" s="16">
        <v>46066</v>
      </c>
      <c r="B603" s="16">
        <v>46072</v>
      </c>
      <c r="C603" s="21">
        <v>61521038</v>
      </c>
      <c r="D603" s="16" t="str">
        <f>IFERROR(VLOOKUP(Tabela5[[#This Row],[PREFIXO ]],Tabela4[#All],2,0),"CENTRO DE CUSTO")</f>
        <v>CAM ROLL ON/OFF MERC BENZ ATEGO 2730</v>
      </c>
      <c r="E603" s="18" t="s">
        <v>247</v>
      </c>
      <c r="F603" s="21">
        <v>134124</v>
      </c>
      <c r="G603" s="22">
        <v>1097.4000000000001</v>
      </c>
      <c r="H603" s="22"/>
      <c r="I603" s="22">
        <f t="shared" si="10"/>
        <v>1097.4000000000001</v>
      </c>
      <c r="J603" s="18" t="s">
        <v>1085</v>
      </c>
      <c r="K603" s="18">
        <v>9780218</v>
      </c>
      <c r="L603" s="18">
        <v>868390</v>
      </c>
      <c r="M603" s="18" t="s">
        <v>2078</v>
      </c>
      <c r="N603" s="16" t="s">
        <v>1779</v>
      </c>
      <c r="O603" s="18" t="s">
        <v>2079</v>
      </c>
      <c r="P603" s="18" t="s">
        <v>1495</v>
      </c>
      <c r="Q603" s="29" t="str" cm="1">
        <f t="array" ref="Q603">_xlfn.IFS(
A603="","",
AND(A603&lt;&gt;"",B603=""),"FALTA LANÇAMENTO",
AND(B603&lt;&gt;"",M603=""),"FALTA O PEDIDO",
AND(M603&lt;&gt;"",O603=""),"FALTA NF",
O603&lt;&gt;"","CONCLUÍDO")</f>
        <v>CONCLUÍDO</v>
      </c>
      <c r="R603" s="36"/>
    </row>
    <row r="604" spans="1:18" hidden="1">
      <c r="A604" s="16">
        <v>46066</v>
      </c>
      <c r="B604" s="16">
        <v>46072</v>
      </c>
      <c r="C604" s="21">
        <v>51521099</v>
      </c>
      <c r="D604" s="16" t="str">
        <f>IFERROR(VLOOKUP(Tabela5[[#This Row],[PREFIXO ]],Tabela4[#All],2,0),"CENTRO DE CUSTO")</f>
        <v>COLHEIT DE GRÃOS N.HOLLAND CR 8.90</v>
      </c>
      <c r="E604" s="18" t="s">
        <v>247</v>
      </c>
      <c r="F604" s="21">
        <v>133984</v>
      </c>
      <c r="G604" s="22">
        <v>380</v>
      </c>
      <c r="H604" s="22"/>
      <c r="I604" s="22">
        <f t="shared" si="10"/>
        <v>380</v>
      </c>
      <c r="J604" s="18" t="s">
        <v>1113</v>
      </c>
      <c r="K604" s="18">
        <v>9780217</v>
      </c>
      <c r="L604" s="18">
        <v>868336</v>
      </c>
      <c r="M604" s="18" t="s">
        <v>2080</v>
      </c>
      <c r="N604" s="16" t="s">
        <v>1779</v>
      </c>
      <c r="O604" s="18" t="s">
        <v>2081</v>
      </c>
      <c r="P604" s="18" t="s">
        <v>1821</v>
      </c>
      <c r="Q604" s="29" t="str" cm="1">
        <f t="array" ref="Q604">_xlfn.IFS(
A604="","",
AND(A604&lt;&gt;"",B604=""),"FALTA LANÇAMENTO",
AND(B604&lt;&gt;"",M604=""),"FALTA O PEDIDO",
AND(M604&lt;&gt;"",O604=""),"FALTA NF",
O604&lt;&gt;"","CONCLUÍDO")</f>
        <v>CONCLUÍDO</v>
      </c>
      <c r="R604" s="36"/>
    </row>
    <row r="605" spans="1:18" hidden="1">
      <c r="A605" s="16">
        <v>46066</v>
      </c>
      <c r="B605" s="16">
        <v>46076</v>
      </c>
      <c r="C605" s="21">
        <v>15048015</v>
      </c>
      <c r="D605" s="16" t="str">
        <f>IFERROR(VLOOKUP(Tabela5[[#This Row],[PREFIXO ]],Tabela4[#All],2,0),"CENTRO DE CUSTO")</f>
        <v>TRAT PN EXT PES FENDT VARIO 1050</v>
      </c>
      <c r="E605" s="18" t="s">
        <v>259</v>
      </c>
      <c r="F605" s="21" t="s">
        <v>2082</v>
      </c>
      <c r="G605" s="22">
        <v>463.93</v>
      </c>
      <c r="H605" s="22">
        <v>20658.919999999998</v>
      </c>
      <c r="I605" s="22">
        <f t="shared" si="10"/>
        <v>21122.85</v>
      </c>
      <c r="J605" s="18" t="s">
        <v>1199</v>
      </c>
      <c r="K605" s="18">
        <v>9783945</v>
      </c>
      <c r="L605" s="18">
        <v>871230</v>
      </c>
      <c r="M605" s="18" t="s">
        <v>2083</v>
      </c>
      <c r="N605" s="16" t="s">
        <v>1700</v>
      </c>
      <c r="O605" s="18" t="s">
        <v>2084</v>
      </c>
      <c r="P605" s="18" t="s">
        <v>2085</v>
      </c>
      <c r="Q605" s="29" t="str" cm="1">
        <f t="array" ref="Q605">_xlfn.IFS(
A605="","",
AND(A605&lt;&gt;"",B605=""),"FALTA LANÇAMENTO",
AND(B605&lt;&gt;"",M605=""),"FALTA O PEDIDO",
AND(M605&lt;&gt;"",O605=""),"FALTA NF",
O605&lt;&gt;"","CONCLUÍDO")</f>
        <v>CONCLUÍDO</v>
      </c>
      <c r="R605" s="36"/>
    </row>
    <row r="606" spans="1:18" hidden="1">
      <c r="A606" s="16">
        <v>46066</v>
      </c>
      <c r="B606" s="16">
        <v>46072</v>
      </c>
      <c r="C606" s="21" t="s">
        <v>2086</v>
      </c>
      <c r="D606" s="16" t="str">
        <f>IFERROR(VLOOKUP(Tabela5[[#This Row],[PREFIXO ]],Tabela4[#All],2,0),"CENTRO DE CUSTO")</f>
        <v>CENTRO DE CUSTO</v>
      </c>
      <c r="E606" s="18" t="s">
        <v>312</v>
      </c>
      <c r="F606" s="21">
        <v>402</v>
      </c>
      <c r="G606" s="22">
        <v>27103.4</v>
      </c>
      <c r="H606" s="22"/>
      <c r="I606" s="22">
        <f t="shared" si="10"/>
        <v>27103.4</v>
      </c>
      <c r="J606" s="18" t="s">
        <v>1199</v>
      </c>
      <c r="K606" s="18" t="s">
        <v>2087</v>
      </c>
      <c r="L606" s="18">
        <v>868565</v>
      </c>
      <c r="M606" s="18" t="s">
        <v>2088</v>
      </c>
      <c r="N606" s="16" t="s">
        <v>1495</v>
      </c>
      <c r="O606" s="18" t="s">
        <v>1336</v>
      </c>
      <c r="P606" s="18" t="s">
        <v>1495</v>
      </c>
      <c r="Q606" s="29" t="str" cm="1">
        <f t="array" ref="Q606">_xlfn.IFS(
A606="","",
AND(A606&lt;&gt;"",B606=""),"FALTA LANÇAMENTO",
AND(B606&lt;&gt;"",M606=""),"FALTA O PEDIDO",
AND(M606&lt;&gt;"",O606=""),"FALTA NF",
O606&lt;&gt;"","CONCLUÍDO")</f>
        <v>CONCLUÍDO</v>
      </c>
      <c r="R606" s="36"/>
    </row>
    <row r="607" spans="1:18" hidden="1">
      <c r="A607" s="16">
        <v>46066</v>
      </c>
      <c r="B607" s="16">
        <v>46072</v>
      </c>
      <c r="C607" s="21" t="s">
        <v>2089</v>
      </c>
      <c r="D607" s="16" t="str">
        <f>IFERROR(VLOOKUP(Tabela5[[#This Row],[PREFIXO ]],Tabela4[#All],2,0),"CENTRO DE CUSTO")</f>
        <v>CENTRO DE CUSTO</v>
      </c>
      <c r="E607" s="18" t="s">
        <v>312</v>
      </c>
      <c r="F607" s="21">
        <v>404</v>
      </c>
      <c r="G607" s="22">
        <v>24950</v>
      </c>
      <c r="H607" s="22"/>
      <c r="I607" s="22">
        <f t="shared" si="10"/>
        <v>24950</v>
      </c>
      <c r="J607" s="18" t="s">
        <v>1199</v>
      </c>
      <c r="K607" s="18" t="s">
        <v>2090</v>
      </c>
      <c r="L607" s="18">
        <v>868565</v>
      </c>
      <c r="M607" s="18" t="s">
        <v>2088</v>
      </c>
      <c r="N607" s="16" t="s">
        <v>1495</v>
      </c>
      <c r="O607" s="18" t="s">
        <v>1336</v>
      </c>
      <c r="P607" s="18" t="s">
        <v>1495</v>
      </c>
      <c r="Q607" s="29" t="str" cm="1">
        <f t="array" ref="Q607">_xlfn.IFS(
A607="","",
AND(A607&lt;&gt;"",B607=""),"FALTA LANÇAMENTO",
AND(B607&lt;&gt;"",M607=""),"FALTA O PEDIDO",
AND(M607&lt;&gt;"",O607=""),"FALTA NF",
O607&lt;&gt;"","CONCLUÍDO")</f>
        <v>CONCLUÍDO</v>
      </c>
      <c r="R607" s="36"/>
    </row>
    <row r="608" spans="1:18" hidden="1">
      <c r="A608" s="16">
        <v>46066</v>
      </c>
      <c r="B608" s="16">
        <v>46072</v>
      </c>
      <c r="C608" s="21" t="s">
        <v>2091</v>
      </c>
      <c r="D608" s="16" t="str">
        <f>IFERROR(VLOOKUP(Tabela5[[#This Row],[PREFIXO ]],Tabela4[#All],2,0),"CENTRO DE CUSTO")</f>
        <v>CENTRO DE CUSTO</v>
      </c>
      <c r="E608" s="18" t="s">
        <v>312</v>
      </c>
      <c r="F608" s="21">
        <v>403</v>
      </c>
      <c r="G608" s="22">
        <v>22866.6</v>
      </c>
      <c r="H608" s="22"/>
      <c r="I608" s="22">
        <f t="shared" si="10"/>
        <v>22866.6</v>
      </c>
      <c r="J608" s="18" t="s">
        <v>1199</v>
      </c>
      <c r="K608" s="18" t="s">
        <v>2092</v>
      </c>
      <c r="L608" s="18">
        <v>868565</v>
      </c>
      <c r="M608" s="18" t="s">
        <v>2088</v>
      </c>
      <c r="N608" s="16" t="s">
        <v>1495</v>
      </c>
      <c r="O608" s="18" t="s">
        <v>1336</v>
      </c>
      <c r="P608" s="18" t="s">
        <v>1495</v>
      </c>
      <c r="Q608" s="29" t="str" cm="1">
        <f t="array" ref="Q608">_xlfn.IFS(
A608="","",
AND(A608&lt;&gt;"",B608=""),"FALTA LANÇAMENTO",
AND(B608&lt;&gt;"",M608=""),"FALTA O PEDIDO",
AND(M608&lt;&gt;"",O608=""),"FALTA NF",
O608&lt;&gt;"","CONCLUÍDO")</f>
        <v>CONCLUÍDO</v>
      </c>
      <c r="R608" s="36"/>
    </row>
    <row r="609" spans="1:18" hidden="1">
      <c r="A609" s="16">
        <v>46066</v>
      </c>
      <c r="B609" s="16">
        <v>46072</v>
      </c>
      <c r="C609" s="21">
        <v>500580263</v>
      </c>
      <c r="D609" s="16" t="str">
        <f>IFERROR(VLOOKUP(Tabela5[[#This Row],[PREFIXO ]],Tabela4[#All],2,0),"CENTRO DE CUSTO")</f>
        <v>Colheit. Grãos-Axial</v>
      </c>
      <c r="E609" s="18" t="s">
        <v>346</v>
      </c>
      <c r="F609" s="21" t="s">
        <v>1300</v>
      </c>
      <c r="G609" s="22">
        <v>6889</v>
      </c>
      <c r="H609" s="22"/>
      <c r="I609" s="22">
        <f t="shared" si="10"/>
        <v>6889</v>
      </c>
      <c r="J609" s="18" t="s">
        <v>1113</v>
      </c>
      <c r="K609" s="18">
        <v>5019517</v>
      </c>
      <c r="L609" s="18">
        <v>868517</v>
      </c>
      <c r="M609" s="18" t="s">
        <v>2093</v>
      </c>
      <c r="N609" s="16" t="s">
        <v>1821</v>
      </c>
      <c r="O609" s="18" t="s">
        <v>1258</v>
      </c>
      <c r="P609" s="18" t="s">
        <v>2094</v>
      </c>
      <c r="Q609" s="29" t="str" cm="1">
        <f t="array" ref="Q609">_xlfn.IFS(
A609="","",
AND(A609&lt;&gt;"",B609=""),"FALTA LANÇAMENTO",
AND(B609&lt;&gt;"",M609=""),"FALTA O PEDIDO",
AND(M609&lt;&gt;"",O609=""),"FALTA NF",
O609&lt;&gt;"","CONCLUÍDO")</f>
        <v>CONCLUÍDO</v>
      </c>
      <c r="R609" s="36"/>
    </row>
    <row r="610" spans="1:18" hidden="1">
      <c r="A610" s="16">
        <v>46070</v>
      </c>
      <c r="B610" s="16">
        <v>46076</v>
      </c>
      <c r="C610" s="21">
        <v>13100006</v>
      </c>
      <c r="D610" s="16" t="str">
        <f>IFERROR(VLOOKUP(Tabela5[[#This Row],[PREFIXO ]],Tabela4[#All],2,0),"CENTRO DE CUSTO")</f>
        <v>TRAT PN PES JOHN DEERE 8400R</v>
      </c>
      <c r="E610" s="18" t="s">
        <v>17</v>
      </c>
      <c r="F610" s="21">
        <v>43498</v>
      </c>
      <c r="G610" s="22">
        <v>3164.98</v>
      </c>
      <c r="H610" s="22">
        <v>403.47</v>
      </c>
      <c r="I610" s="22">
        <f t="shared" si="10"/>
        <v>3568.45</v>
      </c>
      <c r="J610" s="18" t="s">
        <v>1199</v>
      </c>
      <c r="K610" s="18">
        <v>9783664</v>
      </c>
      <c r="L610" s="18">
        <v>868682</v>
      </c>
      <c r="M610" s="18" t="s">
        <v>2095</v>
      </c>
      <c r="N610" s="16" t="s">
        <v>1885</v>
      </c>
      <c r="O610" s="18" t="s">
        <v>2096</v>
      </c>
      <c r="P610" s="18" t="s">
        <v>2097</v>
      </c>
      <c r="Q610" s="29" t="str" cm="1">
        <f t="array" ref="Q610">_xlfn.IFS(
A610="","",
AND(A610&lt;&gt;"",B610=""),"FALTA LANÇAMENTO",
AND(B610&lt;&gt;"",M610=""),"FALTA O PEDIDO",
AND(M610&lt;&gt;"",O610=""),"FALTA NF",
O610&lt;&gt;"","CONCLUÍDO")</f>
        <v>CONCLUÍDO</v>
      </c>
      <c r="R610" s="36"/>
    </row>
    <row r="611" spans="1:18" hidden="1">
      <c r="A611" s="16">
        <v>46070</v>
      </c>
      <c r="B611" s="16">
        <v>46076</v>
      </c>
      <c r="C611" s="21">
        <v>6173012</v>
      </c>
      <c r="D611" s="16" t="str">
        <f>IFERROR(VLOOKUP(Tabela5[[#This Row],[PREFIXO ]],Tabela4[#All],2,0),"CENTRO DE CUSTO")</f>
        <v>CAM TRANSP LIXO MERC BENZ MB 1620</v>
      </c>
      <c r="E611" s="18" t="s">
        <v>29</v>
      </c>
      <c r="F611" s="21">
        <v>54918</v>
      </c>
      <c r="G611" s="22">
        <v>270</v>
      </c>
      <c r="H611" s="22">
        <v>6416.33</v>
      </c>
      <c r="I611" s="22">
        <f t="shared" si="10"/>
        <v>6686.33</v>
      </c>
      <c r="J611" s="18" t="s">
        <v>1085</v>
      </c>
      <c r="K611" s="18">
        <v>9765543</v>
      </c>
      <c r="L611" s="18">
        <v>868656</v>
      </c>
      <c r="M611" s="18" t="s">
        <v>2098</v>
      </c>
      <c r="N611" s="16" t="s">
        <v>1495</v>
      </c>
      <c r="O611" s="18" t="s">
        <v>2099</v>
      </c>
      <c r="P611" s="18" t="s">
        <v>1935</v>
      </c>
      <c r="Q611" s="29" t="str" cm="1">
        <f t="array" ref="Q611">_xlfn.IFS(
A611="","",
AND(A611&lt;&gt;"",B611=""),"FALTA LANÇAMENTO",
AND(B611&lt;&gt;"",M611=""),"FALTA O PEDIDO",
AND(M611&lt;&gt;"",O611=""),"FALTA NF",
O611&lt;&gt;"","CONCLUÍDO")</f>
        <v>CONCLUÍDO</v>
      </c>
      <c r="R611" s="36"/>
    </row>
    <row r="612" spans="1:18" hidden="1">
      <c r="A612" s="16">
        <v>46070</v>
      </c>
      <c r="B612" s="16">
        <v>46077</v>
      </c>
      <c r="C612" s="21">
        <v>11040119</v>
      </c>
      <c r="D612" s="16" t="str">
        <f>IFERROR(VLOOKUP(Tabela5[[#This Row],[PREFIXO ]],Tabela4[#All],2,0),"CENTRO DE CUSTO")</f>
        <v>CENTRO DE CUSTO</v>
      </c>
      <c r="E612" s="18" t="s">
        <v>29</v>
      </c>
      <c r="F612" s="21">
        <v>54910</v>
      </c>
      <c r="G612" s="22">
        <v>975</v>
      </c>
      <c r="H612" s="22">
        <v>3355.8</v>
      </c>
      <c r="I612" s="22">
        <f t="shared" si="10"/>
        <v>4330.8</v>
      </c>
      <c r="J612" s="18" t="s">
        <v>1085</v>
      </c>
      <c r="K612" s="18">
        <v>9765601</v>
      </c>
      <c r="L612" s="18">
        <v>868667</v>
      </c>
      <c r="M612" s="18" t="s">
        <v>2100</v>
      </c>
      <c r="N612" s="16" t="s">
        <v>1495</v>
      </c>
      <c r="O612" s="18" t="s">
        <v>2101</v>
      </c>
      <c r="P612" s="18" t="s">
        <v>1935</v>
      </c>
      <c r="Q612" s="29" t="str" cm="1">
        <f t="array" ref="Q612">_xlfn.IFS(
A612="","",
AND(A612&lt;&gt;"",B612=""),"FALTA LANÇAMENTO",
AND(B612&lt;&gt;"",M612=""),"FALTA O PEDIDO",
AND(M612&lt;&gt;"",O612=""),"FALTA NF",
O612&lt;&gt;"","CONCLUÍDO")</f>
        <v>CONCLUÍDO</v>
      </c>
      <c r="R612" s="36"/>
    </row>
    <row r="613" spans="1:18" hidden="1">
      <c r="A613" s="16">
        <v>46070</v>
      </c>
      <c r="B613" s="16">
        <v>46076</v>
      </c>
      <c r="C613" s="21">
        <v>61521076</v>
      </c>
      <c r="D613" s="16" t="str">
        <f>IFERROR(VLOOKUP(Tabela5[[#This Row],[PREFIXO ]],Tabela4[#All],2,0),"CENTRO DE CUSTO")</f>
        <v>CAM CARGA SECA MERC BENZ ACCELO 815</v>
      </c>
      <c r="E613" s="18" t="s">
        <v>29</v>
      </c>
      <c r="F613" s="21">
        <v>54976</v>
      </c>
      <c r="G613" s="22">
        <v>260</v>
      </c>
      <c r="H613" s="22">
        <v>225.6</v>
      </c>
      <c r="I613" s="22">
        <f t="shared" si="10"/>
        <v>485.6</v>
      </c>
      <c r="J613" s="18" t="s">
        <v>1085</v>
      </c>
      <c r="K613" s="18">
        <v>9765551</v>
      </c>
      <c r="L613" s="18">
        <v>868661</v>
      </c>
      <c r="M613" s="18" t="s">
        <v>2102</v>
      </c>
      <c r="N613" s="16" t="s">
        <v>1495</v>
      </c>
      <c r="O613" s="18" t="s">
        <v>2103</v>
      </c>
      <c r="P613" s="18" t="s">
        <v>1935</v>
      </c>
      <c r="Q613" s="29" t="str" cm="1">
        <f t="array" ref="Q613">_xlfn.IFS(
A613="","",
AND(A613&lt;&gt;"",B613=""),"FALTA LANÇAMENTO",
AND(B613&lt;&gt;"",M613=""),"FALTA O PEDIDO",
AND(M613&lt;&gt;"",O613=""),"FALTA NF",
O613&lt;&gt;"","CONCLUÍDO")</f>
        <v>CONCLUÍDO</v>
      </c>
      <c r="R613" s="36"/>
    </row>
    <row r="614" spans="1:18" hidden="1">
      <c r="A614" s="16">
        <v>46070</v>
      </c>
      <c r="B614" s="16">
        <v>46078</v>
      </c>
      <c r="C614" s="21">
        <v>31521024</v>
      </c>
      <c r="D614" s="16" t="str">
        <f>IFERROR(VLOOKUP(Tabela5[[#This Row],[PREFIXO ]],Tabela4[#All],2,0),"CENTRO DE CUSTO")</f>
        <v>PULV AUTOPROP JACTO UNIPORT 3030</v>
      </c>
      <c r="E614" s="18" t="s">
        <v>34</v>
      </c>
      <c r="F614" s="21">
        <v>70381</v>
      </c>
      <c r="G614" s="22"/>
      <c r="H614" s="22">
        <v>1050</v>
      </c>
      <c r="I614" s="22">
        <f t="shared" si="10"/>
        <v>1050</v>
      </c>
      <c r="J614" s="18" t="s">
        <v>1265</v>
      </c>
      <c r="K614" s="18">
        <v>9785482</v>
      </c>
      <c r="L614" s="18">
        <v>871872</v>
      </c>
      <c r="M614" s="18" t="s">
        <v>2104</v>
      </c>
      <c r="N614" s="16" t="s">
        <v>1875</v>
      </c>
      <c r="O614" s="18" t="s">
        <v>2105</v>
      </c>
      <c r="P614" s="18" t="s">
        <v>1700</v>
      </c>
      <c r="Q614" s="29" t="str" cm="1">
        <f t="array" ref="Q614">_xlfn.IFS(
A614="","",
AND(A614&lt;&gt;"",B614=""),"FALTA LANÇAMENTO",
AND(B614&lt;&gt;"",M614=""),"FALTA O PEDIDO",
AND(M614&lt;&gt;"",O614=""),"FALTA NF",
O614&lt;&gt;"","CONCLUÍDO")</f>
        <v>CONCLUÍDO</v>
      </c>
      <c r="R614" s="36"/>
    </row>
    <row r="615" spans="1:18" hidden="1">
      <c r="A615" s="16">
        <v>46070</v>
      </c>
      <c r="B615" s="16">
        <v>46078</v>
      </c>
      <c r="C615" s="21">
        <v>31521024</v>
      </c>
      <c r="D615" s="16" t="str">
        <f>IFERROR(VLOOKUP(Tabela5[[#This Row],[PREFIXO ]],Tabela4[#All],2,0),"CENTRO DE CUSTO")</f>
        <v>PULV AUTOPROP JACTO UNIPORT 3030</v>
      </c>
      <c r="E615" s="18" t="s">
        <v>34</v>
      </c>
      <c r="F615" s="21">
        <v>40511</v>
      </c>
      <c r="G615" s="22">
        <v>940</v>
      </c>
      <c r="H615" s="22"/>
      <c r="I615" s="22">
        <f t="shared" si="10"/>
        <v>940</v>
      </c>
      <c r="J615" s="18" t="s">
        <v>1265</v>
      </c>
      <c r="K615" s="18">
        <v>9785482</v>
      </c>
      <c r="L615" s="18">
        <v>871872</v>
      </c>
      <c r="M615" s="18" t="s">
        <v>2106</v>
      </c>
      <c r="N615" s="16" t="s">
        <v>1875</v>
      </c>
      <c r="O615" s="18" t="s">
        <v>2107</v>
      </c>
      <c r="P615" s="18" t="s">
        <v>1700</v>
      </c>
      <c r="Q615" s="29" t="str" cm="1">
        <f t="array" ref="Q615">_xlfn.IFS(
A615="","",
AND(A615&lt;&gt;"",B615=""),"FALTA LANÇAMENTO",
AND(B615&lt;&gt;"",M615=""),"FALTA O PEDIDO",
AND(M615&lt;&gt;"",O615=""),"FALTA NF",
O615&lt;&gt;"","CONCLUÍDO")</f>
        <v>CONCLUÍDO</v>
      </c>
      <c r="R615" s="36"/>
    </row>
    <row r="616" spans="1:18" hidden="1">
      <c r="A616" s="16">
        <v>46070</v>
      </c>
      <c r="B616" s="16">
        <v>46072</v>
      </c>
      <c r="C616" s="21">
        <v>900324</v>
      </c>
      <c r="D616" s="16" t="str">
        <f>IFERROR(VLOOKUP(Tabela5[[#This Row],[PREFIXO ]],Tabela4[#All],2,0),"CENTRO DE CUSTO")</f>
        <v>BOOM ARTICULADO AUTOPROPELIDO Z-45/25</v>
      </c>
      <c r="E616" s="18" t="s">
        <v>337</v>
      </c>
      <c r="F616" s="21" t="s">
        <v>1134</v>
      </c>
      <c r="G616" s="22">
        <v>4800</v>
      </c>
      <c r="H616" s="22"/>
      <c r="I616" s="22">
        <f t="shared" si="10"/>
        <v>4800</v>
      </c>
      <c r="J616" s="18" t="s">
        <v>1085</v>
      </c>
      <c r="K616" s="18">
        <v>9780002</v>
      </c>
      <c r="L616" s="18">
        <v>868235</v>
      </c>
      <c r="M616" s="18" t="s">
        <v>2108</v>
      </c>
      <c r="N616" s="16" t="s">
        <v>1821</v>
      </c>
      <c r="O616" s="18" t="s">
        <v>1303</v>
      </c>
      <c r="P616" s="18" t="s">
        <v>1489</v>
      </c>
      <c r="Q616" s="29" t="str" cm="1">
        <f t="array" ref="Q616">_xlfn.IFS(
A616="","",
AND(A616&lt;&gt;"",B616=""),"FALTA LANÇAMENTO",
AND(B616&lt;&gt;"",M616=""),"FALTA O PEDIDO",
AND(M616&lt;&gt;"",O616=""),"FALTA NF",
O616&lt;&gt;"","CONCLUÍDO")</f>
        <v>CONCLUÍDO</v>
      </c>
      <c r="R616" s="36"/>
    </row>
    <row r="617" spans="1:18" hidden="1">
      <c r="A617" s="16">
        <v>46070</v>
      </c>
      <c r="B617" s="16">
        <v>46072</v>
      </c>
      <c r="C617" s="21">
        <v>16170043</v>
      </c>
      <c r="D617" s="16" t="str">
        <f>IFERROR(VLOOKUP(Tabela5[[#This Row],[PREFIXO ]],Tabela4[#All],2,0),"CENTRO DE CUSTO")</f>
        <v>CENTRO DE CUSTO</v>
      </c>
      <c r="E617" s="18" t="s">
        <v>62</v>
      </c>
      <c r="F617" s="21">
        <v>1126</v>
      </c>
      <c r="G617" s="22">
        <v>10500</v>
      </c>
      <c r="H617" s="22"/>
      <c r="I617" s="22">
        <f t="shared" si="10"/>
        <v>10500</v>
      </c>
      <c r="J617" s="18" t="s">
        <v>1199</v>
      </c>
      <c r="K617" s="18">
        <v>9779929</v>
      </c>
      <c r="L617" s="18">
        <v>868197</v>
      </c>
      <c r="M617" s="18" t="s">
        <v>2109</v>
      </c>
      <c r="N617" s="16" t="s">
        <v>1821</v>
      </c>
      <c r="O617" s="18" t="s">
        <v>2110</v>
      </c>
      <c r="P617" s="18" t="s">
        <v>1495</v>
      </c>
      <c r="Q617" s="29" t="str" cm="1">
        <f t="array" ref="Q617">_xlfn.IFS(
A617="","",
AND(A617&lt;&gt;"",B617=""),"FALTA LANÇAMENTO",
AND(B617&lt;&gt;"",M617=""),"FALTA O PEDIDO",
AND(M617&lt;&gt;"",O617=""),"FALTA NF",
O617&lt;&gt;"","CONCLUÍDO")</f>
        <v>CONCLUÍDO</v>
      </c>
      <c r="R617" s="36"/>
    </row>
    <row r="618" spans="1:18" hidden="1">
      <c r="A618" s="16">
        <v>46070</v>
      </c>
      <c r="B618" s="16">
        <v>46072</v>
      </c>
      <c r="C618" s="21">
        <v>16170044</v>
      </c>
      <c r="D618" s="16" t="str">
        <f>IFERROR(VLOOKUP(Tabela5[[#This Row],[PREFIXO ]],Tabela4[#All],2,0),"CENTRO DE CUSTO")</f>
        <v>CENTRO DE CUSTO</v>
      </c>
      <c r="E618" s="18" t="s">
        <v>62</v>
      </c>
      <c r="F618" s="21">
        <v>1121</v>
      </c>
      <c r="G618" s="22">
        <v>10500</v>
      </c>
      <c r="H618" s="22"/>
      <c r="I618" s="22">
        <f t="shared" si="10"/>
        <v>10500</v>
      </c>
      <c r="J618" s="18" t="s">
        <v>1199</v>
      </c>
      <c r="K618" s="18">
        <v>9780155</v>
      </c>
      <c r="L618" s="18">
        <v>868261</v>
      </c>
      <c r="M618" s="18" t="s">
        <v>2111</v>
      </c>
      <c r="N618" s="16" t="s">
        <v>1821</v>
      </c>
      <c r="O618" s="18" t="s">
        <v>2112</v>
      </c>
      <c r="P618" s="18" t="s">
        <v>1495</v>
      </c>
      <c r="Q618" s="29" t="str" cm="1">
        <f t="array" ref="Q618">_xlfn.IFS(
A618="","",
AND(A618&lt;&gt;"",B618=""),"FALTA LANÇAMENTO",
AND(B618&lt;&gt;"",M618=""),"FALTA O PEDIDO",
AND(M618&lt;&gt;"",O618=""),"FALTA NF",
O618&lt;&gt;"","CONCLUÍDO")</f>
        <v>CONCLUÍDO</v>
      </c>
      <c r="R618" s="36"/>
    </row>
    <row r="619" spans="1:18" hidden="1">
      <c r="A619" s="16">
        <v>46070</v>
      </c>
      <c r="B619" s="16">
        <v>46077</v>
      </c>
      <c r="C619" s="21">
        <v>31521038</v>
      </c>
      <c r="D619" s="16" t="str">
        <f>IFERROR(VLOOKUP(Tabela5[[#This Row],[PREFIXO ]],Tabela4[#All],2,0),"CENTRO DE CUSTO")</f>
        <v>ADUB AUTOPROP KUHN ACCURA ST 7000</v>
      </c>
      <c r="E619" s="18" t="s">
        <v>96</v>
      </c>
      <c r="F619" s="21">
        <v>4072</v>
      </c>
      <c r="G619" s="22">
        <v>250</v>
      </c>
      <c r="H619" s="22"/>
      <c r="I619" s="22">
        <f t="shared" si="10"/>
        <v>250</v>
      </c>
      <c r="J619" s="18" t="s">
        <v>1265</v>
      </c>
      <c r="K619" s="18">
        <v>9783034</v>
      </c>
      <c r="L619" s="18">
        <v>868684</v>
      </c>
      <c r="M619" s="18" t="s">
        <v>2113</v>
      </c>
      <c r="N619" s="16" t="s">
        <v>1495</v>
      </c>
      <c r="O619" s="18" t="s">
        <v>2114</v>
      </c>
      <c r="P619" s="18" t="s">
        <v>1489</v>
      </c>
      <c r="Q619" s="29" t="str" cm="1">
        <f t="array" ref="Q619">_xlfn.IFS(
A619="","",
AND(A619&lt;&gt;"",B619=""),"FALTA LANÇAMENTO",
AND(B619&lt;&gt;"",M619=""),"FALTA O PEDIDO",
AND(M619&lt;&gt;"",O619=""),"FALTA NF",
O619&lt;&gt;"","CONCLUÍDO")</f>
        <v>CONCLUÍDO</v>
      </c>
      <c r="R619" s="36"/>
    </row>
    <row r="620" spans="1:18" hidden="1">
      <c r="A620" s="16">
        <v>46070</v>
      </c>
      <c r="B620" s="16">
        <v>46077</v>
      </c>
      <c r="C620" s="21">
        <v>31521038</v>
      </c>
      <c r="D620" s="16" t="str">
        <f>IFERROR(VLOOKUP(Tabela5[[#This Row],[PREFIXO ]],Tabela4[#All],2,0),"CENTRO DE CUSTO")</f>
        <v>ADUB AUTOPROP KUHN ACCURA ST 7000</v>
      </c>
      <c r="E620" s="18" t="s">
        <v>96</v>
      </c>
      <c r="F620" s="21">
        <v>15215</v>
      </c>
      <c r="G620" s="22"/>
      <c r="H620" s="22">
        <v>245</v>
      </c>
      <c r="I620" s="22">
        <f t="shared" si="10"/>
        <v>245</v>
      </c>
      <c r="J620" s="18" t="s">
        <v>1265</v>
      </c>
      <c r="K620" s="18">
        <v>9783034</v>
      </c>
      <c r="L620" s="18">
        <v>868684</v>
      </c>
      <c r="M620" s="18" t="s">
        <v>2115</v>
      </c>
      <c r="N620" s="16" t="s">
        <v>1495</v>
      </c>
      <c r="O620" s="18" t="s">
        <v>2116</v>
      </c>
      <c r="P620" s="18" t="s">
        <v>1700</v>
      </c>
      <c r="Q620" s="29" t="str" cm="1">
        <f t="array" ref="Q620">_xlfn.IFS(
A620="","",
AND(A620&lt;&gt;"",B620=""),"FALTA LANÇAMENTO",
AND(B620&lt;&gt;"",M620=""),"FALTA O PEDIDO",
AND(M620&lt;&gt;"",O620=""),"FALTA NF",
O620&lt;&gt;"","CONCLUÍDO")</f>
        <v>CONCLUÍDO</v>
      </c>
      <c r="R620" s="36"/>
    </row>
    <row r="621" spans="1:18" hidden="1">
      <c r="A621" s="16">
        <v>46070</v>
      </c>
      <c r="B621" s="16">
        <v>46072</v>
      </c>
      <c r="C621" s="21">
        <v>1173012</v>
      </c>
      <c r="D621" s="16" t="str">
        <f>IFERROR(VLOOKUP(Tabela5[[#This Row],[PREFIXO ]],Tabela4[#All],2,0),"CENTRO DE CUSTO")</f>
        <v>TRAT PN MED N.HOLLAND 7630</v>
      </c>
      <c r="E621" s="18" t="s">
        <v>144</v>
      </c>
      <c r="F621" s="21">
        <v>2358</v>
      </c>
      <c r="G621" s="22">
        <v>361</v>
      </c>
      <c r="H621" s="22"/>
      <c r="I621" s="22">
        <f t="shared" si="10"/>
        <v>361</v>
      </c>
      <c r="J621" s="18" t="s">
        <v>1199</v>
      </c>
      <c r="K621" s="18">
        <v>9779933</v>
      </c>
      <c r="L621" s="18">
        <v>868200</v>
      </c>
      <c r="M621" s="18" t="s">
        <v>2117</v>
      </c>
      <c r="N621" s="16" t="s">
        <v>1779</v>
      </c>
      <c r="O621" s="18" t="s">
        <v>1095</v>
      </c>
      <c r="P621" s="18" t="s">
        <v>1095</v>
      </c>
      <c r="Q621" s="29" t="str" cm="1">
        <f t="array" ref="Q621">_xlfn.IFS(
A621="","",
AND(A621&lt;&gt;"",B621=""),"FALTA LANÇAMENTO",
AND(B621&lt;&gt;"",M621=""),"FALTA O PEDIDO",
AND(M621&lt;&gt;"",O621=""),"FALTA NF",
O621&lt;&gt;"","CONCLUÍDO")</f>
        <v>CONCLUÍDO</v>
      </c>
      <c r="R621" s="36"/>
    </row>
    <row r="622" spans="1:18" hidden="1">
      <c r="A622" s="16">
        <v>46070</v>
      </c>
      <c r="B622" s="16">
        <v>46077</v>
      </c>
      <c r="C622" s="21">
        <v>51521054</v>
      </c>
      <c r="D622" s="16" t="str">
        <f>IFERROR(VLOOKUP(Tabela5[[#This Row],[PREFIXO ]],Tabela4[#All],2,0),"CENTRO DE CUSTO")</f>
        <v>COLHED ALGODÃO JOHN DEERE CP 690</v>
      </c>
      <c r="E622" s="18" t="s">
        <v>70</v>
      </c>
      <c r="F622" s="21">
        <v>22796</v>
      </c>
      <c r="G622" s="22">
        <v>25490</v>
      </c>
      <c r="H622" s="22"/>
      <c r="I622" s="22">
        <f t="shared" si="10"/>
        <v>25490</v>
      </c>
      <c r="J622" s="18" t="s">
        <v>1123</v>
      </c>
      <c r="K622" s="18">
        <v>9783944</v>
      </c>
      <c r="L622" s="18">
        <v>869093</v>
      </c>
      <c r="M622" s="18" t="s">
        <v>2118</v>
      </c>
      <c r="N622" s="16" t="s">
        <v>1885</v>
      </c>
      <c r="O622" s="18" t="s">
        <v>2119</v>
      </c>
      <c r="P622" s="18" t="s">
        <v>2120</v>
      </c>
      <c r="Q622" s="29" t="str" cm="1">
        <f t="array" ref="Q622">_xlfn.IFS(
A622="","",
AND(A622&lt;&gt;"",B622=""),"FALTA LANÇAMENTO",
AND(B622&lt;&gt;"",M622=""),"FALTA O PEDIDO",
AND(M622&lt;&gt;"",O622=""),"FALTA NF",
O622&lt;&gt;"","CONCLUÍDO")</f>
        <v>CONCLUÍDO</v>
      </c>
      <c r="R622" s="36"/>
    </row>
    <row r="623" spans="1:18" hidden="1">
      <c r="A623" s="16">
        <v>46070</v>
      </c>
      <c r="B623" s="16">
        <v>46072</v>
      </c>
      <c r="C623" s="21">
        <v>51521062</v>
      </c>
      <c r="D623" s="16" t="str">
        <f>IFERROR(VLOOKUP(Tabela5[[#This Row],[PREFIXO ]],Tabela4[#All],2,0),"CENTRO DE CUSTO")</f>
        <v>COLHED ALGODÃO JOHN DEERE CP 690</v>
      </c>
      <c r="E623" s="18" t="s">
        <v>70</v>
      </c>
      <c r="F623" s="21">
        <v>22783</v>
      </c>
      <c r="G623" s="22">
        <v>13600</v>
      </c>
      <c r="H623" s="22"/>
      <c r="I623" s="22">
        <f t="shared" si="10"/>
        <v>13600</v>
      </c>
      <c r="J623" s="18" t="s">
        <v>1123</v>
      </c>
      <c r="K623" s="18">
        <v>9779939</v>
      </c>
      <c r="L623" s="18">
        <v>868219</v>
      </c>
      <c r="M623" s="18" t="s">
        <v>2121</v>
      </c>
      <c r="N623" s="16" t="s">
        <v>1821</v>
      </c>
      <c r="O623" s="18" t="s">
        <v>2122</v>
      </c>
      <c r="P623" s="18" t="s">
        <v>1700</v>
      </c>
      <c r="Q623" s="29" t="str" cm="1">
        <f t="array" ref="Q623">_xlfn.IFS(
A623="","",
AND(A623&lt;&gt;"",B623=""),"FALTA LANÇAMENTO",
AND(B623&lt;&gt;"",M623=""),"FALTA O PEDIDO",
AND(M623&lt;&gt;"",O623=""),"FALTA NF",
O623&lt;&gt;"","CONCLUÍDO")</f>
        <v>CONCLUÍDO</v>
      </c>
      <c r="R623" s="36"/>
    </row>
    <row r="624" spans="1:18" hidden="1">
      <c r="A624" s="16">
        <v>46070</v>
      </c>
      <c r="B624" s="16">
        <v>46072</v>
      </c>
      <c r="C624" s="21">
        <v>51521065</v>
      </c>
      <c r="D624" s="16" t="str">
        <f>IFERROR(VLOOKUP(Tabela5[[#This Row],[PREFIXO ]],Tabela4[#All],2,0),"CENTRO DE CUSTO")</f>
        <v>COLHED ALGODÃO JOHN DEERE CP 690</v>
      </c>
      <c r="E624" s="18" t="s">
        <v>70</v>
      </c>
      <c r="F624" s="21">
        <v>22782</v>
      </c>
      <c r="G624" s="22">
        <v>13600</v>
      </c>
      <c r="H624" s="22"/>
      <c r="I624" s="22">
        <f t="shared" si="10"/>
        <v>13600</v>
      </c>
      <c r="J624" s="18" t="s">
        <v>1123</v>
      </c>
      <c r="K624" s="18">
        <v>9780001</v>
      </c>
      <c r="L624" s="18">
        <v>868228</v>
      </c>
      <c r="M624" s="18" t="s">
        <v>2123</v>
      </c>
      <c r="N624" s="16" t="s">
        <v>1821</v>
      </c>
      <c r="O624" s="18" t="s">
        <v>2124</v>
      </c>
      <c r="P624" s="18" t="s">
        <v>1594</v>
      </c>
      <c r="Q624" s="29" t="str" cm="1">
        <f t="array" ref="Q624">_xlfn.IFS(
A624="","",
AND(A624&lt;&gt;"",B624=""),"FALTA LANÇAMENTO",
AND(B624&lt;&gt;"",M624=""),"FALTA O PEDIDO",
AND(M624&lt;&gt;"",O624=""),"FALTA NF",
O624&lt;&gt;"","CONCLUÍDO")</f>
        <v>CONCLUÍDO</v>
      </c>
      <c r="R624" s="36"/>
    </row>
    <row r="625" spans="1:18" hidden="1">
      <c r="A625" s="16">
        <v>46070</v>
      </c>
      <c r="B625" s="16">
        <v>46072</v>
      </c>
      <c r="C625" s="21">
        <v>51521043</v>
      </c>
      <c r="D625" s="16" t="str">
        <f>IFERROR(VLOOKUP(Tabela5[[#This Row],[PREFIXO ]],Tabela4[#All],2,0),"CENTRO DE CUSTO")</f>
        <v>COLHED ALGODÃO JOHN DEERE CP 690</v>
      </c>
      <c r="E625" s="18" t="s">
        <v>70</v>
      </c>
      <c r="F625" s="21">
        <v>22785</v>
      </c>
      <c r="G625" s="22">
        <v>6800</v>
      </c>
      <c r="H625" s="22"/>
      <c r="I625" s="22">
        <f t="shared" si="10"/>
        <v>6800</v>
      </c>
      <c r="J625" s="18" t="s">
        <v>1123</v>
      </c>
      <c r="K625" s="18">
        <v>9779937</v>
      </c>
      <c r="L625" s="18">
        <v>868203</v>
      </c>
      <c r="M625" s="18" t="s">
        <v>2125</v>
      </c>
      <c r="N625" s="16" t="s">
        <v>1821</v>
      </c>
      <c r="O625" s="18" t="s">
        <v>2126</v>
      </c>
      <c r="P625" s="18" t="s">
        <v>1700</v>
      </c>
      <c r="Q625" s="29" t="str" cm="1">
        <f t="array" ref="Q625">_xlfn.IFS(
A625="","",
AND(A625&lt;&gt;"",B625=""),"FALTA LANÇAMENTO",
AND(B625&lt;&gt;"",M625=""),"FALTA O PEDIDO",
AND(M625&lt;&gt;"",O625=""),"FALTA NF",
O625&lt;&gt;"","CONCLUÍDO")</f>
        <v>CONCLUÍDO</v>
      </c>
      <c r="R625" s="36"/>
    </row>
    <row r="626" spans="1:18" hidden="1">
      <c r="A626" s="16">
        <v>46070</v>
      </c>
      <c r="B626" s="16">
        <v>46072</v>
      </c>
      <c r="C626" s="21">
        <v>51521071</v>
      </c>
      <c r="D626" s="16" t="str">
        <f>IFERROR(VLOOKUP(Tabela5[[#This Row],[PREFIXO ]],Tabela4[#All],2,0),"CENTRO DE CUSTO")</f>
        <v>COLHED ALGODÃO JOHN DEERE CP 690</v>
      </c>
      <c r="E626" s="18" t="s">
        <v>70</v>
      </c>
      <c r="F626" s="21">
        <v>22784</v>
      </c>
      <c r="G626" s="22">
        <v>6800</v>
      </c>
      <c r="H626" s="22"/>
      <c r="I626" s="22">
        <f t="shared" si="10"/>
        <v>6800</v>
      </c>
      <c r="J626" s="18" t="s">
        <v>1123</v>
      </c>
      <c r="K626" s="18">
        <v>9779938</v>
      </c>
      <c r="L626" s="18">
        <v>868214</v>
      </c>
      <c r="M626" s="18" t="s">
        <v>2127</v>
      </c>
      <c r="N626" s="16" t="s">
        <v>1821</v>
      </c>
      <c r="O626" s="18" t="s">
        <v>2128</v>
      </c>
      <c r="P626" s="18" t="s">
        <v>2129</v>
      </c>
      <c r="Q626" s="29" t="str" cm="1">
        <f t="array" ref="Q626">_xlfn.IFS(
A626="","",
AND(A626&lt;&gt;"",B626=""),"FALTA LANÇAMENTO",
AND(B626&lt;&gt;"",M626=""),"FALTA O PEDIDO",
AND(M626&lt;&gt;"",O626=""),"FALTA NF",
O626&lt;&gt;"","CONCLUÍDO")</f>
        <v>CONCLUÍDO</v>
      </c>
      <c r="R626" s="36"/>
    </row>
    <row r="627" spans="1:18" hidden="1">
      <c r="A627" s="16">
        <v>46070</v>
      </c>
      <c r="B627" s="16">
        <v>46077</v>
      </c>
      <c r="C627" s="21" t="s">
        <v>1134</v>
      </c>
      <c r="D627" s="16" t="str">
        <f>IFERROR(VLOOKUP(Tabela5[[#This Row],[PREFIXO ]],Tabela4[#All],2,0),"CENTRO DE CUSTO")</f>
        <v>CENTRO DE CUSTO</v>
      </c>
      <c r="E627" s="18" t="s">
        <v>207</v>
      </c>
      <c r="F627" s="21">
        <v>1038</v>
      </c>
      <c r="G627" s="22">
        <v>1665</v>
      </c>
      <c r="H627" s="22">
        <v>1155.01</v>
      </c>
      <c r="I627" s="22">
        <f t="shared" si="10"/>
        <v>2820.01</v>
      </c>
      <c r="J627" s="18" t="s">
        <v>1818</v>
      </c>
      <c r="K627" s="18">
        <v>5019628</v>
      </c>
      <c r="L627" s="18" t="s">
        <v>1095</v>
      </c>
      <c r="M627" s="18" t="s">
        <v>1095</v>
      </c>
      <c r="N627" s="16" t="s">
        <v>1095</v>
      </c>
      <c r="O627" s="18" t="s">
        <v>1095</v>
      </c>
      <c r="P627" s="18" t="s">
        <v>1095</v>
      </c>
      <c r="Q627" s="29" t="str" cm="1">
        <f t="array" ref="Q627">_xlfn.IFS(
A627="","",
AND(A627&lt;&gt;"",B627=""),"FALTA LANÇAMENTO",
AND(B627&lt;&gt;"",M627=""),"FALTA O PEDIDO",
AND(M627&lt;&gt;"",O627=""),"FALTA NF",
O627&lt;&gt;"","CONCLUÍDO")</f>
        <v>CONCLUÍDO</v>
      </c>
      <c r="R627" s="36"/>
    </row>
    <row r="628" spans="1:18" hidden="1">
      <c r="A628" s="16">
        <v>46070</v>
      </c>
      <c r="B628" s="16">
        <v>46072</v>
      </c>
      <c r="C628" s="21">
        <v>500580579</v>
      </c>
      <c r="D628" s="16" t="str">
        <f>IFERROR(VLOOKUP(Tabela5[[#This Row],[PREFIXO ]],Tabela4[#All],2,0),"CENTRO DE CUSTO")</f>
        <v>Pátio de Vendas</v>
      </c>
      <c r="E628" s="18" t="s">
        <v>224</v>
      </c>
      <c r="F628" s="21">
        <v>2557</v>
      </c>
      <c r="G628" s="22">
        <v>1800</v>
      </c>
      <c r="H628" s="22"/>
      <c r="I628" s="22">
        <f t="shared" si="10"/>
        <v>1800</v>
      </c>
      <c r="J628" s="18" t="s">
        <v>1265</v>
      </c>
      <c r="K628" s="18">
        <v>5019514</v>
      </c>
      <c r="L628" s="18" t="s">
        <v>1095</v>
      </c>
      <c r="M628" s="18" t="s">
        <v>1095</v>
      </c>
      <c r="N628" s="16" t="s">
        <v>1095</v>
      </c>
      <c r="O628" s="18" t="s">
        <v>1095</v>
      </c>
      <c r="P628" s="18" t="s">
        <v>1095</v>
      </c>
      <c r="Q628" s="29" t="str" cm="1">
        <f t="array" ref="Q628">_xlfn.IFS(
A628="","",
AND(A628&lt;&gt;"",B628=""),"FALTA LANÇAMENTO",
AND(B628&lt;&gt;"",M628=""),"FALTA O PEDIDO",
AND(M628&lt;&gt;"",O628=""),"FALTA NF",
O628&lt;&gt;"","CONCLUÍDO")</f>
        <v>CONCLUÍDO</v>
      </c>
      <c r="R628" s="36"/>
    </row>
    <row r="629" spans="1:18" hidden="1">
      <c r="A629" s="16">
        <v>46070</v>
      </c>
      <c r="B629" s="16">
        <v>46072</v>
      </c>
      <c r="C629" s="21">
        <v>500580579</v>
      </c>
      <c r="D629" s="16" t="str">
        <f>IFERROR(VLOOKUP(Tabela5[[#This Row],[PREFIXO ]],Tabela4[#All],2,0),"CENTRO DE CUSTO")</f>
        <v>Pátio de Vendas</v>
      </c>
      <c r="E629" s="18" t="s">
        <v>224</v>
      </c>
      <c r="F629" s="21">
        <v>1966</v>
      </c>
      <c r="G629" s="22">
        <v>1750</v>
      </c>
      <c r="H629" s="22"/>
      <c r="I629" s="22">
        <f t="shared" si="10"/>
        <v>1750</v>
      </c>
      <c r="J629" s="18" t="s">
        <v>1265</v>
      </c>
      <c r="K629" s="18">
        <v>5019514</v>
      </c>
      <c r="L629" s="18" t="s">
        <v>1095</v>
      </c>
      <c r="M629" s="18" t="s">
        <v>1095</v>
      </c>
      <c r="N629" s="16" t="s">
        <v>1095</v>
      </c>
      <c r="O629" s="18" t="s">
        <v>1095</v>
      </c>
      <c r="P629" s="18" t="s">
        <v>1095</v>
      </c>
      <c r="Q629" s="29" t="str" cm="1">
        <f t="array" ref="Q629">_xlfn.IFS(
A629="","",
AND(A629&lt;&gt;"",B629=""),"FALTA LANÇAMENTO",
AND(B629&lt;&gt;"",M629=""),"FALTA O PEDIDO",
AND(M629&lt;&gt;"",O629=""),"FALTA NF",
O629&lt;&gt;"","CONCLUÍDO")</f>
        <v>CONCLUÍDO</v>
      </c>
      <c r="R629" s="36"/>
    </row>
    <row r="630" spans="1:18" hidden="1">
      <c r="A630" s="16">
        <v>46070</v>
      </c>
      <c r="B630" s="16">
        <v>46072</v>
      </c>
      <c r="C630" s="21">
        <v>500580579</v>
      </c>
      <c r="D630" s="16" t="str">
        <f>IFERROR(VLOOKUP(Tabela5[[#This Row],[PREFIXO ]],Tabela4[#All],2,0),"CENTRO DE CUSTO")</f>
        <v>Pátio de Vendas</v>
      </c>
      <c r="E630" s="18" t="s">
        <v>224</v>
      </c>
      <c r="F630" s="21">
        <v>1969</v>
      </c>
      <c r="G630" s="22">
        <v>1500</v>
      </c>
      <c r="H630" s="22"/>
      <c r="I630" s="22">
        <f t="shared" si="10"/>
        <v>1500</v>
      </c>
      <c r="J630" s="18" t="s">
        <v>1251</v>
      </c>
      <c r="K630" s="18">
        <v>5019514</v>
      </c>
      <c r="L630" s="18" t="s">
        <v>1095</v>
      </c>
      <c r="M630" s="18" t="s">
        <v>1095</v>
      </c>
      <c r="N630" s="16" t="s">
        <v>1095</v>
      </c>
      <c r="O630" s="18" t="s">
        <v>1095</v>
      </c>
      <c r="P630" s="18" t="s">
        <v>1095</v>
      </c>
      <c r="Q630" s="29" t="str" cm="1">
        <f t="array" ref="Q630">_xlfn.IFS(
A630="","",
AND(A630&lt;&gt;"",B630=""),"FALTA LANÇAMENTO",
AND(B630&lt;&gt;"",M630=""),"FALTA O PEDIDO",
AND(M630&lt;&gt;"",O630=""),"FALTA NF",
O630&lt;&gt;"","CONCLUÍDO")</f>
        <v>CONCLUÍDO</v>
      </c>
      <c r="R630" s="36"/>
    </row>
    <row r="631" spans="1:18" hidden="1">
      <c r="A631" s="16">
        <v>46070</v>
      </c>
      <c r="B631" s="16">
        <v>46080</v>
      </c>
      <c r="C631" s="21">
        <v>14010175</v>
      </c>
      <c r="D631" s="16" t="str">
        <f>IFERROR(VLOOKUP(Tabela5[[#This Row],[PREFIXO ]],Tabela4[#All],2,0),"CENTRO DE CUSTO")</f>
        <v>CENTRO DE CUSTO</v>
      </c>
      <c r="E631" s="18" t="s">
        <v>296</v>
      </c>
      <c r="F631" s="21">
        <v>2607</v>
      </c>
      <c r="G631" s="22">
        <v>980</v>
      </c>
      <c r="H631" s="22">
        <v>4699</v>
      </c>
      <c r="I631" s="22">
        <f t="shared" si="10"/>
        <v>5679</v>
      </c>
      <c r="J631" s="18" t="s">
        <v>1085</v>
      </c>
      <c r="K631" s="18">
        <v>9787851</v>
      </c>
      <c r="L631" s="18">
        <v>871886</v>
      </c>
      <c r="M631" s="18" t="s">
        <v>2130</v>
      </c>
      <c r="N631" s="16" t="s">
        <v>1700</v>
      </c>
      <c r="O631" s="18" t="s">
        <v>1095</v>
      </c>
      <c r="P631" s="18" t="s">
        <v>1095</v>
      </c>
      <c r="Q631" s="29" t="str" cm="1">
        <f t="array" ref="Q631">_xlfn.IFS(
A631="","",
AND(A631&lt;&gt;"",B631=""),"FALTA LANÇAMENTO",
AND(B631&lt;&gt;"",M631=""),"FALTA O PEDIDO",
AND(M631&lt;&gt;"",O631=""),"FALTA NF",
O631&lt;&gt;"","CONCLUÍDO")</f>
        <v>CONCLUÍDO</v>
      </c>
      <c r="R631" s="36"/>
    </row>
    <row r="632" spans="1:18" hidden="1">
      <c r="A632" s="16">
        <v>46070</v>
      </c>
      <c r="B632" s="16">
        <v>46076</v>
      </c>
      <c r="C632" s="21">
        <v>41521067</v>
      </c>
      <c r="D632" s="16" t="str">
        <f>IFERROR(VLOOKUP(Tabela5[[#This Row],[PREFIXO ]],Tabela4[#All],2,0),"CENTRO DE CUSTO")</f>
        <v>MICROONIBUS SPRINTER 417 CDI K42B</v>
      </c>
      <c r="E632" s="18" t="s">
        <v>110</v>
      </c>
      <c r="F632" s="21">
        <v>8386</v>
      </c>
      <c r="G632" s="22">
        <v>1705.6</v>
      </c>
      <c r="H632" s="22">
        <v>5476.51</v>
      </c>
      <c r="I632" s="22">
        <f t="shared" si="10"/>
        <v>7182.1100000000006</v>
      </c>
      <c r="J632" s="18" t="s">
        <v>1085</v>
      </c>
      <c r="K632" s="18">
        <v>9783032</v>
      </c>
      <c r="L632" s="18">
        <v>868651</v>
      </c>
      <c r="M632" s="18" t="s">
        <v>2131</v>
      </c>
      <c r="N632" s="16" t="s">
        <v>1495</v>
      </c>
      <c r="O632" s="18" t="s">
        <v>2132</v>
      </c>
      <c r="P632" s="18" t="s">
        <v>2133</v>
      </c>
      <c r="Q632" s="29" t="str" cm="1">
        <f t="array" ref="Q632">_xlfn.IFS(
A632="","",
AND(A632&lt;&gt;"",B632=""),"FALTA LANÇAMENTO",
AND(B632&lt;&gt;"",M632=""),"FALTA O PEDIDO",
AND(M632&lt;&gt;"",O632=""),"FALTA NF",
O632&lt;&gt;"","CONCLUÍDO")</f>
        <v>CONCLUÍDO</v>
      </c>
      <c r="R632" s="36"/>
    </row>
    <row r="633" spans="1:18" hidden="1">
      <c r="A633" s="16">
        <v>46070</v>
      </c>
      <c r="B633" s="16">
        <v>46076</v>
      </c>
      <c r="C633" s="21">
        <v>61521077</v>
      </c>
      <c r="D633" s="16" t="str">
        <f>IFERROR(VLOOKUP(Tabela5[[#This Row],[PREFIXO ]],Tabela4[#All],2,0),"CENTRO DE CUSTO")</f>
        <v>CAM PIPA BOMB VOLVO VM 330</v>
      </c>
      <c r="E633" s="18" t="s">
        <v>250</v>
      </c>
      <c r="F633" s="21">
        <v>39911</v>
      </c>
      <c r="G633" s="22">
        <v>805</v>
      </c>
      <c r="H633" s="22">
        <v>3111.55</v>
      </c>
      <c r="I633" s="22">
        <f t="shared" si="10"/>
        <v>3916.55</v>
      </c>
      <c r="J633" s="18" t="s">
        <v>1085</v>
      </c>
      <c r="K633" s="18">
        <v>9783030</v>
      </c>
      <c r="L633" s="18">
        <v>868639</v>
      </c>
      <c r="M633" s="18" t="s">
        <v>2134</v>
      </c>
      <c r="N633" s="16" t="s">
        <v>1495</v>
      </c>
      <c r="O633" s="18" t="s">
        <v>2135</v>
      </c>
      <c r="P633" s="18" t="s">
        <v>1935</v>
      </c>
      <c r="Q633" s="29" t="str" cm="1">
        <f t="array" ref="Q633">_xlfn.IFS(
A633="","",
AND(A633&lt;&gt;"",B633=""),"FALTA LANÇAMENTO",
AND(B633&lt;&gt;"",M633=""),"FALTA O PEDIDO",
AND(M633&lt;&gt;"",O633=""),"FALTA NF",
O633&lt;&gt;"","CONCLUÍDO")</f>
        <v>CONCLUÍDO</v>
      </c>
      <c r="R633" s="36"/>
    </row>
    <row r="634" spans="1:18" hidden="1">
      <c r="A634" s="16">
        <v>46070</v>
      </c>
      <c r="B634" s="16">
        <v>46076</v>
      </c>
      <c r="C634" s="21">
        <v>11521029</v>
      </c>
      <c r="D634" s="16" t="str">
        <f>IFERROR(VLOOKUP(Tabela5[[#This Row],[PREFIXO ]],Tabela4[#All],2,0),"CENTRO DE CUSTO")</f>
        <v>TRAT PN EXT PES FENDT 1046 VARIO</v>
      </c>
      <c r="E634" s="18" t="s">
        <v>259</v>
      </c>
      <c r="F634" s="21" t="s">
        <v>2136</v>
      </c>
      <c r="G634" s="22">
        <v>50.01</v>
      </c>
      <c r="H634" s="22">
        <v>3732.44</v>
      </c>
      <c r="I634" s="22">
        <f t="shared" si="10"/>
        <v>3782.4500000000003</v>
      </c>
      <c r="J634" s="18" t="s">
        <v>1199</v>
      </c>
      <c r="K634" s="18">
        <v>9783946</v>
      </c>
      <c r="L634" s="18">
        <v>871380</v>
      </c>
      <c r="M634" s="18" t="s">
        <v>2137</v>
      </c>
      <c r="N634" s="16" t="s">
        <v>1885</v>
      </c>
      <c r="O634" s="18" t="s">
        <v>2138</v>
      </c>
      <c r="P634" s="18" t="s">
        <v>2139</v>
      </c>
      <c r="Q634" s="29" t="str" cm="1">
        <f t="array" ref="Q634">_xlfn.IFS(
A634="","",
AND(A634&lt;&gt;"",B634=""),"FALTA LANÇAMENTO",
AND(B634&lt;&gt;"",M634=""),"FALTA O PEDIDO",
AND(M634&lt;&gt;"",O634=""),"FALTA NF",
O634&lt;&gt;"","CONCLUÍDO")</f>
        <v>CONCLUÍDO</v>
      </c>
      <c r="R634" s="36"/>
    </row>
    <row r="635" spans="1:18" hidden="1">
      <c r="A635" s="16">
        <v>46070</v>
      </c>
      <c r="B635" s="16">
        <v>46076</v>
      </c>
      <c r="C635" s="21">
        <v>9783946</v>
      </c>
      <c r="D635" s="16" t="str">
        <f>IFERROR(VLOOKUP(Tabela5[[#This Row],[PREFIXO ]],Tabela4[#All],2,0),"CENTRO DE CUSTO")</f>
        <v>CENTRO DE CUSTO</v>
      </c>
      <c r="E635" s="18" t="s">
        <v>259</v>
      </c>
      <c r="F635" s="21" t="s">
        <v>2140</v>
      </c>
      <c r="G635" s="22">
        <v>50.01</v>
      </c>
      <c r="H635" s="22">
        <v>564.5</v>
      </c>
      <c r="I635" s="22">
        <f t="shared" si="10"/>
        <v>614.51</v>
      </c>
      <c r="J635" s="18" t="s">
        <v>1199</v>
      </c>
      <c r="K635" s="18">
        <v>9783946</v>
      </c>
      <c r="L635" s="18">
        <v>871397</v>
      </c>
      <c r="M635" s="18" t="s">
        <v>2141</v>
      </c>
      <c r="N635" s="16" t="s">
        <v>1495</v>
      </c>
      <c r="O635" s="18" t="s">
        <v>2142</v>
      </c>
      <c r="P635" s="18" t="s">
        <v>2139</v>
      </c>
      <c r="Q635" s="29" t="str" cm="1">
        <f t="array" ref="Q635">_xlfn.IFS(
A635="","",
AND(A635&lt;&gt;"",B635=""),"FALTA LANÇAMENTO",
AND(B635&lt;&gt;"",M635=""),"FALTA O PEDIDO",
AND(M635&lt;&gt;"",O635=""),"FALTA NF",
O635&lt;&gt;"","CONCLUÍDO")</f>
        <v>CONCLUÍDO</v>
      </c>
      <c r="R635" s="36"/>
    </row>
    <row r="636" spans="1:18" hidden="1">
      <c r="A636" s="16">
        <v>46070</v>
      </c>
      <c r="B636" s="16">
        <v>46072</v>
      </c>
      <c r="C636" s="21" t="s">
        <v>2143</v>
      </c>
      <c r="D636" s="16" t="str">
        <f>IFERROR(VLOOKUP(Tabela5[[#This Row],[PREFIXO ]],Tabela4[#All],2,0),"CENTRO DE CUSTO")</f>
        <v>CENTRO DE CUSTO</v>
      </c>
      <c r="E636" s="18" t="s">
        <v>312</v>
      </c>
      <c r="F636" s="21" t="s">
        <v>1303</v>
      </c>
      <c r="G636" s="22">
        <v>9356</v>
      </c>
      <c r="H636" s="22"/>
      <c r="I636" s="22">
        <f t="shared" si="10"/>
        <v>9356</v>
      </c>
      <c r="J636" s="18" t="s">
        <v>1199</v>
      </c>
      <c r="K636" s="18" t="s">
        <v>2144</v>
      </c>
      <c r="L636" s="18">
        <v>868544</v>
      </c>
      <c r="M636" s="18" t="s">
        <v>2145</v>
      </c>
      <c r="N636" s="16" t="s">
        <v>1821</v>
      </c>
      <c r="O636" s="18" t="s">
        <v>1347</v>
      </c>
      <c r="P636" s="18" t="s">
        <v>1495</v>
      </c>
      <c r="Q636" s="29" t="str" cm="1">
        <f t="array" ref="Q636">_xlfn.IFS(
A636="","",
AND(A636&lt;&gt;"",B636=""),"FALTA LANÇAMENTO",
AND(B636&lt;&gt;"",M636=""),"FALTA O PEDIDO",
AND(M636&lt;&gt;"",O636=""),"FALTA NF",
O636&lt;&gt;"","CONCLUÍDO")</f>
        <v>CONCLUÍDO</v>
      </c>
      <c r="R636" s="36"/>
    </row>
    <row r="637" spans="1:18" hidden="1">
      <c r="A637" s="16">
        <v>46070</v>
      </c>
      <c r="B637" s="16">
        <v>46072</v>
      </c>
      <c r="C637" s="21" t="s">
        <v>2146</v>
      </c>
      <c r="D637" s="16" t="str">
        <f>IFERROR(VLOOKUP(Tabela5[[#This Row],[PREFIXO ]],Tabela4[#All],2,0),"CENTRO DE CUSTO")</f>
        <v>CENTRO DE CUSTO</v>
      </c>
      <c r="E637" s="18" t="s">
        <v>312</v>
      </c>
      <c r="F637" s="21" t="s">
        <v>1100</v>
      </c>
      <c r="G637" s="22">
        <v>7953.6</v>
      </c>
      <c r="H637" s="22"/>
      <c r="I637" s="22">
        <f t="shared" si="10"/>
        <v>7953.6</v>
      </c>
      <c r="J637" s="18" t="s">
        <v>1199</v>
      </c>
      <c r="K637" s="18" t="s">
        <v>2147</v>
      </c>
      <c r="L637" s="18">
        <v>868544</v>
      </c>
      <c r="M637" s="18" t="s">
        <v>2145</v>
      </c>
      <c r="N637" s="16" t="s">
        <v>1821</v>
      </c>
      <c r="O637" s="18" t="s">
        <v>1347</v>
      </c>
      <c r="P637" s="18" t="s">
        <v>1495</v>
      </c>
      <c r="Q637" s="29" t="str" cm="1">
        <f t="array" ref="Q637">_xlfn.IFS(
A637="","",
AND(A637&lt;&gt;"",B637=""),"FALTA LANÇAMENTO",
AND(B637&lt;&gt;"",M637=""),"FALTA O PEDIDO",
AND(M637&lt;&gt;"",O637=""),"FALTA NF",
O637&lt;&gt;"","CONCLUÍDO")</f>
        <v>CONCLUÍDO</v>
      </c>
      <c r="R637" s="36"/>
    </row>
    <row r="638" spans="1:18" hidden="1">
      <c r="A638" s="16">
        <v>46070</v>
      </c>
      <c r="B638" s="16">
        <v>46072</v>
      </c>
      <c r="C638" s="21" t="s">
        <v>2086</v>
      </c>
      <c r="D638" s="16" t="str">
        <f>IFERROR(VLOOKUP(Tabela5[[#This Row],[PREFIXO ]],Tabela4[#All],2,0),"CENTRO DE CUSTO")</f>
        <v>CENTRO DE CUSTO</v>
      </c>
      <c r="E638" s="18" t="s">
        <v>312</v>
      </c>
      <c r="F638" s="21" t="s">
        <v>1301</v>
      </c>
      <c r="G638" s="22">
        <v>6866.8</v>
      </c>
      <c r="H638" s="22"/>
      <c r="I638" s="22">
        <f t="shared" si="10"/>
        <v>6866.8</v>
      </c>
      <c r="J638" s="18" t="s">
        <v>1199</v>
      </c>
      <c r="K638" s="18" t="s">
        <v>2148</v>
      </c>
      <c r="L638" s="18">
        <v>868544</v>
      </c>
      <c r="M638" s="18" t="s">
        <v>2145</v>
      </c>
      <c r="N638" s="16" t="s">
        <v>1821</v>
      </c>
      <c r="O638" s="18" t="s">
        <v>1347</v>
      </c>
      <c r="P638" s="18" t="s">
        <v>1495</v>
      </c>
      <c r="Q638" s="29" t="str" cm="1">
        <f t="array" ref="Q638">_xlfn.IFS(
A638="","",
AND(A638&lt;&gt;"",B638=""),"FALTA LANÇAMENTO",
AND(B638&lt;&gt;"",M638=""),"FALTA O PEDIDO",
AND(M638&lt;&gt;"",O638=""),"FALTA NF",
O638&lt;&gt;"","CONCLUÍDO")</f>
        <v>CONCLUÍDO</v>
      </c>
      <c r="R638" s="36"/>
    </row>
    <row r="639" spans="1:18" hidden="1">
      <c r="A639" s="16">
        <v>46070</v>
      </c>
      <c r="B639" s="16">
        <v>46072</v>
      </c>
      <c r="C639" s="21">
        <v>500580263</v>
      </c>
      <c r="D639" s="16" t="str">
        <f>IFERROR(VLOOKUP(Tabela5[[#This Row],[PREFIXO ]],Tabela4[#All],2,0),"CENTRO DE CUSTO")</f>
        <v>Colheit. Grãos-Axial</v>
      </c>
      <c r="E639" s="18" t="s">
        <v>346</v>
      </c>
      <c r="F639" s="21" t="s">
        <v>1298</v>
      </c>
      <c r="G639" s="22">
        <v>8750</v>
      </c>
      <c r="H639" s="22"/>
      <c r="I639" s="22">
        <f t="shared" si="10"/>
        <v>8750</v>
      </c>
      <c r="J639" s="18" t="s">
        <v>1123</v>
      </c>
      <c r="K639" s="18">
        <v>5019571</v>
      </c>
      <c r="L639" s="18">
        <v>868531</v>
      </c>
      <c r="M639" s="18" t="s">
        <v>2149</v>
      </c>
      <c r="N639" s="16" t="s">
        <v>1821</v>
      </c>
      <c r="O639" s="18" t="s">
        <v>1302</v>
      </c>
      <c r="P639" s="18" t="s">
        <v>2094</v>
      </c>
      <c r="Q639" s="29" t="str" cm="1">
        <f t="array" ref="Q639">_xlfn.IFS(
A639="","",
AND(A639&lt;&gt;"",B639=""),"FALTA LANÇAMENTO",
AND(B639&lt;&gt;"",M639=""),"FALTA O PEDIDO",
AND(M639&lt;&gt;"",O639=""),"FALTA NF",
O639&lt;&gt;"","CONCLUÍDO")</f>
        <v>CONCLUÍDO</v>
      </c>
      <c r="R639" s="36"/>
    </row>
    <row r="640" spans="1:18" hidden="1">
      <c r="A640" s="16">
        <v>46073</v>
      </c>
      <c r="B640" s="16">
        <v>46073</v>
      </c>
      <c r="C640" s="21">
        <v>81521323</v>
      </c>
      <c r="D640" s="16" t="str">
        <f>IFERROR(VLOOKUP(Tabela5[[#This Row],[PREFIXO ]],Tabela4[#All],2,0),"CENTRO DE CUSTO")</f>
        <v>CENTRO DE CUSTO</v>
      </c>
      <c r="E640" s="18" t="s">
        <v>196</v>
      </c>
      <c r="F640" s="21">
        <v>64052</v>
      </c>
      <c r="G640" s="22">
        <v>36220.5</v>
      </c>
      <c r="H640" s="22">
        <v>10327.67</v>
      </c>
      <c r="I640" s="22">
        <f t="shared" ref="I640:I703" si="11">G640+H640</f>
        <v>46548.17</v>
      </c>
      <c r="J640" s="18" t="s">
        <v>1123</v>
      </c>
      <c r="K640" s="18">
        <v>9781373</v>
      </c>
      <c r="L640" s="18">
        <v>868231</v>
      </c>
      <c r="M640" s="18" t="s">
        <v>2150</v>
      </c>
      <c r="N640" s="16" t="s">
        <v>1821</v>
      </c>
      <c r="O640" s="18" t="s">
        <v>2151</v>
      </c>
      <c r="P640" s="18" t="s">
        <v>2152</v>
      </c>
      <c r="Q640" s="29" t="str" cm="1">
        <f t="array" ref="Q640">_xlfn.IFS(
A640="","",
AND(A640&lt;&gt;"",B640=""),"FALTA LANÇAMENTO",
AND(B640&lt;&gt;"",M640=""),"FALTA O PEDIDO",
AND(M640&lt;&gt;"",O640=""),"FALTA NF",
O640&lt;&gt;"","CONCLUÍDO")</f>
        <v>CONCLUÍDO</v>
      </c>
      <c r="R640" s="36"/>
    </row>
    <row r="641" spans="1:18" hidden="1">
      <c r="A641" s="16">
        <v>46073</v>
      </c>
      <c r="B641" s="16">
        <v>46073</v>
      </c>
      <c r="C641" s="21">
        <v>81521320</v>
      </c>
      <c r="D641" s="16" t="str">
        <f>IFERROR(VLOOKUP(Tabela5[[#This Row],[PREFIXO ]],Tabela4[#All],2,0),"CENTRO DE CUSTO")</f>
        <v>PLATAF COLHEITA CASE 3020 25P</v>
      </c>
      <c r="E641" s="18" t="s">
        <v>196</v>
      </c>
      <c r="F641" s="21">
        <v>63064</v>
      </c>
      <c r="G641" s="22">
        <v>25114.7</v>
      </c>
      <c r="H641" s="22">
        <v>12815.78</v>
      </c>
      <c r="I641" s="22">
        <f t="shared" si="11"/>
        <v>37930.480000000003</v>
      </c>
      <c r="J641" s="18" t="s">
        <v>1123</v>
      </c>
      <c r="K641" s="18">
        <v>9781379</v>
      </c>
      <c r="L641" s="18">
        <v>868968</v>
      </c>
      <c r="M641" s="18" t="s">
        <v>2153</v>
      </c>
      <c r="N641" s="16" t="s">
        <v>1821</v>
      </c>
      <c r="O641" s="18" t="s">
        <v>2154</v>
      </c>
      <c r="P641" s="18" t="s">
        <v>2155</v>
      </c>
      <c r="Q641" s="29" t="str" cm="1">
        <f t="array" ref="Q641">_xlfn.IFS(
A641="","",
AND(A641&lt;&gt;"",B641=""),"FALTA LANÇAMENTO",
AND(B641&lt;&gt;"",M641=""),"FALTA O PEDIDO",
AND(M641&lt;&gt;"",O641=""),"FALTA NF",
O641&lt;&gt;"","CONCLUÍDO")</f>
        <v>CONCLUÍDO</v>
      </c>
      <c r="R641" s="36"/>
    </row>
    <row r="642" spans="1:18" hidden="1">
      <c r="A642" s="16">
        <v>46073</v>
      </c>
      <c r="B642" s="16">
        <v>46073</v>
      </c>
      <c r="C642" s="21">
        <v>81521321</v>
      </c>
      <c r="D642" s="16" t="str">
        <f>IFERROR(VLOOKUP(Tabela5[[#This Row],[PREFIXO ]],Tabela4[#All],2,0),"CENTRO DE CUSTO")</f>
        <v>PLATAF COLHEITA CASE 3020 25P</v>
      </c>
      <c r="E642" s="18" t="s">
        <v>196</v>
      </c>
      <c r="F642" s="21">
        <v>63386</v>
      </c>
      <c r="G642" s="22">
        <v>28867.5</v>
      </c>
      <c r="H642" s="22">
        <v>6818.65</v>
      </c>
      <c r="I642" s="22">
        <f t="shared" si="11"/>
        <v>35686.15</v>
      </c>
      <c r="J642" s="18" t="s">
        <v>1123</v>
      </c>
      <c r="K642" s="18">
        <v>9781421</v>
      </c>
      <c r="L642" s="18">
        <v>867636</v>
      </c>
      <c r="M642" s="18" t="s">
        <v>2156</v>
      </c>
      <c r="N642" s="16" t="s">
        <v>1821</v>
      </c>
      <c r="O642" s="18" t="s">
        <v>2157</v>
      </c>
      <c r="P642" s="18" t="s">
        <v>1546</v>
      </c>
      <c r="Q642" s="29" t="str" cm="1">
        <f t="array" ref="Q642">_xlfn.IFS(
A642="","",
AND(A642&lt;&gt;"",B642=""),"FALTA LANÇAMENTO",
AND(B642&lt;&gt;"",M642=""),"FALTA O PEDIDO",
AND(M642&lt;&gt;"",O642=""),"FALTA NF",
O642&lt;&gt;"","CONCLUÍDO")</f>
        <v>CONCLUÍDO</v>
      </c>
      <c r="R642" s="36"/>
    </row>
    <row r="643" spans="1:18" hidden="1">
      <c r="A643" s="16">
        <v>46073</v>
      </c>
      <c r="B643" s="16">
        <v>46073</v>
      </c>
      <c r="C643" s="21">
        <v>51521075</v>
      </c>
      <c r="D643" s="16" t="str">
        <f>IFERROR(VLOOKUP(Tabela5[[#This Row],[PREFIXO ]],Tabela4[#All],2,0),"CENTRO DE CUSTO")</f>
        <v>COLHEIT DE GRÃOS CASE AXIAL FLOW 5150</v>
      </c>
      <c r="E643" s="18" t="s">
        <v>196</v>
      </c>
      <c r="F643" s="21">
        <v>64051</v>
      </c>
      <c r="G643" s="22">
        <v>25792.5</v>
      </c>
      <c r="H643" s="22">
        <v>1100.6600000000001</v>
      </c>
      <c r="I643" s="22">
        <f t="shared" si="11"/>
        <v>26893.16</v>
      </c>
      <c r="J643" s="18" t="s">
        <v>1123</v>
      </c>
      <c r="K643" s="18">
        <v>9781876</v>
      </c>
      <c r="L643" s="18">
        <v>869036</v>
      </c>
      <c r="M643" s="18" t="s">
        <v>2158</v>
      </c>
      <c r="N643" s="16" t="s">
        <v>1821</v>
      </c>
      <c r="O643" s="18" t="s">
        <v>2159</v>
      </c>
      <c r="P643" s="18" t="s">
        <v>2160</v>
      </c>
      <c r="Q643" s="29" t="str" cm="1">
        <f t="array" ref="Q643">_xlfn.IFS(
A643="","",
AND(A643&lt;&gt;"",B643=""),"FALTA LANÇAMENTO",
AND(B643&lt;&gt;"",M643=""),"FALTA O PEDIDO",
AND(M643&lt;&gt;"",O643=""),"FALTA NF",
O643&lt;&gt;"","CONCLUÍDO")</f>
        <v>CONCLUÍDO</v>
      </c>
      <c r="R643" s="36"/>
    </row>
    <row r="644" spans="1:18" hidden="1">
      <c r="A644" s="16">
        <v>46076</v>
      </c>
      <c r="B644" s="16">
        <v>46080</v>
      </c>
      <c r="C644" s="21" t="s">
        <v>1134</v>
      </c>
      <c r="D644" s="16" t="str">
        <f>IFERROR(VLOOKUP(Tabela5[[#This Row],[PREFIXO ]],Tabela4[#All],2,0),"CENTRO DE CUSTO")</f>
        <v>CENTRO DE CUSTO</v>
      </c>
      <c r="E644" s="18" t="s">
        <v>13</v>
      </c>
      <c r="F644" s="21" t="s">
        <v>2161</v>
      </c>
      <c r="G644" s="22">
        <v>6000</v>
      </c>
      <c r="H644" s="22"/>
      <c r="I644" s="22">
        <f t="shared" si="11"/>
        <v>6000</v>
      </c>
      <c r="J644" s="18" t="s">
        <v>1818</v>
      </c>
      <c r="K644" s="18">
        <v>9787836</v>
      </c>
      <c r="L644" s="18">
        <v>874853</v>
      </c>
      <c r="M644" s="18" t="s">
        <v>2162</v>
      </c>
      <c r="N644" s="16" t="s">
        <v>1700</v>
      </c>
      <c r="O644" s="18" t="s">
        <v>2163</v>
      </c>
      <c r="P644" s="18" t="s">
        <v>2094</v>
      </c>
      <c r="Q644" s="29" t="str" cm="1">
        <f t="array" ref="Q644">_xlfn.IFS(
A644="","",
AND(A644&lt;&gt;"",B644=""),"FALTA LANÇAMENTO",
AND(B644&lt;&gt;"",M644=""),"FALTA O PEDIDO",
AND(M644&lt;&gt;"",O644=""),"FALTA NF",
O644&lt;&gt;"","CONCLUÍDO")</f>
        <v>CONCLUÍDO</v>
      </c>
      <c r="R644" s="36"/>
    </row>
    <row r="645" spans="1:18" hidden="1">
      <c r="A645" s="16">
        <v>46076</v>
      </c>
      <c r="B645" s="16">
        <v>46079</v>
      </c>
      <c r="C645" s="21">
        <v>51521066</v>
      </c>
      <c r="D645" s="16" t="str">
        <f>IFERROR(VLOOKUP(Tabela5[[#This Row],[PREFIXO ]],Tabela4[#All],2,0),"CENTRO DE CUSTO")</f>
        <v>COLHED ALGODÃO JOHN DEERE CP 690</v>
      </c>
      <c r="E645" s="18" t="s">
        <v>16</v>
      </c>
      <c r="F645" s="21">
        <v>452</v>
      </c>
      <c r="G645" s="22">
        <v>29920</v>
      </c>
      <c r="H645" s="22"/>
      <c r="I645" s="22">
        <f t="shared" si="11"/>
        <v>29920</v>
      </c>
      <c r="J645" s="18" t="s">
        <v>1123</v>
      </c>
      <c r="K645" s="18">
        <v>9786544</v>
      </c>
      <c r="L645" s="18">
        <v>874231</v>
      </c>
      <c r="M645" s="18" t="s">
        <v>2164</v>
      </c>
      <c r="N645" s="16" t="s">
        <v>1700</v>
      </c>
      <c r="O645" s="18" t="s">
        <v>2165</v>
      </c>
      <c r="P645" s="18" t="s">
        <v>1700</v>
      </c>
      <c r="Q645" s="29" t="str" cm="1">
        <f t="array" ref="Q645">_xlfn.IFS(
A645="","",
AND(A645&lt;&gt;"",B645=""),"FALTA LANÇAMENTO",
AND(B645&lt;&gt;"",M645=""),"FALTA O PEDIDO",
AND(M645&lt;&gt;"",O645=""),"FALTA NF",
O645&lt;&gt;"","CONCLUÍDO")</f>
        <v>CONCLUÍDO</v>
      </c>
      <c r="R645" s="36"/>
    </row>
    <row r="646" spans="1:18" hidden="1">
      <c r="A646" s="16">
        <v>46076</v>
      </c>
      <c r="B646" s="16">
        <v>46079</v>
      </c>
      <c r="C646" s="21">
        <v>51521062</v>
      </c>
      <c r="D646" s="16" t="str">
        <f>IFERROR(VLOOKUP(Tabela5[[#This Row],[PREFIXO ]],Tabela4[#All],2,0),"CENTRO DE CUSTO")</f>
        <v>COLHED ALGODÃO JOHN DEERE CP 690</v>
      </c>
      <c r="E646" s="18" t="s">
        <v>16</v>
      </c>
      <c r="F646" s="21">
        <v>453</v>
      </c>
      <c r="G646" s="22">
        <v>29920</v>
      </c>
      <c r="H646" s="22"/>
      <c r="I646" s="22">
        <f t="shared" si="11"/>
        <v>29920</v>
      </c>
      <c r="J646" s="18" t="s">
        <v>1123</v>
      </c>
      <c r="K646" s="18">
        <v>9786546</v>
      </c>
      <c r="L646" s="18">
        <v>874256</v>
      </c>
      <c r="M646" s="18" t="s">
        <v>2166</v>
      </c>
      <c r="N646" s="16" t="s">
        <v>1501</v>
      </c>
      <c r="O646" s="18" t="s">
        <v>2167</v>
      </c>
      <c r="P646" s="18" t="s">
        <v>1501</v>
      </c>
      <c r="Q646" s="29" t="str" cm="1">
        <f t="array" ref="Q646">_xlfn.IFS(
A646="","",
AND(A646&lt;&gt;"",B646=""),"FALTA LANÇAMENTO",
AND(B646&lt;&gt;"",M646=""),"FALTA O PEDIDO",
AND(M646&lt;&gt;"",O646=""),"FALTA NF",
O646&lt;&gt;"","CONCLUÍDO")</f>
        <v>CONCLUÍDO</v>
      </c>
      <c r="R646" s="36"/>
    </row>
    <row r="647" spans="1:18" hidden="1">
      <c r="A647" s="16">
        <v>46076</v>
      </c>
      <c r="B647" s="16">
        <v>46079</v>
      </c>
      <c r="C647" s="21">
        <v>51521065</v>
      </c>
      <c r="D647" s="16" t="str">
        <f>IFERROR(VLOOKUP(Tabela5[[#This Row],[PREFIXO ]],Tabela4[#All],2,0),"CENTRO DE CUSTO")</f>
        <v>COLHED ALGODÃO JOHN DEERE CP 690</v>
      </c>
      <c r="E647" s="18" t="s">
        <v>16</v>
      </c>
      <c r="F647" s="21">
        <v>454</v>
      </c>
      <c r="G647" s="22">
        <v>29920</v>
      </c>
      <c r="H647" s="22"/>
      <c r="I647" s="22">
        <f t="shared" si="11"/>
        <v>29920</v>
      </c>
      <c r="J647" s="18" t="s">
        <v>1123</v>
      </c>
      <c r="K647" s="18">
        <v>9786510</v>
      </c>
      <c r="L647" s="18">
        <v>874220</v>
      </c>
      <c r="M647" s="18" t="s">
        <v>2168</v>
      </c>
      <c r="N647" s="16" t="s">
        <v>1700</v>
      </c>
      <c r="O647" s="18" t="s">
        <v>2169</v>
      </c>
      <c r="P647" s="18" t="s">
        <v>1700</v>
      </c>
      <c r="Q647" s="29" t="str" cm="1">
        <f t="array" ref="Q647">_xlfn.IFS(
A647="","",
AND(A647&lt;&gt;"",B647=""),"FALTA LANÇAMENTO",
AND(B647&lt;&gt;"",M647=""),"FALTA O PEDIDO",
AND(M647&lt;&gt;"",O647=""),"FALTA NF",
O647&lt;&gt;"","CONCLUÍDO")</f>
        <v>CONCLUÍDO</v>
      </c>
      <c r="R647" s="36"/>
    </row>
    <row r="648" spans="1:18" hidden="1">
      <c r="A648" s="16">
        <v>46076</v>
      </c>
      <c r="B648" s="16">
        <v>46079</v>
      </c>
      <c r="C648" s="21">
        <v>51521072</v>
      </c>
      <c r="D648" s="16" t="str">
        <f>IFERROR(VLOOKUP(Tabela5[[#This Row],[PREFIXO ]],Tabela4[#All],2,0),"CENTRO DE CUSTO")</f>
        <v>COLHED ALGODÃO JOHN DEERE CP 690</v>
      </c>
      <c r="E648" s="18" t="s">
        <v>16</v>
      </c>
      <c r="F648" s="21">
        <v>457</v>
      </c>
      <c r="G648" s="22">
        <v>7980</v>
      </c>
      <c r="H648" s="22"/>
      <c r="I648" s="22">
        <f t="shared" si="11"/>
        <v>7980</v>
      </c>
      <c r="J648" s="18" t="s">
        <v>1123</v>
      </c>
      <c r="K648" s="18">
        <v>9786545</v>
      </c>
      <c r="L648" s="18">
        <v>874245</v>
      </c>
      <c r="M648" s="18" t="s">
        <v>2170</v>
      </c>
      <c r="N648" s="16" t="s">
        <v>1700</v>
      </c>
      <c r="O648" s="18" t="s">
        <v>2171</v>
      </c>
      <c r="P648" s="18" t="s">
        <v>2172</v>
      </c>
      <c r="Q648" s="29" t="str" cm="1">
        <f t="array" ref="Q648">_xlfn.IFS(
A648="","",
AND(A648&lt;&gt;"",B648=""),"FALTA LANÇAMENTO",
AND(B648&lt;&gt;"",M648=""),"FALTA O PEDIDO",
AND(M648&lt;&gt;"",O648=""),"FALTA NF",
O648&lt;&gt;"","CONCLUÍDO")</f>
        <v>CONCLUÍDO</v>
      </c>
      <c r="R648" s="36"/>
    </row>
    <row r="649" spans="1:18" hidden="1">
      <c r="A649" s="16">
        <v>46076</v>
      </c>
      <c r="B649" s="16">
        <v>46079</v>
      </c>
      <c r="C649" s="21">
        <v>500580263</v>
      </c>
      <c r="D649" s="16" t="str">
        <f>IFERROR(VLOOKUP(Tabela5[[#This Row],[PREFIXO ]],Tabela4[#All],2,0),"CENTRO DE CUSTO")</f>
        <v>Colheit. Grãos-Axial</v>
      </c>
      <c r="E649" s="18" t="s">
        <v>16</v>
      </c>
      <c r="F649" s="21">
        <v>443</v>
      </c>
      <c r="G649" s="22">
        <v>6165</v>
      </c>
      <c r="H649" s="22"/>
      <c r="I649" s="22">
        <f t="shared" si="11"/>
        <v>6165</v>
      </c>
      <c r="J649" s="18" t="s">
        <v>1123</v>
      </c>
      <c r="K649" s="18">
        <v>5019704</v>
      </c>
      <c r="L649" s="18">
        <v>874342</v>
      </c>
      <c r="M649" s="18" t="s">
        <v>2173</v>
      </c>
      <c r="N649" s="16" t="s">
        <v>2174</v>
      </c>
      <c r="O649" s="18" t="s">
        <v>2175</v>
      </c>
      <c r="P649" s="18" t="s">
        <v>1501</v>
      </c>
      <c r="Q649" s="29" t="str" cm="1">
        <f t="array" ref="Q649">_xlfn.IFS(
A649="","",
AND(A649&lt;&gt;"",B649=""),"FALTA LANÇAMENTO",
AND(B649&lt;&gt;"",M649=""),"FALTA O PEDIDO",
AND(M649&lt;&gt;"",O649=""),"FALTA NF",
O649&lt;&gt;"","CONCLUÍDO")</f>
        <v>CONCLUÍDO</v>
      </c>
      <c r="R649" s="36"/>
    </row>
    <row r="650" spans="1:18" hidden="1">
      <c r="A650" s="16">
        <v>46076</v>
      </c>
      <c r="B650" s="16">
        <v>46079</v>
      </c>
      <c r="C650" s="21">
        <v>51521028</v>
      </c>
      <c r="D650" s="16" t="str">
        <f>IFERROR(VLOOKUP(Tabela5[[#This Row],[PREFIXO ]],Tabela4[#All],2,0),"CENTRO DE CUSTO")</f>
        <v>COLHEIT DE GRÃOS JOHN DEERE S 680</v>
      </c>
      <c r="E650" s="18" t="s">
        <v>16</v>
      </c>
      <c r="F650" s="21">
        <v>444</v>
      </c>
      <c r="G650" s="22">
        <v>350</v>
      </c>
      <c r="H650" s="22"/>
      <c r="I650" s="22">
        <f t="shared" si="11"/>
        <v>350</v>
      </c>
      <c r="J650" s="18" t="s">
        <v>1123</v>
      </c>
      <c r="K650" s="18">
        <v>9786548</v>
      </c>
      <c r="L650" s="18">
        <v>874267</v>
      </c>
      <c r="M650" s="18" t="s">
        <v>2176</v>
      </c>
      <c r="N650" s="16" t="s">
        <v>2174</v>
      </c>
      <c r="O650" s="18" t="s">
        <v>1311</v>
      </c>
      <c r="P650" s="18" t="s">
        <v>1501</v>
      </c>
      <c r="Q650" s="29" t="str" cm="1">
        <f t="array" ref="Q650">_xlfn.IFS(
A650="","",
AND(A650&lt;&gt;"",B650=""),"FALTA LANÇAMENTO",
AND(B650&lt;&gt;"",M650=""),"FALTA O PEDIDO",
AND(M650&lt;&gt;"",O650=""),"FALTA NF",
O650&lt;&gt;"","CONCLUÍDO")</f>
        <v>CONCLUÍDO</v>
      </c>
      <c r="R650" s="36"/>
    </row>
    <row r="651" spans="1:18" hidden="1">
      <c r="A651" s="16">
        <v>46076</v>
      </c>
      <c r="B651" s="16">
        <v>46086</v>
      </c>
      <c r="C651" s="21">
        <v>51521059</v>
      </c>
      <c r="D651" s="16" t="str">
        <f>IFERROR(VLOOKUP(Tabela5[[#This Row],[PREFIXO ]],Tabela4[#All],2,0),"CENTRO DE CUSTO")</f>
        <v>COLHED ALGODÃO JOHN DEERE CP 690</v>
      </c>
      <c r="E651" s="18" t="s">
        <v>17</v>
      </c>
      <c r="F651" s="21">
        <v>40932</v>
      </c>
      <c r="G651" s="22">
        <v>2070</v>
      </c>
      <c r="H651" s="22">
        <v>155231.78</v>
      </c>
      <c r="I651" s="22">
        <f t="shared" si="11"/>
        <v>157301.78</v>
      </c>
      <c r="J651" s="18" t="s">
        <v>1123</v>
      </c>
      <c r="K651" s="18">
        <v>9790339</v>
      </c>
      <c r="L651" s="18">
        <v>876674</v>
      </c>
      <c r="M651" s="18" t="s">
        <v>2177</v>
      </c>
      <c r="N651" s="16" t="s">
        <v>1594</v>
      </c>
      <c r="O651" s="18" t="s">
        <v>2178</v>
      </c>
      <c r="P651" s="18" t="s">
        <v>2179</v>
      </c>
      <c r="Q651" s="29" t="str" cm="1">
        <f t="array" ref="Q651">_xlfn.IFS(
A651="","",
AND(A651&lt;&gt;"",B651=""),"FALTA LANÇAMENTO",
AND(B651&lt;&gt;"",M651=""),"FALTA O PEDIDO",
AND(M651&lt;&gt;"",O651=""),"FALTA NF",
O651&lt;&gt;"","CONCLUÍDO")</f>
        <v>CONCLUÍDO</v>
      </c>
      <c r="R651" s="36"/>
    </row>
    <row r="652" spans="1:18" hidden="1">
      <c r="A652" s="16">
        <v>46076</v>
      </c>
      <c r="B652" s="16">
        <v>46085</v>
      </c>
      <c r="C652" s="21">
        <v>51519062</v>
      </c>
      <c r="D652" s="16" t="str">
        <f>IFERROR(VLOOKUP(Tabela5[[#This Row],[PREFIXO ]],Tabela4[#All],2,0),"CENTRO DE CUSTO")</f>
        <v>CENTRO DE CUSTO</v>
      </c>
      <c r="E652" s="18" t="s">
        <v>17</v>
      </c>
      <c r="F652" s="21">
        <v>43520</v>
      </c>
      <c r="G652" s="22">
        <v>992.34</v>
      </c>
      <c r="H652" s="22">
        <v>9412.58</v>
      </c>
      <c r="I652" s="22">
        <f t="shared" si="11"/>
        <v>10404.92</v>
      </c>
      <c r="J652" s="18" t="s">
        <v>1123</v>
      </c>
      <c r="K652" s="18">
        <v>9786357</v>
      </c>
      <c r="L652" s="18">
        <v>878725</v>
      </c>
      <c r="M652" s="18" t="s">
        <v>2180</v>
      </c>
      <c r="N652" s="16" t="s">
        <v>1594</v>
      </c>
      <c r="O652" s="18" t="s">
        <v>2181</v>
      </c>
      <c r="P652" s="18" t="s">
        <v>2182</v>
      </c>
      <c r="Q652" s="29" t="str" cm="1">
        <f t="array" ref="Q652">_xlfn.IFS(
A652="","",
AND(A652&lt;&gt;"",B652=""),"FALTA LANÇAMENTO",
AND(B652&lt;&gt;"",M652=""),"FALTA O PEDIDO",
AND(M652&lt;&gt;"",O652=""),"FALTA NF",
O652&lt;&gt;"","CONCLUÍDO")</f>
        <v>CONCLUÍDO</v>
      </c>
      <c r="R652" s="36"/>
    </row>
    <row r="653" spans="1:18" hidden="1">
      <c r="A653" s="16">
        <v>46076</v>
      </c>
      <c r="B653" s="16">
        <v>46085</v>
      </c>
      <c r="C653" s="21">
        <v>13130036</v>
      </c>
      <c r="D653" s="16" t="str">
        <f>IFERROR(VLOOKUP(Tabela5[[#This Row],[PREFIXO ]],Tabela4[#All],2,0),"CENTRO DE CUSTO")</f>
        <v>PULV AUTOPROP JOHN DEERE M4030</v>
      </c>
      <c r="E653" s="18" t="s">
        <v>17</v>
      </c>
      <c r="F653" s="21">
        <v>43295</v>
      </c>
      <c r="G653" s="22">
        <v>2444.1999999999998</v>
      </c>
      <c r="H653" s="22">
        <v>1661.8</v>
      </c>
      <c r="I653" s="22">
        <f t="shared" si="11"/>
        <v>4106</v>
      </c>
      <c r="J653" s="18" t="s">
        <v>1265</v>
      </c>
      <c r="K653" s="18">
        <v>9790363</v>
      </c>
      <c r="L653" s="18">
        <v>876748</v>
      </c>
      <c r="M653" s="18" t="s">
        <v>2183</v>
      </c>
      <c r="N653" s="16" t="s">
        <v>1594</v>
      </c>
      <c r="O653" s="18" t="s">
        <v>2184</v>
      </c>
      <c r="P653" s="18" t="s">
        <v>2182</v>
      </c>
      <c r="Q653" s="29" t="str" cm="1">
        <f t="array" ref="Q653">_xlfn.IFS(
A653="","",
AND(A653&lt;&gt;"",B653=""),"FALTA LANÇAMENTO",
AND(B653&lt;&gt;"",M653=""),"FALTA O PEDIDO",
AND(M653&lt;&gt;"",O653=""),"FALTA NF",
O653&lt;&gt;"","CONCLUÍDO")</f>
        <v>CONCLUÍDO</v>
      </c>
      <c r="R653" s="36"/>
    </row>
    <row r="654" spans="1:18" hidden="1">
      <c r="A654" s="16">
        <v>46076</v>
      </c>
      <c r="B654" s="16">
        <v>46085</v>
      </c>
      <c r="C654" s="21">
        <v>51519060</v>
      </c>
      <c r="D654" s="16" t="str">
        <f>IFERROR(VLOOKUP(Tabela5[[#This Row],[PREFIXO ]],Tabela4[#All],2,0),"CENTRO DE CUSTO")</f>
        <v>CENTRO DE CUSTO</v>
      </c>
      <c r="E654" s="18" t="s">
        <v>17</v>
      </c>
      <c r="F654" s="21">
        <v>43350</v>
      </c>
      <c r="G654" s="22">
        <v>594.51</v>
      </c>
      <c r="H654" s="22">
        <v>3382.88</v>
      </c>
      <c r="I654" s="22">
        <f t="shared" si="11"/>
        <v>3977.3900000000003</v>
      </c>
      <c r="J654" s="18" t="s">
        <v>1123</v>
      </c>
      <c r="K654" s="18">
        <v>9786355</v>
      </c>
      <c r="L654" s="18">
        <v>878683</v>
      </c>
      <c r="M654" s="18" t="s">
        <v>2185</v>
      </c>
      <c r="N654" s="16" t="s">
        <v>1594</v>
      </c>
      <c r="O654" s="18" t="s">
        <v>2186</v>
      </c>
      <c r="P654" s="18" t="s">
        <v>2182</v>
      </c>
      <c r="Q654" s="29" t="str" cm="1">
        <f t="array" ref="Q654">_xlfn.IFS(
A654="","",
AND(A654&lt;&gt;"",B654=""),"FALTA LANÇAMENTO",
AND(B654&lt;&gt;"",M654=""),"FALTA O PEDIDO",
AND(M654&lt;&gt;"",O654=""),"FALTA NF",
O654&lt;&gt;"","CONCLUÍDO")</f>
        <v>CONCLUÍDO</v>
      </c>
      <c r="R654" s="36"/>
    </row>
    <row r="655" spans="1:18" hidden="1">
      <c r="A655" s="16">
        <v>46076</v>
      </c>
      <c r="B655" s="16">
        <v>46079</v>
      </c>
      <c r="C655" s="21">
        <v>13130047</v>
      </c>
      <c r="D655" s="16" t="str">
        <f>IFERROR(VLOOKUP(Tabela5[[#This Row],[PREFIXO ]],Tabela4[#All],2,0),"CENTRO DE CUSTO")</f>
        <v>PULV AUTOPROP JOHN DEERE M4030</v>
      </c>
      <c r="E655" s="18" t="s">
        <v>17</v>
      </c>
      <c r="F655" s="21">
        <v>43300</v>
      </c>
      <c r="G655" s="22">
        <v>3122.3</v>
      </c>
      <c r="H655" s="22"/>
      <c r="I655" s="22">
        <f t="shared" si="11"/>
        <v>3122.3</v>
      </c>
      <c r="J655" s="18" t="s">
        <v>1265</v>
      </c>
      <c r="K655" s="18">
        <v>9786554</v>
      </c>
      <c r="L655" s="18">
        <v>874351</v>
      </c>
      <c r="M655" s="18" t="s">
        <v>2187</v>
      </c>
      <c r="N655" s="16" t="s">
        <v>1700</v>
      </c>
      <c r="O655" s="18" t="s">
        <v>2188</v>
      </c>
      <c r="P655" s="18" t="s">
        <v>2120</v>
      </c>
      <c r="Q655" s="29" t="str" cm="1">
        <f t="array" ref="Q655">_xlfn.IFS(
A655="","",
AND(A655&lt;&gt;"",B655=""),"FALTA LANÇAMENTO",
AND(B655&lt;&gt;"",M655=""),"FALTA O PEDIDO",
AND(M655&lt;&gt;"",O655=""),"FALTA NF",
O655&lt;&gt;"","CONCLUÍDO")</f>
        <v>CONCLUÍDO</v>
      </c>
      <c r="R655" s="36"/>
    </row>
    <row r="656" spans="1:18" hidden="1">
      <c r="A656" s="16">
        <v>46076</v>
      </c>
      <c r="B656" s="16">
        <v>46085</v>
      </c>
      <c r="C656" s="21">
        <v>25530058</v>
      </c>
      <c r="D656" s="16" t="str">
        <f>IFERROR(VLOOKUP(Tabela5[[#This Row],[PREFIXO ]],Tabela4[#All],2,0),"CENTRO DE CUSTO")</f>
        <v>PLATAF COLHEITA JOHN DEERE HYDRAFLEX 740</v>
      </c>
      <c r="E656" s="18" t="s">
        <v>17</v>
      </c>
      <c r="F656" s="21">
        <v>43075</v>
      </c>
      <c r="G656" s="22"/>
      <c r="H656" s="22">
        <v>2113.9</v>
      </c>
      <c r="I656" s="22">
        <f t="shared" si="11"/>
        <v>2113.9</v>
      </c>
      <c r="J656" s="18" t="s">
        <v>1123</v>
      </c>
      <c r="K656" s="18">
        <v>9791582</v>
      </c>
      <c r="L656" s="18" t="s">
        <v>1095</v>
      </c>
      <c r="M656" s="18" t="s">
        <v>1095</v>
      </c>
      <c r="N656" s="16" t="s">
        <v>1095</v>
      </c>
      <c r="O656" s="18" t="s">
        <v>1095</v>
      </c>
      <c r="P656" s="18" t="s">
        <v>1095</v>
      </c>
      <c r="Q656" s="29" t="str" cm="1">
        <f t="array" ref="Q656">_xlfn.IFS(
A656="","",
AND(A656&lt;&gt;"",B656=""),"FALTA LANÇAMENTO",
AND(B656&lt;&gt;"",M656=""),"FALTA O PEDIDO",
AND(M656&lt;&gt;"",O656=""),"FALTA NF",
O656&lt;&gt;"","CONCLUÍDO")</f>
        <v>CONCLUÍDO</v>
      </c>
      <c r="R656" s="36"/>
    </row>
    <row r="657" spans="1:18" hidden="1">
      <c r="A657" s="16">
        <v>46076</v>
      </c>
      <c r="B657" s="16">
        <v>46085</v>
      </c>
      <c r="C657" s="21">
        <v>25530043</v>
      </c>
      <c r="D657" s="16" t="str">
        <f>IFERROR(VLOOKUP(Tabela5[[#This Row],[PREFIXO ]],Tabela4[#All],2,0),"CENTRO DE CUSTO")</f>
        <v>PLATAF COLHEITA JOHN DEERE HYDRAFLEX 740</v>
      </c>
      <c r="E657" s="18" t="s">
        <v>17</v>
      </c>
      <c r="F657" s="21">
        <v>43132</v>
      </c>
      <c r="G657" s="22"/>
      <c r="H657" s="22">
        <v>2113.9</v>
      </c>
      <c r="I657" s="22">
        <f t="shared" si="11"/>
        <v>2113.9</v>
      </c>
      <c r="J657" s="18" t="s">
        <v>1123</v>
      </c>
      <c r="K657" s="18">
        <v>9791581</v>
      </c>
      <c r="L657" s="18" t="s">
        <v>1095</v>
      </c>
      <c r="M657" s="18" t="s">
        <v>1095</v>
      </c>
      <c r="N657" s="16" t="s">
        <v>1095</v>
      </c>
      <c r="O657" s="18" t="s">
        <v>1095</v>
      </c>
      <c r="P657" s="18" t="s">
        <v>1095</v>
      </c>
      <c r="Q657" s="29" t="str" cm="1">
        <f t="array" ref="Q657">_xlfn.IFS(
A657="","",
AND(A657&lt;&gt;"",B657=""),"FALTA LANÇAMENTO",
AND(B657&lt;&gt;"",M657=""),"FALTA O PEDIDO",
AND(M657&lt;&gt;"",O657=""),"FALTA NF",
O657&lt;&gt;"","CONCLUÍDO")</f>
        <v>CONCLUÍDO</v>
      </c>
      <c r="R657" s="36"/>
    </row>
    <row r="658" spans="1:18" hidden="1">
      <c r="A658" s="16">
        <v>46076</v>
      </c>
      <c r="B658" s="16">
        <v>46085</v>
      </c>
      <c r="C658" s="21">
        <v>25530043</v>
      </c>
      <c r="D658" s="16" t="str">
        <f>IFERROR(VLOOKUP(Tabela5[[#This Row],[PREFIXO ]],Tabela4[#All],2,0),"CENTRO DE CUSTO")</f>
        <v>PLATAF COLHEITA JOHN DEERE HYDRAFLEX 740</v>
      </c>
      <c r="E658" s="18" t="s">
        <v>17</v>
      </c>
      <c r="F658" s="21">
        <v>42921</v>
      </c>
      <c r="G658" s="22"/>
      <c r="H658" s="22">
        <v>2113.9</v>
      </c>
      <c r="I658" s="22">
        <f t="shared" si="11"/>
        <v>2113.9</v>
      </c>
      <c r="J658" s="18" t="s">
        <v>1123</v>
      </c>
      <c r="K658" s="18">
        <v>9791581</v>
      </c>
      <c r="L658" s="18" t="s">
        <v>1095</v>
      </c>
      <c r="M658" s="18" t="s">
        <v>1095</v>
      </c>
      <c r="N658" s="16" t="s">
        <v>1095</v>
      </c>
      <c r="O658" s="18" t="s">
        <v>1095</v>
      </c>
      <c r="P658" s="18" t="s">
        <v>1095</v>
      </c>
      <c r="Q658" s="29" t="str" cm="1">
        <f t="array" ref="Q658">_xlfn.IFS(
A658="","",
AND(A658&lt;&gt;"",B658=""),"FALTA LANÇAMENTO",
AND(B658&lt;&gt;"",M658=""),"FALTA O PEDIDO",
AND(M658&lt;&gt;"",O658=""),"FALTA NF",
O658&lt;&gt;"","CONCLUÍDO")</f>
        <v>CONCLUÍDO</v>
      </c>
      <c r="R658" s="36"/>
    </row>
    <row r="659" spans="1:18" hidden="1">
      <c r="A659" s="16">
        <v>46076</v>
      </c>
      <c r="B659" s="16">
        <v>46079</v>
      </c>
      <c r="C659" s="21">
        <v>13130047</v>
      </c>
      <c r="D659" s="16" t="str">
        <f>IFERROR(VLOOKUP(Tabela5[[#This Row],[PREFIXO ]],Tabela4[#All],2,0),"CENTRO DE CUSTO")</f>
        <v>PULV AUTOPROP JOHN DEERE M4030</v>
      </c>
      <c r="E659" s="18" t="s">
        <v>17</v>
      </c>
      <c r="F659" s="21">
        <v>43247</v>
      </c>
      <c r="G659" s="22">
        <v>1723.19</v>
      </c>
      <c r="H659" s="22"/>
      <c r="I659" s="22">
        <f t="shared" si="11"/>
        <v>1723.19</v>
      </c>
      <c r="J659" s="18" t="s">
        <v>1265</v>
      </c>
      <c r="K659" s="18">
        <v>9786552</v>
      </c>
      <c r="L659" s="18">
        <v>874351</v>
      </c>
      <c r="M659" s="18" t="s">
        <v>2187</v>
      </c>
      <c r="N659" s="16" t="s">
        <v>1700</v>
      </c>
      <c r="O659" s="18" t="s">
        <v>2188</v>
      </c>
      <c r="P659" s="18" t="s">
        <v>2120</v>
      </c>
      <c r="Q659" s="29" t="str" cm="1">
        <f t="array" ref="Q659">_xlfn.IFS(
A659="","",
AND(A659&lt;&gt;"",B659=""),"FALTA LANÇAMENTO",
AND(B659&lt;&gt;"",M659=""),"FALTA O PEDIDO",
AND(M659&lt;&gt;"",O659=""),"FALTA NF",
O659&lt;&gt;"","CONCLUÍDO")</f>
        <v>CONCLUÍDO</v>
      </c>
      <c r="R659" s="36"/>
    </row>
    <row r="660" spans="1:18" hidden="1">
      <c r="A660" s="16">
        <v>46076</v>
      </c>
      <c r="B660" s="16">
        <v>46080</v>
      </c>
      <c r="C660" s="21">
        <v>13130036</v>
      </c>
      <c r="D660" s="16" t="str">
        <f>IFERROR(VLOOKUP(Tabela5[[#This Row],[PREFIXO ]],Tabela4[#All],2,0),"CENTRO DE CUSTO")</f>
        <v>PULV AUTOPROP JOHN DEERE M4030</v>
      </c>
      <c r="E660" s="18" t="s">
        <v>17</v>
      </c>
      <c r="F660" s="21">
        <v>40768</v>
      </c>
      <c r="G660" s="22"/>
      <c r="H660" s="22">
        <v>461.83</v>
      </c>
      <c r="I660" s="22">
        <f t="shared" si="11"/>
        <v>461.83</v>
      </c>
      <c r="J660" s="18" t="s">
        <v>1265</v>
      </c>
      <c r="K660" s="18" t="s">
        <v>1095</v>
      </c>
      <c r="L660" s="18" t="s">
        <v>1095</v>
      </c>
      <c r="M660" s="18" t="s">
        <v>1095</v>
      </c>
      <c r="N660" s="16" t="s">
        <v>1095</v>
      </c>
      <c r="O660" s="18" t="s">
        <v>1095</v>
      </c>
      <c r="P660" s="18" t="s">
        <v>1095</v>
      </c>
      <c r="Q660" s="29" t="str" cm="1">
        <f t="array" ref="Q660">_xlfn.IFS(
A660="","",
AND(A660&lt;&gt;"",B660=""),"FALTA LANÇAMENTO",
AND(B660&lt;&gt;"",M660=""),"FALTA O PEDIDO",
AND(M660&lt;&gt;"",O660=""),"FALTA NF",
O660&lt;&gt;"","CONCLUÍDO")</f>
        <v>CONCLUÍDO</v>
      </c>
      <c r="R660" s="36"/>
    </row>
    <row r="661" spans="1:18" hidden="1">
      <c r="A661" s="16">
        <v>46076</v>
      </c>
      <c r="B661" s="16">
        <v>46084</v>
      </c>
      <c r="C661" s="21">
        <v>17020053</v>
      </c>
      <c r="D661" s="16" t="str">
        <f>IFERROR(VLOOKUP(Tabela5[[#This Row],[PREFIXO ]],Tabela4[#All],2,0),"CENTRO DE CUSTO")</f>
        <v>SOPRADOR COSTAL STIHL BR800</v>
      </c>
      <c r="E661" s="18" t="s">
        <v>40</v>
      </c>
      <c r="F661" s="21">
        <v>139305</v>
      </c>
      <c r="G661" s="22">
        <v>286</v>
      </c>
      <c r="H661" s="22">
        <v>359.02</v>
      </c>
      <c r="I661" s="22">
        <f t="shared" si="11"/>
        <v>645.02</v>
      </c>
      <c r="J661" s="18" t="s">
        <v>1085</v>
      </c>
      <c r="K661" s="18">
        <v>9790323</v>
      </c>
      <c r="L661" s="18">
        <v>874900</v>
      </c>
      <c r="M661" s="18" t="s">
        <v>2189</v>
      </c>
      <c r="N661" s="16" t="s">
        <v>1700</v>
      </c>
      <c r="O661" s="18" t="s">
        <v>2190</v>
      </c>
      <c r="P661" s="18" t="s">
        <v>1879</v>
      </c>
      <c r="Q661" s="29" t="str" cm="1">
        <f t="array" ref="Q661">_xlfn.IFS(
A661="","",
AND(A661&lt;&gt;"",B661=""),"FALTA LANÇAMENTO",
AND(B661&lt;&gt;"",M661=""),"FALTA O PEDIDO",
AND(M661&lt;&gt;"",O661=""),"FALTA NF",
O661&lt;&gt;"","CONCLUÍDO")</f>
        <v>CONCLUÍDO</v>
      </c>
      <c r="R661" s="36"/>
    </row>
    <row r="662" spans="1:18" hidden="1">
      <c r="A662" s="16">
        <v>46076</v>
      </c>
      <c r="B662" s="16">
        <v>46079</v>
      </c>
      <c r="C662" s="21">
        <v>500580100</v>
      </c>
      <c r="D662" s="16" t="str">
        <f>IFERROR(VLOOKUP(Tabela5[[#This Row],[PREFIXO ]],Tabela4[#All],2,0),"CENTRO DE CUSTO")</f>
        <v>Autopropelidos</v>
      </c>
      <c r="E662" s="18" t="s">
        <v>62</v>
      </c>
      <c r="F662" s="21">
        <v>1117</v>
      </c>
      <c r="G662" s="22">
        <v>2023.5</v>
      </c>
      <c r="H662" s="22"/>
      <c r="I662" s="22">
        <f t="shared" si="11"/>
        <v>2023.5</v>
      </c>
      <c r="J662" s="18" t="s">
        <v>1080</v>
      </c>
      <c r="K662" s="18">
        <v>5019639</v>
      </c>
      <c r="L662" s="18">
        <v>872737</v>
      </c>
      <c r="M662" s="18" t="s">
        <v>2191</v>
      </c>
      <c r="N662" s="16" t="s">
        <v>1700</v>
      </c>
      <c r="O662" s="18" t="s">
        <v>2192</v>
      </c>
      <c r="P662" s="18" t="s">
        <v>2193</v>
      </c>
      <c r="Q662" s="29" t="str" cm="1">
        <f t="array" ref="Q662">_xlfn.IFS(
A662="","",
AND(A662&lt;&gt;"",B662=""),"FALTA LANÇAMENTO",
AND(B662&lt;&gt;"",M662=""),"FALTA O PEDIDO",
AND(M662&lt;&gt;"",O662=""),"FALTA NF",
O662&lt;&gt;"","CONCLUÍDO")</f>
        <v>CONCLUÍDO</v>
      </c>
      <c r="R662" s="36"/>
    </row>
    <row r="663" spans="1:18" hidden="1">
      <c r="A663" s="16">
        <v>46076</v>
      </c>
      <c r="B663" s="16">
        <v>46084</v>
      </c>
      <c r="C663" s="21">
        <v>13150003</v>
      </c>
      <c r="D663" s="16" t="str">
        <f>IFERROR(VLOOKUP(Tabela5[[#This Row],[PREFIXO ]],Tabela4[#All],2,0),"CENTRO DE CUSTO")</f>
        <v>CENTRO DE CUSTO</v>
      </c>
      <c r="E663" s="18" t="s">
        <v>66</v>
      </c>
      <c r="F663" s="21">
        <v>9440</v>
      </c>
      <c r="G663" s="22">
        <v>500</v>
      </c>
      <c r="H663" s="22">
        <v>5711.17</v>
      </c>
      <c r="I663" s="22">
        <f t="shared" si="11"/>
        <v>6211.17</v>
      </c>
      <c r="J663" s="18" t="s">
        <v>1080</v>
      </c>
      <c r="K663" s="18">
        <v>9790328</v>
      </c>
      <c r="L663" s="18">
        <v>876640</v>
      </c>
      <c r="M663" s="18" t="s">
        <v>2194</v>
      </c>
      <c r="N663" s="16" t="s">
        <v>1489</v>
      </c>
      <c r="O663" s="18" t="s">
        <v>2195</v>
      </c>
      <c r="P663" s="18" t="s">
        <v>2196</v>
      </c>
      <c r="Q663" s="29" t="str" cm="1">
        <f t="array" ref="Q663">_xlfn.IFS(
A663="","",
AND(A663&lt;&gt;"",B663=""),"FALTA LANÇAMENTO",
AND(B663&lt;&gt;"",M663=""),"FALTA O PEDIDO",
AND(M663&lt;&gt;"",O663=""),"FALTA NF",
O663&lt;&gt;"","CONCLUÍDO")</f>
        <v>CONCLUÍDO</v>
      </c>
      <c r="R663" s="36"/>
    </row>
    <row r="664" spans="1:18" hidden="1">
      <c r="A664" s="16">
        <v>46076</v>
      </c>
      <c r="B664" s="16">
        <v>46085</v>
      </c>
      <c r="C664" s="21">
        <v>31521019</v>
      </c>
      <c r="D664" s="16" t="str">
        <f>IFERROR(VLOOKUP(Tabela5[[#This Row],[PREFIXO ]],Tabela4[#All],2,0),"CENTRO DE CUSTO")</f>
        <v>PULV AUTOPROP JACTO UNIPORT 3030</v>
      </c>
      <c r="E664" s="18" t="s">
        <v>66</v>
      </c>
      <c r="F664" s="21">
        <v>9441</v>
      </c>
      <c r="G664" s="22">
        <v>450</v>
      </c>
      <c r="H664" s="22">
        <v>2273.81</v>
      </c>
      <c r="I664" s="22">
        <f t="shared" si="11"/>
        <v>2723.81</v>
      </c>
      <c r="J664" s="18" t="s">
        <v>1080</v>
      </c>
      <c r="K664" s="18">
        <v>9790330</v>
      </c>
      <c r="L664" s="18">
        <v>876665</v>
      </c>
      <c r="M664" s="18" t="s">
        <v>2197</v>
      </c>
      <c r="N664" s="16" t="s">
        <v>1594</v>
      </c>
      <c r="O664" s="18" t="s">
        <v>2198</v>
      </c>
      <c r="P664" s="18" t="s">
        <v>2120</v>
      </c>
      <c r="Q664" s="29" t="str" cm="1">
        <f t="array" ref="Q664">_xlfn.IFS(
A664="","",
AND(A664&lt;&gt;"",B664=""),"FALTA LANÇAMENTO",
AND(B664&lt;&gt;"",M664=""),"FALTA O PEDIDO",
AND(M664&lt;&gt;"",O664=""),"FALTA NF",
O664&lt;&gt;"","CONCLUÍDO")</f>
        <v>CONCLUÍDO</v>
      </c>
      <c r="R664" s="36"/>
    </row>
    <row r="665" spans="1:18" hidden="1">
      <c r="A665" s="16">
        <v>46076</v>
      </c>
      <c r="B665" s="16">
        <v>46080</v>
      </c>
      <c r="C665" s="21">
        <v>7157253</v>
      </c>
      <c r="D665" s="16" t="str">
        <f>IFERROR(VLOOKUP(Tabela5[[#This Row],[PREFIXO ]],Tabela4[#All],2,0),"CENTRO DE CUSTO")</f>
        <v>MISTURADOR ALIMENTO TOTAL MIX9000</v>
      </c>
      <c r="E665" s="18" t="s">
        <v>96</v>
      </c>
      <c r="F665" s="21">
        <v>15246</v>
      </c>
      <c r="G665" s="22"/>
      <c r="H665" s="22">
        <v>898.63</v>
      </c>
      <c r="I665" s="22">
        <f t="shared" si="11"/>
        <v>898.63</v>
      </c>
      <c r="J665" s="18" t="s">
        <v>1265</v>
      </c>
      <c r="K665" s="18" t="s">
        <v>1095</v>
      </c>
      <c r="L665" s="18" t="s">
        <v>1095</v>
      </c>
      <c r="M665" s="18" t="s">
        <v>1095</v>
      </c>
      <c r="N665" s="16" t="s">
        <v>1095</v>
      </c>
      <c r="O665" s="18" t="s">
        <v>1095</v>
      </c>
      <c r="P665" s="18" t="s">
        <v>1095</v>
      </c>
      <c r="Q665" s="29" t="str" cm="1">
        <f t="array" ref="Q665">_xlfn.IFS(
A665="","",
AND(A665&lt;&gt;"",B665=""),"FALTA LANÇAMENTO",
AND(B665&lt;&gt;"",M665=""),"FALTA O PEDIDO",
AND(M665&lt;&gt;"",O665=""),"FALTA NF",
O665&lt;&gt;"","CONCLUÍDO")</f>
        <v>CONCLUÍDO</v>
      </c>
      <c r="R665" s="36"/>
    </row>
    <row r="666" spans="1:18" hidden="1">
      <c r="A666" s="16">
        <v>46076</v>
      </c>
      <c r="B666" s="16">
        <v>46080</v>
      </c>
      <c r="C666" s="21">
        <v>7157253</v>
      </c>
      <c r="D666" s="16" t="str">
        <f>IFERROR(VLOOKUP(Tabela5[[#This Row],[PREFIXO ]],Tabela4[#All],2,0),"CENTRO DE CUSTO")</f>
        <v>MISTURADOR ALIMENTO TOTAL MIX9000</v>
      </c>
      <c r="E666" s="18" t="s">
        <v>96</v>
      </c>
      <c r="F666" s="21">
        <v>4078</v>
      </c>
      <c r="G666" s="22">
        <v>450</v>
      </c>
      <c r="H666" s="22"/>
      <c r="I666" s="22">
        <f t="shared" si="11"/>
        <v>450</v>
      </c>
      <c r="J666" s="18" t="s">
        <v>1265</v>
      </c>
      <c r="K666" s="18" t="s">
        <v>1095</v>
      </c>
      <c r="L666" s="18" t="s">
        <v>1095</v>
      </c>
      <c r="M666" s="18" t="s">
        <v>1095</v>
      </c>
      <c r="N666" s="16" t="s">
        <v>1095</v>
      </c>
      <c r="O666" s="18" t="s">
        <v>1095</v>
      </c>
      <c r="P666" s="18" t="s">
        <v>1095</v>
      </c>
      <c r="Q666" s="29" t="str" cm="1">
        <f t="array" ref="Q666">_xlfn.IFS(
A666="","",
AND(A666&lt;&gt;"",B666=""),"FALTA LANÇAMENTO",
AND(B666&lt;&gt;"",M666=""),"FALTA O PEDIDO",
AND(M666&lt;&gt;"",O666=""),"FALTA NF",
O666&lt;&gt;"","CONCLUÍDO")</f>
        <v>CONCLUÍDO</v>
      </c>
      <c r="R666" s="36"/>
    </row>
    <row r="667" spans="1:18" hidden="1">
      <c r="A667" s="16">
        <v>46076</v>
      </c>
      <c r="B667" s="16">
        <v>46091</v>
      </c>
      <c r="C667" s="21">
        <v>1173008</v>
      </c>
      <c r="D667" s="16" t="str">
        <f>IFERROR(VLOOKUP(Tabela5[[#This Row],[PREFIXO ]],Tabela4[#All],2,0),"CENTRO DE CUSTO")</f>
        <v>TRAT PN LEVE M FERGUSON MF 290</v>
      </c>
      <c r="E667" s="18" t="s">
        <v>79</v>
      </c>
      <c r="F667" s="21">
        <v>256</v>
      </c>
      <c r="G667" s="22">
        <v>2740</v>
      </c>
      <c r="H667" s="22"/>
      <c r="I667" s="22">
        <f t="shared" si="11"/>
        <v>2740</v>
      </c>
      <c r="J667" s="18" t="s">
        <v>1199</v>
      </c>
      <c r="K667" s="18">
        <v>9796141</v>
      </c>
      <c r="L667" s="18">
        <v>880134</v>
      </c>
      <c r="M667" s="18" t="s">
        <v>2199</v>
      </c>
      <c r="N667" s="16" t="s">
        <v>2200</v>
      </c>
      <c r="O667" s="18" t="s">
        <v>1334</v>
      </c>
      <c r="P667" s="18" t="s">
        <v>2201</v>
      </c>
      <c r="Q667" s="29" t="str" cm="1">
        <f t="array" ref="Q667">_xlfn.IFS(
A667="","",
AND(A667&lt;&gt;"",B667=""),"FALTA LANÇAMENTO",
AND(B667&lt;&gt;"",M667=""),"FALTA O PEDIDO",
AND(M667&lt;&gt;"",O667=""),"FALTA NF",
O667&lt;&gt;"","CONCLUÍDO")</f>
        <v>CONCLUÍDO</v>
      </c>
      <c r="R667" s="36"/>
    </row>
    <row r="668" spans="1:18" hidden="1">
      <c r="A668" s="16">
        <v>46076</v>
      </c>
      <c r="B668" s="16">
        <v>46091</v>
      </c>
      <c r="C668" s="21">
        <v>1173005</v>
      </c>
      <c r="D668" s="16" t="str">
        <f>IFERROR(VLOOKUP(Tabela5[[#This Row],[PREFIXO ]],Tabela4[#All],2,0),"CENTRO DE CUSTO")</f>
        <v>TRAT PN LEVE M FERGUSON MF 275</v>
      </c>
      <c r="E668" s="18" t="s">
        <v>79</v>
      </c>
      <c r="F668" s="21">
        <v>255</v>
      </c>
      <c r="G668" s="22">
        <v>2500</v>
      </c>
      <c r="H668" s="22"/>
      <c r="I668" s="22">
        <f t="shared" si="11"/>
        <v>2500</v>
      </c>
      <c r="J668" s="18" t="s">
        <v>1199</v>
      </c>
      <c r="K668" s="18">
        <v>9787842</v>
      </c>
      <c r="L668" s="18">
        <v>880134</v>
      </c>
      <c r="M668" s="18" t="s">
        <v>2199</v>
      </c>
      <c r="N668" s="16" t="s">
        <v>2200</v>
      </c>
      <c r="O668" s="18" t="s">
        <v>1334</v>
      </c>
      <c r="P668" s="18" t="s">
        <v>2201</v>
      </c>
      <c r="Q668" s="29" t="str" cm="1">
        <f t="array" ref="Q668">_xlfn.IFS(
A668="","",
AND(A668&lt;&gt;"",B668=""),"FALTA LANÇAMENTO",
AND(B668&lt;&gt;"",M668=""),"FALTA O PEDIDO",
AND(M668&lt;&gt;"",O668=""),"FALTA NF",
O668&lt;&gt;"","CONCLUÍDO")</f>
        <v>CONCLUÍDO</v>
      </c>
      <c r="R668" s="36"/>
    </row>
    <row r="669" spans="1:18" hidden="1">
      <c r="A669" s="16">
        <v>46076</v>
      </c>
      <c r="B669" s="16">
        <v>46091</v>
      </c>
      <c r="C669" s="21">
        <v>1173023</v>
      </c>
      <c r="D669" s="16" t="str">
        <f>IFERROR(VLOOKUP(Tabela5[[#This Row],[PREFIXO ]],Tabela4[#All],2,0),"CENTRO DE CUSTO")</f>
        <v>TRAT PN MED N.HOLLAND 7630</v>
      </c>
      <c r="E669" s="18" t="s">
        <v>79</v>
      </c>
      <c r="F669" s="21">
        <v>257</v>
      </c>
      <c r="G669" s="22">
        <v>2280</v>
      </c>
      <c r="H669" s="22"/>
      <c r="I669" s="22">
        <f t="shared" si="11"/>
        <v>2280</v>
      </c>
      <c r="J669" s="18" t="s">
        <v>1199</v>
      </c>
      <c r="K669" s="18">
        <v>9787841</v>
      </c>
      <c r="L669" s="18">
        <v>880134</v>
      </c>
      <c r="M669" s="18" t="s">
        <v>2199</v>
      </c>
      <c r="N669" s="16" t="s">
        <v>2200</v>
      </c>
      <c r="O669" s="18" t="s">
        <v>1334</v>
      </c>
      <c r="P669" s="18" t="s">
        <v>2201</v>
      </c>
      <c r="Q669" s="29" t="str" cm="1">
        <f t="array" ref="Q669">_xlfn.IFS(
A669="","",
AND(A669&lt;&gt;"",B669=""),"FALTA LANÇAMENTO",
AND(B669&lt;&gt;"",M669=""),"FALTA O PEDIDO",
AND(M669&lt;&gt;"",O669=""),"FALTA NF",
O669&lt;&gt;"","CONCLUÍDO")</f>
        <v>CONCLUÍDO</v>
      </c>
      <c r="R669" s="36"/>
    </row>
    <row r="670" spans="1:18" hidden="1">
      <c r="A670" s="16">
        <v>46076</v>
      </c>
      <c r="B670" s="16">
        <v>46079</v>
      </c>
      <c r="C670" s="21">
        <v>13130047</v>
      </c>
      <c r="D670" s="16" t="str">
        <f>IFERROR(VLOOKUP(Tabela5[[#This Row],[PREFIXO ]],Tabela4[#All],2,0),"CENTRO DE CUSTO")</f>
        <v>PULV AUTOPROP JOHN DEERE M4030</v>
      </c>
      <c r="E670" s="18" t="s">
        <v>357</v>
      </c>
      <c r="F670" s="21">
        <v>6043</v>
      </c>
      <c r="G670" s="22">
        <v>6500</v>
      </c>
      <c r="H670" s="22"/>
      <c r="I670" s="22">
        <f t="shared" si="11"/>
        <v>6500</v>
      </c>
      <c r="J670" s="18" t="s">
        <v>1265</v>
      </c>
      <c r="K670" s="18">
        <v>9786557</v>
      </c>
      <c r="L670" s="18">
        <v>874297</v>
      </c>
      <c r="M670" s="18" t="s">
        <v>2202</v>
      </c>
      <c r="N670" s="16" t="s">
        <v>2174</v>
      </c>
      <c r="O670" s="18" t="s">
        <v>2203</v>
      </c>
      <c r="P670" s="18" t="s">
        <v>1501</v>
      </c>
      <c r="Q670" s="29" t="str" cm="1">
        <f t="array" ref="Q670">_xlfn.IFS(
A670="","",
AND(A670&lt;&gt;"",B670=""),"FALTA LANÇAMENTO",
AND(B670&lt;&gt;"",M670=""),"FALTA O PEDIDO",
AND(M670&lt;&gt;"",O670=""),"FALTA NF",
O670&lt;&gt;"","CONCLUÍDO")</f>
        <v>CONCLUÍDO</v>
      </c>
      <c r="R670" s="36"/>
    </row>
    <row r="671" spans="1:18" hidden="1">
      <c r="A671" s="16">
        <v>46076</v>
      </c>
      <c r="B671" s="16">
        <v>46079</v>
      </c>
      <c r="C671" s="21">
        <v>81521309</v>
      </c>
      <c r="D671" s="16" t="str">
        <f>IFERROR(VLOOKUP(Tabela5[[#This Row],[PREFIXO ]],Tabela4[#All],2,0),"CENTRO DE CUSTO")</f>
        <v>DISTRIBUIDOR ADUBO JACTO TELLUS 10.000</v>
      </c>
      <c r="E671" s="18" t="s">
        <v>179</v>
      </c>
      <c r="F671" s="21">
        <v>2373</v>
      </c>
      <c r="G671" s="22">
        <v>900</v>
      </c>
      <c r="H671" s="22">
        <v>4185.42</v>
      </c>
      <c r="I671" s="22">
        <f t="shared" si="11"/>
        <v>5085.42</v>
      </c>
      <c r="J671" s="18" t="s">
        <v>1199</v>
      </c>
      <c r="K671" s="18">
        <v>9786559</v>
      </c>
      <c r="L671" s="18">
        <v>874323</v>
      </c>
      <c r="M671" s="18" t="s">
        <v>2204</v>
      </c>
      <c r="N671" s="16" t="s">
        <v>2174</v>
      </c>
      <c r="O671" s="18" t="s">
        <v>2205</v>
      </c>
      <c r="P671" s="18" t="s">
        <v>1941</v>
      </c>
      <c r="Q671" s="29" t="str" cm="1">
        <f t="array" ref="Q671">_xlfn.IFS(
A671="","",
AND(A671&lt;&gt;"",B671=""),"FALTA LANÇAMENTO",
AND(B671&lt;&gt;"",M671=""),"FALTA O PEDIDO",
AND(M671&lt;&gt;"",O671=""),"FALTA NF",
O671&lt;&gt;"","CONCLUÍDO")</f>
        <v>CONCLUÍDO</v>
      </c>
      <c r="R671" s="36"/>
    </row>
    <row r="672" spans="1:18" hidden="1">
      <c r="A672" s="16">
        <v>46076</v>
      </c>
      <c r="B672" s="16">
        <v>46085</v>
      </c>
      <c r="C672" s="21">
        <v>16170016</v>
      </c>
      <c r="D672" s="16" t="str">
        <f>IFERROR(VLOOKUP(Tabela5[[#This Row],[PREFIXO ]],Tabela4[#All],2,0),"CENTRO DE CUSTO")</f>
        <v>CENTRO DE CUSTO</v>
      </c>
      <c r="E672" s="18" t="s">
        <v>71</v>
      </c>
      <c r="F672" s="21">
        <v>7712</v>
      </c>
      <c r="G672" s="22">
        <v>280</v>
      </c>
      <c r="H672" s="22">
        <v>1530</v>
      </c>
      <c r="I672" s="22">
        <f t="shared" si="11"/>
        <v>1810</v>
      </c>
      <c r="J672" s="18" t="s">
        <v>1085</v>
      </c>
      <c r="K672" s="18">
        <v>9790378</v>
      </c>
      <c r="L672" s="18">
        <v>876760</v>
      </c>
      <c r="M672" s="18" t="s">
        <v>2206</v>
      </c>
      <c r="N672" s="16" t="s">
        <v>1594</v>
      </c>
      <c r="O672" s="18" t="s">
        <v>2207</v>
      </c>
      <c r="P672" s="18" t="s">
        <v>2208</v>
      </c>
      <c r="Q672" s="29" t="str" cm="1">
        <f t="array" ref="Q672">_xlfn.IFS(
A672="","",
AND(A672&lt;&gt;"",B672=""),"FALTA LANÇAMENTO",
AND(B672&lt;&gt;"",M672=""),"FALTA O PEDIDO",
AND(M672&lt;&gt;"",O672=""),"FALTA NF",
O672&lt;&gt;"","CONCLUÍDO")</f>
        <v>CONCLUÍDO</v>
      </c>
      <c r="R672" s="36"/>
    </row>
    <row r="673" spans="1:18" hidden="1">
      <c r="A673" s="16">
        <v>46076</v>
      </c>
      <c r="B673" s="16">
        <v>46085</v>
      </c>
      <c r="C673" s="21">
        <v>61521012</v>
      </c>
      <c r="D673" s="16" t="str">
        <f>IFERROR(VLOOKUP(Tabela5[[#This Row],[PREFIXO ]],Tabela4[#All],2,0),"CENTRO DE CUSTO")</f>
        <v>CAM COMBOIO MERC BENZ ATRON 2729</v>
      </c>
      <c r="E673" s="18" t="s">
        <v>71</v>
      </c>
      <c r="F673" s="21">
        <v>7715</v>
      </c>
      <c r="G673" s="22">
        <v>280</v>
      </c>
      <c r="H673" s="22">
        <v>441.64</v>
      </c>
      <c r="I673" s="22">
        <f t="shared" si="11"/>
        <v>721.64</v>
      </c>
      <c r="J673" s="18" t="s">
        <v>1085</v>
      </c>
      <c r="K673" s="18">
        <v>9790365</v>
      </c>
      <c r="L673" s="18">
        <v>876751</v>
      </c>
      <c r="M673" s="18" t="s">
        <v>2209</v>
      </c>
      <c r="N673" s="16" t="s">
        <v>2193</v>
      </c>
      <c r="O673" s="18" t="s">
        <v>2210</v>
      </c>
      <c r="P673" s="18" t="s">
        <v>2208</v>
      </c>
      <c r="Q673" s="29" t="str" cm="1">
        <f t="array" ref="Q673">_xlfn.IFS(
A673="","",
AND(A673&lt;&gt;"",B673=""),"FALTA LANÇAMENTO",
AND(B673&lt;&gt;"",M673=""),"FALTA O PEDIDO",
AND(M673&lt;&gt;"",O673=""),"FALTA NF",
O673&lt;&gt;"","CONCLUÍDO")</f>
        <v>CONCLUÍDO</v>
      </c>
      <c r="R673" s="36"/>
    </row>
    <row r="674" spans="1:18" hidden="1">
      <c r="A674" s="16">
        <v>46076</v>
      </c>
      <c r="B674" s="16">
        <v>46098</v>
      </c>
      <c r="C674" s="21">
        <v>11521004</v>
      </c>
      <c r="D674" s="16" t="str">
        <f>IFERROR(VLOOKUP(Tabela5[[#This Row],[PREFIXO ]],Tabela4[#All],2,0),"CENTRO DE CUSTO")</f>
        <v>TRAT PN EXT PES CASE STEIGER 620</v>
      </c>
      <c r="E674" s="18" t="s">
        <v>71</v>
      </c>
      <c r="F674" s="21">
        <v>7719</v>
      </c>
      <c r="G674" s="22">
        <v>120</v>
      </c>
      <c r="H674" s="22">
        <v>325.41000000000003</v>
      </c>
      <c r="I674" s="22">
        <f t="shared" si="11"/>
        <v>445.41</v>
      </c>
      <c r="J674" s="18" t="s">
        <v>1199</v>
      </c>
      <c r="K674" s="18">
        <v>9802142</v>
      </c>
      <c r="L674" s="18">
        <v>876770</v>
      </c>
      <c r="M674" s="18" t="s">
        <v>2211</v>
      </c>
      <c r="N674" s="16" t="s">
        <v>2201</v>
      </c>
      <c r="O674" s="18" t="s">
        <v>2212</v>
      </c>
      <c r="P674" s="18" t="s">
        <v>2213</v>
      </c>
      <c r="Q674" s="29" t="str" cm="1">
        <f t="array" ref="Q674">_xlfn.IFS(
A674="","",
AND(A674&lt;&gt;"",B674=""),"FALTA LANÇAMENTO",
AND(B674&lt;&gt;"",M674=""),"FALTA O PEDIDO",
AND(M674&lt;&gt;"",O674=""),"FALTA NF",
O674&lt;&gt;"","CONCLUÍDO")</f>
        <v>CONCLUÍDO</v>
      </c>
      <c r="R674" s="36"/>
    </row>
    <row r="675" spans="1:18" hidden="1">
      <c r="A675" s="16">
        <v>46076</v>
      </c>
      <c r="B675" s="16">
        <v>46085</v>
      </c>
      <c r="C675" s="21">
        <v>500580263</v>
      </c>
      <c r="D675" s="16" t="str">
        <f>IFERROR(VLOOKUP(Tabela5[[#This Row],[PREFIXO ]],Tabela4[#All],2,0),"CENTRO DE CUSTO")</f>
        <v>Colheit. Grãos-Axial</v>
      </c>
      <c r="E675" s="18" t="s">
        <v>218</v>
      </c>
      <c r="F675" s="21">
        <v>26484</v>
      </c>
      <c r="G675" s="22">
        <v>15200</v>
      </c>
      <c r="H675" s="22">
        <v>20590.02</v>
      </c>
      <c r="I675" s="22">
        <f t="shared" si="11"/>
        <v>35790.020000000004</v>
      </c>
      <c r="J675" s="18" t="s">
        <v>1123</v>
      </c>
      <c r="K675" s="18">
        <v>5019780</v>
      </c>
      <c r="L675" s="18">
        <v>876786</v>
      </c>
      <c r="M675" s="18" t="s">
        <v>2214</v>
      </c>
      <c r="N675" s="16" t="s">
        <v>1594</v>
      </c>
      <c r="O675" s="18" t="s">
        <v>2215</v>
      </c>
      <c r="P675" s="18" t="s">
        <v>2216</v>
      </c>
      <c r="Q675" s="29" t="str" cm="1">
        <f t="array" ref="Q675">_xlfn.IFS(
A675="","",
AND(A675&lt;&gt;"",B675=""),"FALTA LANÇAMENTO",
AND(B675&lt;&gt;"",M675=""),"FALTA O PEDIDO",
AND(M675&lt;&gt;"",O675=""),"FALTA NF",
O675&lt;&gt;"","CONCLUÍDO")</f>
        <v>CONCLUÍDO</v>
      </c>
      <c r="R675" s="36"/>
    </row>
    <row r="676" spans="1:18" hidden="1">
      <c r="A676" s="16">
        <v>46076</v>
      </c>
      <c r="B676" s="16">
        <v>46085</v>
      </c>
      <c r="C676" s="21">
        <v>5019782</v>
      </c>
      <c r="D676" s="16" t="str">
        <f>IFERROR(VLOOKUP(Tabela5[[#This Row],[PREFIXO ]],Tabela4[#All],2,0),"CENTRO DE CUSTO")</f>
        <v>CENTRO DE CUSTO</v>
      </c>
      <c r="E676" s="18" t="s">
        <v>218</v>
      </c>
      <c r="F676" s="21">
        <v>26508</v>
      </c>
      <c r="G676" s="22">
        <v>11955</v>
      </c>
      <c r="H676" s="22">
        <v>12108.62</v>
      </c>
      <c r="I676" s="22">
        <f t="shared" si="11"/>
        <v>24063.620000000003</v>
      </c>
      <c r="J676" s="18" t="s">
        <v>1123</v>
      </c>
      <c r="K676" s="18">
        <v>5019782</v>
      </c>
      <c r="L676" s="18">
        <v>878570</v>
      </c>
      <c r="M676" s="18" t="s">
        <v>2217</v>
      </c>
      <c r="N676" s="16" t="s">
        <v>2007</v>
      </c>
      <c r="O676" s="18" t="s">
        <v>2218</v>
      </c>
      <c r="P676" s="18" t="s">
        <v>2219</v>
      </c>
      <c r="Q676" s="29" t="str" cm="1">
        <f t="array" ref="Q676">_xlfn.IFS(
A676="","",
AND(A676&lt;&gt;"",B676=""),"FALTA LANÇAMENTO",
AND(B676&lt;&gt;"",M676=""),"FALTA O PEDIDO",
AND(M676&lt;&gt;"",O676=""),"FALTA NF",
O676&lt;&gt;"","CONCLUÍDO")</f>
        <v>CONCLUÍDO</v>
      </c>
      <c r="R676" s="36"/>
    </row>
    <row r="677" spans="1:18" hidden="1">
      <c r="A677" s="16">
        <v>46076</v>
      </c>
      <c r="B677" s="16">
        <v>46085</v>
      </c>
      <c r="C677" s="21">
        <v>500580263</v>
      </c>
      <c r="D677" s="16" t="str">
        <f>IFERROR(VLOOKUP(Tabela5[[#This Row],[PREFIXO ]],Tabela4[#All],2,0),"CENTRO DE CUSTO")</f>
        <v>Colheit. Grãos-Axial</v>
      </c>
      <c r="E677" s="18" t="s">
        <v>218</v>
      </c>
      <c r="F677" s="21">
        <v>26471</v>
      </c>
      <c r="G677" s="22">
        <v>11125</v>
      </c>
      <c r="H677" s="22">
        <v>7230.91</v>
      </c>
      <c r="I677" s="22">
        <f t="shared" si="11"/>
        <v>18355.91</v>
      </c>
      <c r="J677" s="18" t="s">
        <v>1123</v>
      </c>
      <c r="K677" s="18">
        <v>5019781</v>
      </c>
      <c r="L677" s="18">
        <v>878504</v>
      </c>
      <c r="M677" s="18" t="s">
        <v>2220</v>
      </c>
      <c r="N677" s="16" t="s">
        <v>1594</v>
      </c>
      <c r="O677" s="18" t="s">
        <v>2221</v>
      </c>
      <c r="P677" s="18" t="s">
        <v>2120</v>
      </c>
      <c r="Q677" s="29" t="str" cm="1">
        <f t="array" ref="Q677">_xlfn.IFS(
A677="","",
AND(A677&lt;&gt;"",B677=""),"FALTA LANÇAMENTO",
AND(B677&lt;&gt;"",M677=""),"FALTA O PEDIDO",
AND(M677&lt;&gt;"",O677=""),"FALTA NF",
O677&lt;&gt;"","CONCLUÍDO")</f>
        <v>CONCLUÍDO</v>
      </c>
      <c r="R677" s="36"/>
    </row>
    <row r="678" spans="1:18" hidden="1">
      <c r="A678" s="16">
        <v>46076</v>
      </c>
      <c r="B678" s="16">
        <v>46079</v>
      </c>
      <c r="C678" s="21">
        <v>500580263</v>
      </c>
      <c r="D678" s="16" t="str">
        <f>IFERROR(VLOOKUP(Tabela5[[#This Row],[PREFIXO ]],Tabela4[#All],2,0),"CENTRO DE CUSTO")</f>
        <v>Colheit. Grãos-Axial</v>
      </c>
      <c r="E678" s="18" t="s">
        <v>218</v>
      </c>
      <c r="F678" s="21">
        <v>26510</v>
      </c>
      <c r="G678" s="22">
        <v>4193</v>
      </c>
      <c r="H678" s="22"/>
      <c r="I678" s="22">
        <f t="shared" si="11"/>
        <v>4193</v>
      </c>
      <c r="J678" s="18" t="s">
        <v>1123</v>
      </c>
      <c r="K678" s="18">
        <v>5019700</v>
      </c>
      <c r="L678" s="18">
        <v>874275</v>
      </c>
      <c r="M678" s="18" t="s">
        <v>2222</v>
      </c>
      <c r="N678" s="16" t="s">
        <v>2174</v>
      </c>
      <c r="O678" s="18" t="s">
        <v>2223</v>
      </c>
      <c r="P678" s="18" t="s">
        <v>2224</v>
      </c>
      <c r="Q678" s="29" t="str" cm="1">
        <f t="array" ref="Q678">_xlfn.IFS(
A678="","",
AND(A678&lt;&gt;"",B678=""),"FALTA LANÇAMENTO",
AND(B678&lt;&gt;"",M678=""),"FALTA O PEDIDO",
AND(M678&lt;&gt;"",O678=""),"FALTA NF",
O678&lt;&gt;"","CONCLUÍDO")</f>
        <v>CONCLUÍDO</v>
      </c>
      <c r="R678" s="36"/>
    </row>
    <row r="679" spans="1:18" hidden="1">
      <c r="A679" s="16">
        <v>46076</v>
      </c>
      <c r="B679" s="16">
        <v>46079</v>
      </c>
      <c r="C679" s="21">
        <v>500580263</v>
      </c>
      <c r="D679" s="16" t="str">
        <f>IFERROR(VLOOKUP(Tabela5[[#This Row],[PREFIXO ]],Tabela4[#All],2,0),"CENTRO DE CUSTO")</f>
        <v>Colheit. Grãos-Axial</v>
      </c>
      <c r="E679" s="18" t="s">
        <v>218</v>
      </c>
      <c r="F679" s="21">
        <v>26509</v>
      </c>
      <c r="G679" s="22">
        <v>2945</v>
      </c>
      <c r="H679" s="22"/>
      <c r="I679" s="22">
        <f t="shared" si="11"/>
        <v>2945</v>
      </c>
      <c r="J679" s="18" t="s">
        <v>1123</v>
      </c>
      <c r="K679" s="18">
        <v>5019701</v>
      </c>
      <c r="L679" s="18">
        <v>874275</v>
      </c>
      <c r="M679" s="18" t="s">
        <v>2222</v>
      </c>
      <c r="N679" s="16" t="s">
        <v>2174</v>
      </c>
      <c r="O679" s="18" t="s">
        <v>2223</v>
      </c>
      <c r="P679" s="18" t="s">
        <v>2224</v>
      </c>
      <c r="Q679" s="29" t="str" cm="1">
        <f t="array" ref="Q679">_xlfn.IFS(
A679="","",
AND(A679&lt;&gt;"",B679=""),"FALTA LANÇAMENTO",
AND(B679&lt;&gt;"",M679=""),"FALTA O PEDIDO",
AND(M679&lt;&gt;"",O679=""),"FALTA NF",
O679&lt;&gt;"","CONCLUÍDO")</f>
        <v>CONCLUÍDO</v>
      </c>
      <c r="R679" s="36"/>
    </row>
    <row r="680" spans="1:18" hidden="1">
      <c r="A680" s="16">
        <v>46076</v>
      </c>
      <c r="B680" s="16">
        <v>46079</v>
      </c>
      <c r="C680" s="21">
        <v>51519028</v>
      </c>
      <c r="D680" s="16" t="str">
        <f>IFERROR(VLOOKUP(Tabela5[[#This Row],[PREFIXO ]],Tabela4[#All],2,0),"CENTRO DE CUSTO")</f>
        <v>COLHEIT DE GRÃOS N.HOLLAND CR 8.90</v>
      </c>
      <c r="E680" s="18" t="s">
        <v>218</v>
      </c>
      <c r="F680" s="21">
        <v>26503</v>
      </c>
      <c r="G680" s="22">
        <v>2556</v>
      </c>
      <c r="H680" s="22"/>
      <c r="I680" s="22">
        <f t="shared" si="11"/>
        <v>2556</v>
      </c>
      <c r="J680" s="18" t="s">
        <v>1123</v>
      </c>
      <c r="K680" s="18">
        <v>9786556</v>
      </c>
      <c r="L680" s="18">
        <v>874275</v>
      </c>
      <c r="M680" s="18" t="s">
        <v>2222</v>
      </c>
      <c r="N680" s="16" t="s">
        <v>2174</v>
      </c>
      <c r="O680" s="18" t="s">
        <v>2223</v>
      </c>
      <c r="P680" s="18" t="s">
        <v>2224</v>
      </c>
      <c r="Q680" s="29" t="str" cm="1">
        <f t="array" ref="Q680">_xlfn.IFS(
A680="","",
AND(A680&lt;&gt;"",B680=""),"FALTA LANÇAMENTO",
AND(B680&lt;&gt;"",M680=""),"FALTA O PEDIDO",
AND(M680&lt;&gt;"",O680=""),"FALTA NF",
O680&lt;&gt;"","CONCLUÍDO")</f>
        <v>CONCLUÍDO</v>
      </c>
      <c r="R680" s="36"/>
    </row>
    <row r="681" spans="1:18" hidden="1">
      <c r="A681" s="16">
        <v>46076</v>
      </c>
      <c r="B681" s="16">
        <v>46079</v>
      </c>
      <c r="C681" s="21">
        <v>51521108</v>
      </c>
      <c r="D681" s="16" t="str">
        <f>IFERROR(VLOOKUP(Tabela5[[#This Row],[PREFIXO ]],Tabela4[#All],2,0),"CENTRO DE CUSTO")</f>
        <v>COLHEIT DE GRÃOS N.HOLLAND CR 8.90</v>
      </c>
      <c r="E681" s="18" t="s">
        <v>218</v>
      </c>
      <c r="F681" s="21">
        <v>26504</v>
      </c>
      <c r="G681" s="22">
        <v>1448</v>
      </c>
      <c r="H681" s="22"/>
      <c r="I681" s="22">
        <f t="shared" si="11"/>
        <v>1448</v>
      </c>
      <c r="J681" s="18" t="s">
        <v>1123</v>
      </c>
      <c r="K681" s="18">
        <v>9786555</v>
      </c>
      <c r="L681" s="18">
        <v>26510</v>
      </c>
      <c r="M681" s="18" t="s">
        <v>1095</v>
      </c>
      <c r="N681" s="16" t="s">
        <v>1095</v>
      </c>
      <c r="O681" s="18" t="s">
        <v>1095</v>
      </c>
      <c r="P681" s="18" t="s">
        <v>1095</v>
      </c>
      <c r="Q681" s="29" t="str" cm="1">
        <f t="array" ref="Q681">_xlfn.IFS(
A681="","",
AND(A681&lt;&gt;"",B681=""),"FALTA LANÇAMENTO",
AND(B681&lt;&gt;"",M681=""),"FALTA O PEDIDO",
AND(M681&lt;&gt;"",O681=""),"FALTA NF",
O681&lt;&gt;"","CONCLUÍDO")</f>
        <v>CONCLUÍDO</v>
      </c>
      <c r="R681" s="36"/>
    </row>
    <row r="682" spans="1:18" hidden="1">
      <c r="A682" s="16">
        <v>46076</v>
      </c>
      <c r="B682" s="16">
        <v>46079</v>
      </c>
      <c r="C682" s="21">
        <v>500580579</v>
      </c>
      <c r="D682" s="16" t="str">
        <f>IFERROR(VLOOKUP(Tabela5[[#This Row],[PREFIXO ]],Tabela4[#All],2,0),"CENTRO DE CUSTO")</f>
        <v>Pátio de Vendas</v>
      </c>
      <c r="E682" s="18" t="s">
        <v>224</v>
      </c>
      <c r="F682" s="21">
        <v>2558</v>
      </c>
      <c r="G682" s="22">
        <v>1950</v>
      </c>
      <c r="H682" s="22"/>
      <c r="I682" s="22">
        <f t="shared" si="11"/>
        <v>1950</v>
      </c>
      <c r="J682" s="18" t="s">
        <v>1265</v>
      </c>
      <c r="K682" s="18">
        <v>5019637</v>
      </c>
      <c r="L682" s="18" t="s">
        <v>1095</v>
      </c>
      <c r="M682" s="18" t="s">
        <v>1095</v>
      </c>
      <c r="N682" s="16" t="s">
        <v>1095</v>
      </c>
      <c r="O682" s="18" t="s">
        <v>1095</v>
      </c>
      <c r="P682" s="18" t="s">
        <v>1095</v>
      </c>
      <c r="Q682" s="29" t="str" cm="1">
        <f t="array" ref="Q682">_xlfn.IFS(
A682="","",
AND(A682&lt;&gt;"",B682=""),"FALTA LANÇAMENTO",
AND(B682&lt;&gt;"",M682=""),"FALTA O PEDIDO",
AND(M682&lt;&gt;"",O682=""),"FALTA NF",
O682&lt;&gt;"","CONCLUÍDO")</f>
        <v>CONCLUÍDO</v>
      </c>
      <c r="R682" s="36"/>
    </row>
    <row r="683" spans="1:18" hidden="1">
      <c r="A683" s="16">
        <v>46076</v>
      </c>
      <c r="B683" s="16">
        <v>46100</v>
      </c>
      <c r="C683" s="21">
        <v>1173013</v>
      </c>
      <c r="D683" s="16" t="str">
        <f>IFERROR(VLOOKUP(Tabela5[[#This Row],[PREFIXO ]],Tabela4[#All],2,0),"CENTRO DE CUSTO")</f>
        <v>TRAT PN MED N.HOLLAND 7630</v>
      </c>
      <c r="E683" s="18" t="s">
        <v>347</v>
      </c>
      <c r="F683" s="21">
        <v>924</v>
      </c>
      <c r="G683" s="22">
        <v>20033</v>
      </c>
      <c r="H683" s="22">
        <v>23427.08</v>
      </c>
      <c r="I683" s="22">
        <f t="shared" si="11"/>
        <v>43460.08</v>
      </c>
      <c r="J683" s="18" t="s">
        <v>1199</v>
      </c>
      <c r="K683" s="18"/>
      <c r="L683" s="18">
        <v>889650</v>
      </c>
      <c r="M683" s="18" t="s">
        <v>2225</v>
      </c>
      <c r="N683" s="16" t="s">
        <v>2007</v>
      </c>
      <c r="O683" s="18" t="s">
        <v>2226</v>
      </c>
      <c r="P683" s="18" t="s">
        <v>2227</v>
      </c>
      <c r="Q683" s="29" t="str" cm="1">
        <f t="array" ref="Q683">_xlfn.IFS(
A683="","",
AND(A683&lt;&gt;"",B683=""),"FALTA LANÇAMENTO",
AND(B683&lt;&gt;"",M683=""),"FALTA O PEDIDO",
AND(M683&lt;&gt;"",O683=""),"FALTA NF",
O683&lt;&gt;"","CONCLUÍDO")</f>
        <v>CONCLUÍDO</v>
      </c>
      <c r="R683" s="36"/>
    </row>
    <row r="684" spans="1:18" hidden="1">
      <c r="A684" s="16">
        <v>46076</v>
      </c>
      <c r="B684" s="16">
        <v>46079</v>
      </c>
      <c r="C684" s="21">
        <v>500580349</v>
      </c>
      <c r="D684" s="16" t="str">
        <f>IFERROR(VLOOKUP(Tabela5[[#This Row],[PREFIXO ]],Tabela4[#All],2,0),"CENTRO DE CUSTO")</f>
        <v>ADUBADORES AUTOPROPE</v>
      </c>
      <c r="E684" s="18" t="s">
        <v>68</v>
      </c>
      <c r="F684" s="21">
        <v>1982</v>
      </c>
      <c r="G684" s="22">
        <v>1512</v>
      </c>
      <c r="H684" s="22"/>
      <c r="I684" s="22">
        <f t="shared" si="11"/>
        <v>1512</v>
      </c>
      <c r="J684" s="18" t="s">
        <v>1265</v>
      </c>
      <c r="K684" s="18">
        <v>5019702</v>
      </c>
      <c r="L684" s="18">
        <v>874290</v>
      </c>
      <c r="M684" s="18" t="s">
        <v>2228</v>
      </c>
      <c r="N684" s="16" t="s">
        <v>2174</v>
      </c>
      <c r="O684" s="18" t="s">
        <v>1899</v>
      </c>
      <c r="P684" s="18" t="s">
        <v>1501</v>
      </c>
      <c r="Q684" s="29" t="str" cm="1">
        <f t="array" ref="Q684">_xlfn.IFS(
A684="","",
AND(A684&lt;&gt;"",B684=""),"FALTA LANÇAMENTO",
AND(B684&lt;&gt;"",M684=""),"FALTA O PEDIDO",
AND(M684&lt;&gt;"",O684=""),"FALTA NF",
O684&lt;&gt;"","CONCLUÍDO")</f>
        <v>CONCLUÍDO</v>
      </c>
      <c r="R684" s="36"/>
    </row>
    <row r="685" spans="1:18" hidden="1">
      <c r="A685" s="16">
        <v>46076</v>
      </c>
      <c r="B685" s="16">
        <v>46084</v>
      </c>
      <c r="C685" s="21">
        <v>61521042</v>
      </c>
      <c r="D685" s="16" t="str">
        <f>IFERROR(VLOOKUP(Tabela5[[#This Row],[PREFIXO ]],Tabela4[#All],2,0),"CENTRO DE CUSTO")</f>
        <v>ONIB RODOVIÁRIO MASCARELLO GRAN MIDI</v>
      </c>
      <c r="E685" s="18" t="s">
        <v>247</v>
      </c>
      <c r="F685" s="21">
        <v>134288</v>
      </c>
      <c r="G685" s="22">
        <v>532</v>
      </c>
      <c r="H685" s="22">
        <v>2343.36</v>
      </c>
      <c r="I685" s="22">
        <f t="shared" si="11"/>
        <v>2875.36</v>
      </c>
      <c r="J685" s="18" t="s">
        <v>1085</v>
      </c>
      <c r="K685" s="18">
        <v>9790342</v>
      </c>
      <c r="L685" s="18">
        <v>876704</v>
      </c>
      <c r="M685" s="18" t="s">
        <v>2229</v>
      </c>
      <c r="N685" s="16" t="s">
        <v>1594</v>
      </c>
      <c r="O685" s="18" t="s">
        <v>2230</v>
      </c>
      <c r="P685" s="18" t="s">
        <v>2231</v>
      </c>
      <c r="Q685" s="29" t="str" cm="1">
        <f t="array" ref="Q685">_xlfn.IFS(
A685="","",
AND(A685&lt;&gt;"",B685=""),"FALTA LANÇAMENTO",
AND(B685&lt;&gt;"",M685=""),"FALTA O PEDIDO",
AND(M685&lt;&gt;"",O685=""),"FALTA NF",
O685&lt;&gt;"","CONCLUÍDO")</f>
        <v>CONCLUÍDO</v>
      </c>
      <c r="R685" s="36"/>
    </row>
    <row r="686" spans="1:18" hidden="1">
      <c r="A686" s="16">
        <v>46076</v>
      </c>
      <c r="B686" s="16">
        <v>46084</v>
      </c>
      <c r="C686" s="21">
        <v>11730006</v>
      </c>
      <c r="D686" s="16" t="str">
        <f>IFERROR(VLOOKUP(Tabela5[[#This Row],[PREFIXO ]],Tabela4[#All],2,0),"CENTRO DE CUSTO")</f>
        <v>CENTRO DE CUSTO</v>
      </c>
      <c r="E686" s="18" t="s">
        <v>247</v>
      </c>
      <c r="F686" s="21">
        <v>134289</v>
      </c>
      <c r="G686" s="22">
        <v>969</v>
      </c>
      <c r="H686" s="22">
        <v>1332.82</v>
      </c>
      <c r="I686" s="22">
        <f t="shared" si="11"/>
        <v>2301.8199999999997</v>
      </c>
      <c r="J686" s="18" t="s">
        <v>1199</v>
      </c>
      <c r="K686" s="18">
        <v>9790337</v>
      </c>
      <c r="L686" s="18">
        <v>876669</v>
      </c>
      <c r="M686" s="18" t="s">
        <v>2232</v>
      </c>
      <c r="N686" s="16" t="s">
        <v>1489</v>
      </c>
      <c r="O686" s="18" t="s">
        <v>2233</v>
      </c>
      <c r="P686" s="18" t="s">
        <v>2120</v>
      </c>
      <c r="Q686" s="29" t="str" cm="1">
        <f t="array" ref="Q686">_xlfn.IFS(
A686="","",
AND(A686&lt;&gt;"",B686=""),"FALTA LANÇAMENTO",
AND(B686&lt;&gt;"",M686=""),"FALTA O PEDIDO",
AND(M686&lt;&gt;"",O686=""),"FALTA NF",
O686&lt;&gt;"","CONCLUÍDO")</f>
        <v>CONCLUÍDO</v>
      </c>
      <c r="R686" s="36"/>
    </row>
    <row r="687" spans="1:18" hidden="1">
      <c r="A687" s="16">
        <v>46076</v>
      </c>
      <c r="B687" s="16">
        <v>46079</v>
      </c>
      <c r="C687" s="21">
        <v>11040005</v>
      </c>
      <c r="D687" s="16" t="str">
        <f>IFERROR(VLOOKUP(Tabela5[[#This Row],[PREFIXO ]],Tabela4[#All],2,0),"CENTRO DE CUSTO")</f>
        <v>CAV MEC EXT PES SCANIA R500</v>
      </c>
      <c r="E687" s="18" t="s">
        <v>247</v>
      </c>
      <c r="F687" s="21">
        <v>134286</v>
      </c>
      <c r="G687" s="22">
        <v>800</v>
      </c>
      <c r="H687" s="22"/>
      <c r="I687" s="22">
        <f t="shared" si="11"/>
        <v>800</v>
      </c>
      <c r="J687" s="18" t="s">
        <v>1085</v>
      </c>
      <c r="K687" s="18">
        <v>9786507</v>
      </c>
      <c r="L687" s="18">
        <v>874202</v>
      </c>
      <c r="M687" s="18" t="s">
        <v>2234</v>
      </c>
      <c r="N687" s="16" t="s">
        <v>2235</v>
      </c>
      <c r="O687" s="18" t="s">
        <v>2236</v>
      </c>
      <c r="P687" s="18" t="s">
        <v>2133</v>
      </c>
      <c r="Q687" s="29" t="str" cm="1">
        <f t="array" ref="Q687">_xlfn.IFS(
A687="","",
AND(A687&lt;&gt;"",B687=""),"FALTA LANÇAMENTO",
AND(B687&lt;&gt;"",M687=""),"FALTA O PEDIDO",
AND(M687&lt;&gt;"",O687=""),"FALTA NF",
O687&lt;&gt;"","CONCLUÍDO")</f>
        <v>CONCLUÍDO</v>
      </c>
      <c r="R687" s="36"/>
    </row>
    <row r="688" spans="1:18" hidden="1">
      <c r="A688" s="16">
        <v>46076</v>
      </c>
      <c r="B688" s="16">
        <v>46079</v>
      </c>
      <c r="C688" s="21">
        <v>11040019</v>
      </c>
      <c r="D688" s="16" t="str">
        <f>IFERROR(VLOOKUP(Tabela5[[#This Row],[PREFIXO ]],Tabela4[#All],2,0),"CENTRO DE CUSTO")</f>
        <v>CAV MEC EXT PES SCANIA R500</v>
      </c>
      <c r="E688" s="18" t="s">
        <v>247</v>
      </c>
      <c r="F688" s="21">
        <v>134287</v>
      </c>
      <c r="G688" s="22">
        <v>800</v>
      </c>
      <c r="H688" s="22"/>
      <c r="I688" s="22">
        <f t="shared" si="11"/>
        <v>800</v>
      </c>
      <c r="J688" s="18" t="s">
        <v>1085</v>
      </c>
      <c r="K688" s="18">
        <v>9786509</v>
      </c>
      <c r="L688" s="18">
        <v>874202</v>
      </c>
      <c r="M688" s="18" t="s">
        <v>2234</v>
      </c>
      <c r="N688" s="16" t="s">
        <v>2235</v>
      </c>
      <c r="O688" s="18" t="s">
        <v>2236</v>
      </c>
      <c r="P688" s="18" t="s">
        <v>2133</v>
      </c>
      <c r="Q688" s="29" t="str" cm="1">
        <f t="array" ref="Q688">_xlfn.IFS(
A688="","",
AND(A688&lt;&gt;"",B688=""),"FALTA LANÇAMENTO",
AND(B688&lt;&gt;"",M688=""),"FALTA O PEDIDO",
AND(M688&lt;&gt;"",O688=""),"FALTA NF",
O688&lt;&gt;"","CONCLUÍDO")</f>
        <v>CONCLUÍDO</v>
      </c>
      <c r="R688" s="36"/>
    </row>
    <row r="689" spans="1:18" hidden="1">
      <c r="A689" s="16">
        <v>46076</v>
      </c>
      <c r="B689" s="16">
        <v>46080</v>
      </c>
      <c r="C689" s="21" t="s">
        <v>2237</v>
      </c>
      <c r="D689" s="16" t="str">
        <f>IFERROR(VLOOKUP(Tabela5[[#This Row],[PREFIXO ]],Tabela4[#All],2,0),"CENTRO DE CUSTO")</f>
        <v>CENTRO DE CUSTO</v>
      </c>
      <c r="E689" s="18" t="s">
        <v>249</v>
      </c>
      <c r="F689" s="21">
        <v>224</v>
      </c>
      <c r="G689" s="22">
        <v>24850</v>
      </c>
      <c r="H689" s="22"/>
      <c r="I689" s="22">
        <f t="shared" si="11"/>
        <v>24850</v>
      </c>
      <c r="J689" s="18" t="s">
        <v>1199</v>
      </c>
      <c r="K689" s="18" t="s">
        <v>2238</v>
      </c>
      <c r="L689" s="18">
        <v>874362</v>
      </c>
      <c r="M689" s="18" t="s">
        <v>2239</v>
      </c>
      <c r="N689" s="16" t="s">
        <v>1700</v>
      </c>
      <c r="O689" s="18" t="s">
        <v>1536</v>
      </c>
      <c r="P689" s="18" t="s">
        <v>1489</v>
      </c>
      <c r="Q689" s="29" t="str" cm="1">
        <f t="array" ref="Q689">_xlfn.IFS(
A689="","",
AND(A689&lt;&gt;"",B689=""),"FALTA LANÇAMENTO",
AND(B689&lt;&gt;"",M689=""),"FALTA O PEDIDO",
AND(M689&lt;&gt;"",O689=""),"FALTA NF",
O689&lt;&gt;"","CONCLUÍDO")</f>
        <v>CONCLUÍDO</v>
      </c>
      <c r="R689" s="36"/>
    </row>
    <row r="690" spans="1:18" hidden="1">
      <c r="A690" s="16">
        <v>46076</v>
      </c>
      <c r="B690" s="16">
        <v>46079</v>
      </c>
      <c r="C690" s="21">
        <v>500580100</v>
      </c>
      <c r="D690" s="16" t="str">
        <f>IFERROR(VLOOKUP(Tabela5[[#This Row],[PREFIXO ]],Tabela4[#All],2,0),"CENTRO DE CUSTO")</f>
        <v>Autopropelidos</v>
      </c>
      <c r="E690" s="18" t="s">
        <v>249</v>
      </c>
      <c r="F690" s="21">
        <v>224</v>
      </c>
      <c r="G690" s="22">
        <v>6300</v>
      </c>
      <c r="H690" s="22"/>
      <c r="I690" s="22">
        <f t="shared" si="11"/>
        <v>6300</v>
      </c>
      <c r="J690" s="18" t="s">
        <v>1080</v>
      </c>
      <c r="K690" s="18">
        <v>5019703</v>
      </c>
      <c r="L690" s="18">
        <v>874304</v>
      </c>
      <c r="M690" s="18" t="s">
        <v>2240</v>
      </c>
      <c r="N690" s="16" t="s">
        <v>2174</v>
      </c>
      <c r="O690" s="18" t="s">
        <v>1538</v>
      </c>
      <c r="P690" s="18" t="s">
        <v>1501</v>
      </c>
      <c r="Q690" s="29" t="str" cm="1">
        <f t="array" ref="Q690">_xlfn.IFS(
A690="","",
AND(A690&lt;&gt;"",B690=""),"FALTA LANÇAMENTO",
AND(B690&lt;&gt;"",M690=""),"FALTA O PEDIDO",
AND(M690&lt;&gt;"",O690=""),"FALTA NF",
O690&lt;&gt;"","CONCLUÍDO")</f>
        <v>CONCLUÍDO</v>
      </c>
      <c r="R690" s="36"/>
    </row>
    <row r="691" spans="1:18" hidden="1">
      <c r="A691" s="16">
        <v>46076</v>
      </c>
      <c r="B691" s="16">
        <v>46084</v>
      </c>
      <c r="C691" s="21">
        <v>51521043</v>
      </c>
      <c r="D691" s="16" t="str">
        <f>IFERROR(VLOOKUP(Tabela5[[#This Row],[PREFIXO ]],Tabela4[#All],2,0),"CENTRO DE CUSTO")</f>
        <v>COLHED ALGODÃO JOHN DEERE CP 690</v>
      </c>
      <c r="E691" s="18" t="s">
        <v>255</v>
      </c>
      <c r="F691" s="21">
        <v>851</v>
      </c>
      <c r="G691" s="22">
        <v>1500</v>
      </c>
      <c r="H691" s="22"/>
      <c r="I691" s="22">
        <f t="shared" si="11"/>
        <v>1500</v>
      </c>
      <c r="J691" s="18" t="s">
        <v>1123</v>
      </c>
      <c r="K691" s="18">
        <v>9786314</v>
      </c>
      <c r="L691" s="18">
        <v>874929</v>
      </c>
      <c r="M691" s="18" t="s">
        <v>2241</v>
      </c>
      <c r="N691" s="16" t="s">
        <v>1489</v>
      </c>
      <c r="O691" s="18" t="s">
        <v>1763</v>
      </c>
      <c r="P691" s="18" t="s">
        <v>1489</v>
      </c>
      <c r="Q691" s="29" t="str" cm="1">
        <f t="array" ref="Q691">_xlfn.IFS(
A691="","",
AND(A691&lt;&gt;"",B691=""),"FALTA LANÇAMENTO",
AND(B691&lt;&gt;"",M691=""),"FALTA O PEDIDO",
AND(M691&lt;&gt;"",O691=""),"FALTA NF",
O691&lt;&gt;"","CONCLUÍDO")</f>
        <v>CONCLUÍDO</v>
      </c>
      <c r="R691" s="36"/>
    </row>
    <row r="692" spans="1:18" hidden="1">
      <c r="A692" s="16">
        <v>46076</v>
      </c>
      <c r="B692" s="16">
        <v>46084</v>
      </c>
      <c r="C692" s="21" t="s">
        <v>2242</v>
      </c>
      <c r="D692" s="16" t="str">
        <f>IFERROR(VLOOKUP(Tabela5[[#This Row],[PREFIXO ]],Tabela4[#All],2,0),"CENTRO DE CUSTO")</f>
        <v>CENTRO DE CUSTO</v>
      </c>
      <c r="E692" s="18" t="s">
        <v>255</v>
      </c>
      <c r="F692" s="21">
        <v>855</v>
      </c>
      <c r="G692" s="22">
        <v>1500</v>
      </c>
      <c r="H692" s="22"/>
      <c r="I692" s="22">
        <f t="shared" si="11"/>
        <v>1500</v>
      </c>
      <c r="J692" s="18" t="s">
        <v>1123</v>
      </c>
      <c r="K692" s="18" t="s">
        <v>2243</v>
      </c>
      <c r="L692" s="18">
        <v>874929</v>
      </c>
      <c r="M692" s="18" t="s">
        <v>2241</v>
      </c>
      <c r="N692" s="16" t="s">
        <v>1489</v>
      </c>
      <c r="O692" s="18" t="s">
        <v>1763</v>
      </c>
      <c r="P692" s="18" t="s">
        <v>1489</v>
      </c>
      <c r="Q692" s="29" t="str" cm="1">
        <f t="array" ref="Q692">_xlfn.IFS(
A692="","",
AND(A692&lt;&gt;"",B692=""),"FALTA LANÇAMENTO",
AND(B692&lt;&gt;"",M692=""),"FALTA O PEDIDO",
AND(M692&lt;&gt;"",O692=""),"FALTA NF",
O692&lt;&gt;"","CONCLUÍDO")</f>
        <v>CONCLUÍDO</v>
      </c>
      <c r="R692" s="36"/>
    </row>
    <row r="693" spans="1:18" hidden="1">
      <c r="A693" s="16">
        <v>46076</v>
      </c>
      <c r="B693" s="16">
        <v>46084</v>
      </c>
      <c r="C693" s="21" t="s">
        <v>2244</v>
      </c>
      <c r="D693" s="16" t="str">
        <f>IFERROR(VLOOKUP(Tabela5[[#This Row],[PREFIXO ]],Tabela4[#All],2,0),"CENTRO DE CUSTO")</f>
        <v>CENTRO DE CUSTO</v>
      </c>
      <c r="E693" s="18" t="s">
        <v>255</v>
      </c>
      <c r="F693" s="21">
        <v>849</v>
      </c>
      <c r="G693" s="22">
        <v>1450</v>
      </c>
      <c r="H693" s="22"/>
      <c r="I693" s="22">
        <f t="shared" si="11"/>
        <v>1450</v>
      </c>
      <c r="J693" s="18" t="s">
        <v>1123</v>
      </c>
      <c r="K693" s="18">
        <v>9786317</v>
      </c>
      <c r="L693" s="18">
        <v>874929</v>
      </c>
      <c r="M693" s="18" t="s">
        <v>2241</v>
      </c>
      <c r="N693" s="16" t="s">
        <v>1489</v>
      </c>
      <c r="O693" s="18" t="s">
        <v>1763</v>
      </c>
      <c r="P693" s="18" t="s">
        <v>1489</v>
      </c>
      <c r="Q693" s="29" t="str" cm="1">
        <f t="array" ref="Q693">_xlfn.IFS(
A693="","",
AND(A693&lt;&gt;"",B693=""),"FALTA LANÇAMENTO",
AND(B693&lt;&gt;"",M693=""),"FALTA O PEDIDO",
AND(M693&lt;&gt;"",O693=""),"FALTA NF",
O693&lt;&gt;"","CONCLUÍDO")</f>
        <v>CONCLUÍDO</v>
      </c>
      <c r="R693" s="36"/>
    </row>
    <row r="694" spans="1:18" hidden="1">
      <c r="A694" s="16">
        <v>46076</v>
      </c>
      <c r="B694" s="16">
        <v>46084</v>
      </c>
      <c r="C694" s="21">
        <v>51521069</v>
      </c>
      <c r="D694" s="16" t="str">
        <f>IFERROR(VLOOKUP(Tabela5[[#This Row],[PREFIXO ]],Tabela4[#All],2,0),"CENTRO DE CUSTO")</f>
        <v>COLHED ALGODÃO JOHN DEERE CP 690</v>
      </c>
      <c r="E694" s="18" t="s">
        <v>255</v>
      </c>
      <c r="F694" s="21">
        <v>854</v>
      </c>
      <c r="G694" s="22">
        <v>1450</v>
      </c>
      <c r="H694" s="22"/>
      <c r="I694" s="22">
        <f t="shared" si="11"/>
        <v>1450</v>
      </c>
      <c r="J694" s="18" t="s">
        <v>1123</v>
      </c>
      <c r="K694" s="18">
        <v>9786621</v>
      </c>
      <c r="L694" s="18">
        <v>874929</v>
      </c>
      <c r="M694" s="18" t="s">
        <v>2241</v>
      </c>
      <c r="N694" s="16" t="s">
        <v>1489</v>
      </c>
      <c r="O694" s="18" t="s">
        <v>1763</v>
      </c>
      <c r="P694" s="18" t="s">
        <v>1489</v>
      </c>
      <c r="Q694" s="29" t="str" cm="1">
        <f t="array" ref="Q694">_xlfn.IFS(
A694="","",
AND(A694&lt;&gt;"",B694=""),"FALTA LANÇAMENTO",
AND(B694&lt;&gt;"",M694=""),"FALTA O PEDIDO",
AND(M694&lt;&gt;"",O694=""),"FALTA NF",
O694&lt;&gt;"","CONCLUÍDO")</f>
        <v>CONCLUÍDO</v>
      </c>
      <c r="R694" s="36"/>
    </row>
    <row r="695" spans="1:18" hidden="1">
      <c r="A695" s="16">
        <v>46076</v>
      </c>
      <c r="B695" s="16">
        <v>46084</v>
      </c>
      <c r="C695" s="21">
        <v>16170023</v>
      </c>
      <c r="D695" s="16" t="str">
        <f>IFERROR(VLOOKUP(Tabela5[[#This Row],[PREFIXO ]],Tabela4[#All],2,0),"CENTRO DE CUSTO")</f>
        <v>CENTRO DE CUSTO</v>
      </c>
      <c r="E695" s="18" t="s">
        <v>255</v>
      </c>
      <c r="F695" s="21">
        <v>853</v>
      </c>
      <c r="G695" s="22">
        <v>1300</v>
      </c>
      <c r="H695" s="22"/>
      <c r="I695" s="22">
        <f t="shared" si="11"/>
        <v>1300</v>
      </c>
      <c r="J695" s="18" t="s">
        <v>1199</v>
      </c>
      <c r="K695" s="18">
        <v>9786346</v>
      </c>
      <c r="L695" s="18">
        <v>874929</v>
      </c>
      <c r="M695" s="18" t="s">
        <v>2241</v>
      </c>
      <c r="N695" s="16" t="s">
        <v>1489</v>
      </c>
      <c r="O695" s="18" t="s">
        <v>1763</v>
      </c>
      <c r="P695" s="18" t="s">
        <v>1489</v>
      </c>
      <c r="Q695" s="29" t="str" cm="1">
        <f t="array" ref="Q695">_xlfn.IFS(
A695="","",
AND(A695&lt;&gt;"",B695=""),"FALTA LANÇAMENTO",
AND(B695&lt;&gt;"",M695=""),"FALTA O PEDIDO",
AND(M695&lt;&gt;"",O695=""),"FALTA NF",
O695&lt;&gt;"","CONCLUÍDO")</f>
        <v>CONCLUÍDO</v>
      </c>
      <c r="R695" s="36"/>
    </row>
    <row r="696" spans="1:18" hidden="1">
      <c r="A696" s="16">
        <v>46076</v>
      </c>
      <c r="B696" s="16">
        <v>46084</v>
      </c>
      <c r="C696" s="21" t="s">
        <v>1134</v>
      </c>
      <c r="D696" s="16" t="str">
        <f>IFERROR(VLOOKUP(Tabela5[[#This Row],[PREFIXO ]],Tabela4[#All],2,0),"CENTRO DE CUSTO")</f>
        <v>CENTRO DE CUSTO</v>
      </c>
      <c r="E696" s="18" t="s">
        <v>255</v>
      </c>
      <c r="F696" s="21">
        <v>850</v>
      </c>
      <c r="G696" s="22">
        <v>1000</v>
      </c>
      <c r="H696" s="22"/>
      <c r="I696" s="22">
        <f t="shared" si="11"/>
        <v>1000</v>
      </c>
      <c r="J696" s="18" t="s">
        <v>1123</v>
      </c>
      <c r="K696" s="18">
        <v>5019638</v>
      </c>
      <c r="L696" s="18">
        <v>874929</v>
      </c>
      <c r="M696" s="18" t="s">
        <v>2241</v>
      </c>
      <c r="N696" s="16" t="s">
        <v>1489</v>
      </c>
      <c r="O696" s="18" t="s">
        <v>1763</v>
      </c>
      <c r="P696" s="18" t="s">
        <v>1489</v>
      </c>
      <c r="Q696" s="29" t="str" cm="1">
        <f t="array" ref="Q696">_xlfn.IFS(
A696="","",
AND(A696&lt;&gt;"",B696=""),"FALTA LANÇAMENTO",
AND(B696&lt;&gt;"",M696=""),"FALTA O PEDIDO",
AND(M696&lt;&gt;"",O696=""),"FALTA NF",
O696&lt;&gt;"","CONCLUÍDO")</f>
        <v>CONCLUÍDO</v>
      </c>
      <c r="R696" s="36"/>
    </row>
    <row r="697" spans="1:18" hidden="1">
      <c r="A697" s="16">
        <v>46076</v>
      </c>
      <c r="B697" s="16">
        <v>46084</v>
      </c>
      <c r="C697" s="21">
        <v>51521100</v>
      </c>
      <c r="D697" s="16" t="str">
        <f>IFERROR(VLOOKUP(Tabela5[[#This Row],[PREFIXO ]],Tabela4[#All],2,0),"CENTRO DE CUSTO")</f>
        <v>COLHEIT DE GRÃOS N.HOLLAND CR 8.90</v>
      </c>
      <c r="E697" s="18" t="s">
        <v>255</v>
      </c>
      <c r="F697" s="21">
        <v>852</v>
      </c>
      <c r="G697" s="22">
        <v>588.6</v>
      </c>
      <c r="H697" s="22"/>
      <c r="I697" s="22">
        <f t="shared" si="11"/>
        <v>588.6</v>
      </c>
      <c r="J697" s="18" t="s">
        <v>1123</v>
      </c>
      <c r="K697" s="18">
        <v>9786344</v>
      </c>
      <c r="L697" s="18">
        <v>874929</v>
      </c>
      <c r="M697" s="18" t="s">
        <v>2241</v>
      </c>
      <c r="N697" s="16" t="s">
        <v>1489</v>
      </c>
      <c r="O697" s="18" t="s">
        <v>1763</v>
      </c>
      <c r="P697" s="18" t="s">
        <v>1489</v>
      </c>
      <c r="Q697" s="29" t="str" cm="1">
        <f t="array" ref="Q697">_xlfn.IFS(
A697="","",
AND(A697&lt;&gt;"",B697=""),"FALTA LANÇAMENTO",
AND(B697&lt;&gt;"",M697=""),"FALTA O PEDIDO",
AND(M697&lt;&gt;"",O697=""),"FALTA NF",
O697&lt;&gt;"","CONCLUÍDO")</f>
        <v>CONCLUÍDO</v>
      </c>
      <c r="R697" s="36"/>
    </row>
    <row r="698" spans="1:18" hidden="1">
      <c r="A698" s="16">
        <v>46077</v>
      </c>
      <c r="B698" s="16">
        <v>46077</v>
      </c>
      <c r="C698" s="21">
        <v>51521077</v>
      </c>
      <c r="D698" s="16" t="str">
        <f>IFERROR(VLOOKUP(Tabela5[[#This Row],[PREFIXO ]],Tabela4[#All],2,0),"CENTRO DE CUSTO")</f>
        <v>COLHEIT DE GRÃOS CASE AXIAL FLOW 5150</v>
      </c>
      <c r="E698" s="18" t="s">
        <v>196</v>
      </c>
      <c r="F698" s="21">
        <v>63337</v>
      </c>
      <c r="G698" s="22">
        <v>37742.5</v>
      </c>
      <c r="H698" s="22">
        <v>17545.240000000002</v>
      </c>
      <c r="I698" s="22">
        <f t="shared" si="11"/>
        <v>55287.740000000005</v>
      </c>
      <c r="J698" s="18" t="s">
        <v>1123</v>
      </c>
      <c r="K698" s="18">
        <v>9784195</v>
      </c>
      <c r="L698" s="18">
        <v>871589</v>
      </c>
      <c r="M698" s="18" t="s">
        <v>2245</v>
      </c>
      <c r="N698" s="16" t="s">
        <v>1885</v>
      </c>
      <c r="O698" s="18" t="s">
        <v>2246</v>
      </c>
      <c r="P698" s="18" t="s">
        <v>1941</v>
      </c>
      <c r="Q698" s="29" t="str" cm="1">
        <f t="array" ref="Q698">_xlfn.IFS(
A698="","",
AND(A698&lt;&gt;"",B698=""),"FALTA LANÇAMENTO",
AND(B698&lt;&gt;"",M698=""),"FALTA O PEDIDO",
AND(M698&lt;&gt;"",O698=""),"FALTA NF",
O698&lt;&gt;"","CONCLUÍDO")</f>
        <v>CONCLUÍDO</v>
      </c>
      <c r="R698" s="36"/>
    </row>
    <row r="699" spans="1:18" hidden="1">
      <c r="A699" s="16">
        <v>46077</v>
      </c>
      <c r="B699" s="16">
        <v>46077</v>
      </c>
      <c r="C699" s="21">
        <v>51521078</v>
      </c>
      <c r="D699" s="16" t="str">
        <f>IFERROR(VLOOKUP(Tabela5[[#This Row],[PREFIXO ]],Tabela4[#All],2,0),"CENTRO DE CUSTO")</f>
        <v>COLHEIT DE GRÃOS CASE AXIAL FLOW 5150</v>
      </c>
      <c r="E699" s="18" t="s">
        <v>196</v>
      </c>
      <c r="F699" s="21">
        <v>64053</v>
      </c>
      <c r="G699" s="22">
        <v>24020</v>
      </c>
      <c r="H699" s="22">
        <v>24438.18</v>
      </c>
      <c r="I699" s="22">
        <f t="shared" si="11"/>
        <v>48458.18</v>
      </c>
      <c r="J699" s="18" t="s">
        <v>1123</v>
      </c>
      <c r="K699" s="18">
        <v>9784192</v>
      </c>
      <c r="L699" s="18">
        <v>869373</v>
      </c>
      <c r="M699" s="18" t="s">
        <v>2247</v>
      </c>
      <c r="N699" s="16" t="s">
        <v>1885</v>
      </c>
      <c r="O699" s="18" t="s">
        <v>2248</v>
      </c>
      <c r="P699" s="18" t="s">
        <v>1941</v>
      </c>
      <c r="Q699" s="29" t="str" cm="1">
        <f t="array" ref="Q699">_xlfn.IFS(
A699="","",
AND(A699&lt;&gt;"",B699=""),"FALTA LANÇAMENTO",
AND(B699&lt;&gt;"",M699=""),"FALTA O PEDIDO",
AND(M699&lt;&gt;"",O699=""),"FALTA NF",
O699&lt;&gt;"","CONCLUÍDO")</f>
        <v>CONCLUÍDO</v>
      </c>
      <c r="R699" s="36"/>
    </row>
    <row r="700" spans="1:18" hidden="1">
      <c r="A700" s="16">
        <v>46080</v>
      </c>
      <c r="B700" s="16">
        <v>46092</v>
      </c>
      <c r="C700" s="21">
        <v>11040015</v>
      </c>
      <c r="D700" s="16" t="str">
        <f>IFERROR(VLOOKUP(Tabela5[[#This Row],[PREFIXO ]],Tabela4[#All],2,0),"CENTRO DE CUSTO")</f>
        <v>CAV MEC EXT PES SCANIA R500</v>
      </c>
      <c r="E700" s="18" t="s">
        <v>24</v>
      </c>
      <c r="F700" s="21">
        <v>15893</v>
      </c>
      <c r="G700" s="22">
        <v>220</v>
      </c>
      <c r="H700" s="22"/>
      <c r="I700" s="22">
        <f t="shared" si="11"/>
        <v>220</v>
      </c>
      <c r="J700" s="18" t="s">
        <v>1123</v>
      </c>
      <c r="K700" s="18">
        <v>9797472</v>
      </c>
      <c r="L700" s="18">
        <v>884042</v>
      </c>
      <c r="M700" s="18" t="s">
        <v>2249</v>
      </c>
      <c r="N700" s="16" t="s">
        <v>1691</v>
      </c>
      <c r="O700" s="18" t="s">
        <v>2250</v>
      </c>
      <c r="P700" s="18" t="s">
        <v>1871</v>
      </c>
      <c r="Q700" s="29" t="str" cm="1">
        <f t="array" ref="Q700">_xlfn.IFS(
A700="","",
AND(A700&lt;&gt;"",B700=""),"FALTA LANÇAMENTO",
AND(B700&lt;&gt;"",M700=""),"FALTA O PEDIDO",
AND(M700&lt;&gt;"",O700=""),"FALTA NF",
O700&lt;&gt;"","CONCLUÍDO")</f>
        <v>CONCLUÍDO</v>
      </c>
      <c r="R700" s="36"/>
    </row>
    <row r="701" spans="1:18" hidden="1">
      <c r="A701" s="16">
        <v>46080</v>
      </c>
      <c r="B701" s="16">
        <v>46098</v>
      </c>
      <c r="C701" s="21">
        <v>12060003</v>
      </c>
      <c r="D701" s="16" t="str">
        <f>IFERROR(VLOOKUP(Tabela5[[#This Row],[PREFIXO ]],Tabela4[#All],2,0),"CENTRO DE CUSTO")</f>
        <v>ONIB RODOVIÁRIO MARCOPOLO NEOBUS MEGA</v>
      </c>
      <c r="E701" s="18" t="s">
        <v>29</v>
      </c>
      <c r="F701" s="21">
        <v>55019</v>
      </c>
      <c r="G701" s="22">
        <v>3118</v>
      </c>
      <c r="H701" s="22">
        <v>6070.52</v>
      </c>
      <c r="I701" s="22">
        <f t="shared" si="11"/>
        <v>9188.52</v>
      </c>
      <c r="J701" s="18" t="s">
        <v>1085</v>
      </c>
      <c r="K701" s="18">
        <v>9792495</v>
      </c>
      <c r="L701" s="18">
        <v>884357</v>
      </c>
      <c r="M701" s="18" t="s">
        <v>2251</v>
      </c>
      <c r="N701" s="16" t="s">
        <v>2252</v>
      </c>
      <c r="O701" s="18" t="s">
        <v>2253</v>
      </c>
      <c r="P701" s="18" t="s">
        <v>2254</v>
      </c>
      <c r="Q701" s="29" t="str" cm="1">
        <f t="array" ref="Q701">_xlfn.IFS(
A701="","",
AND(A701&lt;&gt;"",B701=""),"FALTA LANÇAMENTO",
AND(B701&lt;&gt;"",M701=""),"FALTA O PEDIDO",
AND(M701&lt;&gt;"",O701=""),"FALTA NF",
O701&lt;&gt;"","CONCLUÍDO")</f>
        <v>CONCLUÍDO</v>
      </c>
      <c r="R701" s="36"/>
    </row>
    <row r="702" spans="1:18" hidden="1">
      <c r="A702" s="16">
        <v>46080</v>
      </c>
      <c r="B702" s="16">
        <v>46092</v>
      </c>
      <c r="C702" s="21">
        <v>61521019</v>
      </c>
      <c r="D702" s="16" t="str">
        <f>IFERROR(VLOOKUP(Tabela5[[#This Row],[PREFIXO ]],Tabela4[#All],2,0),"CENTRO DE CUSTO")</f>
        <v>ONIB COLETIVO MERC BENZ IND APACHE</v>
      </c>
      <c r="E702" s="18" t="s">
        <v>29</v>
      </c>
      <c r="F702" s="21">
        <v>55059</v>
      </c>
      <c r="G702" s="22">
        <v>2568</v>
      </c>
      <c r="H702" s="22">
        <v>3823.92</v>
      </c>
      <c r="I702" s="22">
        <f t="shared" si="11"/>
        <v>6391.92</v>
      </c>
      <c r="J702" s="18" t="s">
        <v>1085</v>
      </c>
      <c r="K702" s="18">
        <v>9792498</v>
      </c>
      <c r="L702" s="18">
        <v>881428</v>
      </c>
      <c r="M702" s="18" t="s">
        <v>2255</v>
      </c>
      <c r="N702" s="16" t="s">
        <v>1691</v>
      </c>
      <c r="O702" s="18" t="s">
        <v>2256</v>
      </c>
      <c r="P702" s="18" t="s">
        <v>2257</v>
      </c>
      <c r="Q702" s="29" t="str" cm="1">
        <f t="array" ref="Q702">_xlfn.IFS(
A702="","",
AND(A702&lt;&gt;"",B702=""),"FALTA LANÇAMENTO",
AND(B702&lt;&gt;"",M702=""),"FALTA O PEDIDO",
AND(M702&lt;&gt;"",O702=""),"FALTA NF",
O702&lt;&gt;"","CONCLUÍDO")</f>
        <v>CONCLUÍDO</v>
      </c>
      <c r="R702" s="36"/>
    </row>
    <row r="703" spans="1:18" hidden="1">
      <c r="A703" s="16">
        <v>46080</v>
      </c>
      <c r="B703" s="16">
        <v>46098</v>
      </c>
      <c r="C703" s="21">
        <v>6173059</v>
      </c>
      <c r="D703" s="16" t="str">
        <f>IFERROR(VLOOKUP(Tabela5[[#This Row],[PREFIXO ]],Tabela4[#All],2,0),"CENTRO DE CUSTO")</f>
        <v>CAM CARGA SECA FORD F-4000</v>
      </c>
      <c r="E703" s="18" t="s">
        <v>29</v>
      </c>
      <c r="F703" s="21">
        <v>55073</v>
      </c>
      <c r="G703" s="22">
        <v>1970</v>
      </c>
      <c r="H703" s="22">
        <v>3839.79</v>
      </c>
      <c r="I703" s="22">
        <f t="shared" si="11"/>
        <v>5809.79</v>
      </c>
      <c r="J703" s="18" t="s">
        <v>1085</v>
      </c>
      <c r="K703" s="18">
        <v>9792497</v>
      </c>
      <c r="L703" s="18">
        <v>887126</v>
      </c>
      <c r="M703" s="18" t="s">
        <v>2258</v>
      </c>
      <c r="N703" s="16" t="s">
        <v>2252</v>
      </c>
      <c r="O703" s="18" t="s">
        <v>2259</v>
      </c>
      <c r="P703" s="18" t="s">
        <v>2254</v>
      </c>
      <c r="Q703" s="29" t="str" cm="1">
        <f t="array" ref="Q703">_xlfn.IFS(
A703="","",
AND(A703&lt;&gt;"",B703=""),"FALTA LANÇAMENTO",
AND(B703&lt;&gt;"",M703=""),"FALTA O PEDIDO",
AND(M703&lt;&gt;"",O703=""),"FALTA NF",
O703&lt;&gt;"","CONCLUÍDO")</f>
        <v>CONCLUÍDO</v>
      </c>
      <c r="R703" s="36"/>
    </row>
    <row r="704" spans="1:18" hidden="1">
      <c r="A704" s="16">
        <v>46080</v>
      </c>
      <c r="B704" s="16">
        <v>46098</v>
      </c>
      <c r="C704" s="21">
        <v>16170050</v>
      </c>
      <c r="D704" s="16" t="str">
        <f>IFERROR(VLOOKUP(Tabela5[[#This Row],[PREFIXO ]],Tabela4[#All],2,0),"CENTRO DE CUSTO")</f>
        <v>CENTRO DE CUSTO</v>
      </c>
      <c r="E704" s="18" t="s">
        <v>29</v>
      </c>
      <c r="F704" s="21">
        <v>55040</v>
      </c>
      <c r="G704" s="22">
        <v>172</v>
      </c>
      <c r="H704" s="22">
        <v>4525.1400000000003</v>
      </c>
      <c r="I704" s="22">
        <f t="shared" ref="I704:I767" si="12">G704+H704</f>
        <v>4697.1400000000003</v>
      </c>
      <c r="J704" s="18" t="s">
        <v>1085</v>
      </c>
      <c r="K704" s="18">
        <v>9801729</v>
      </c>
      <c r="L704" s="18">
        <v>887194</v>
      </c>
      <c r="M704" s="18" t="s">
        <v>2260</v>
      </c>
      <c r="N704" s="16" t="s">
        <v>2252</v>
      </c>
      <c r="O704" s="18" t="s">
        <v>2261</v>
      </c>
      <c r="P704" s="18" t="s">
        <v>2254</v>
      </c>
      <c r="Q704" s="29" t="str" cm="1">
        <f t="array" ref="Q704">_xlfn.IFS(
A704="","",
AND(A704&lt;&gt;"",B704=""),"FALTA LANÇAMENTO",
AND(B704&lt;&gt;"",M704=""),"FALTA O PEDIDO",
AND(M704&lt;&gt;"",O704=""),"FALTA NF",
O704&lt;&gt;"","CONCLUÍDO")</f>
        <v>CONCLUÍDO</v>
      </c>
      <c r="R704" s="36"/>
    </row>
    <row r="705" spans="1:18" hidden="1">
      <c r="A705" s="16">
        <v>46080</v>
      </c>
      <c r="B705" s="16">
        <v>46091</v>
      </c>
      <c r="C705" s="21">
        <v>61521042</v>
      </c>
      <c r="D705" s="16" t="str">
        <f>IFERROR(VLOOKUP(Tabela5[[#This Row],[PREFIXO ]],Tabela4[#All],2,0),"CENTRO DE CUSTO")</f>
        <v>ONIB RODOVIÁRIO MASCARELLO GRAN MIDI</v>
      </c>
      <c r="E705" s="18" t="s">
        <v>29</v>
      </c>
      <c r="F705" s="21">
        <v>55049</v>
      </c>
      <c r="G705" s="22">
        <v>280</v>
      </c>
      <c r="H705" s="22">
        <v>2458</v>
      </c>
      <c r="I705" s="22">
        <f t="shared" si="12"/>
        <v>2738</v>
      </c>
      <c r="J705" s="18" t="s">
        <v>1085</v>
      </c>
      <c r="K705" s="18">
        <v>9792488</v>
      </c>
      <c r="L705" s="18">
        <v>881489</v>
      </c>
      <c r="M705" s="18" t="s">
        <v>2262</v>
      </c>
      <c r="N705" s="16" t="s">
        <v>2200</v>
      </c>
      <c r="O705" s="18" t="s">
        <v>2263</v>
      </c>
      <c r="P705" s="18" t="s">
        <v>2264</v>
      </c>
      <c r="Q705" s="29" t="str" cm="1">
        <f t="array" ref="Q705">_xlfn.IFS(
A705="","",
AND(A705&lt;&gt;"",B705=""),"FALTA LANÇAMENTO",
AND(B705&lt;&gt;"",M705=""),"FALTA O PEDIDO",
AND(M705&lt;&gt;"",O705=""),"FALTA NF",
O705&lt;&gt;"","CONCLUÍDO")</f>
        <v>CONCLUÍDO</v>
      </c>
      <c r="R705" s="36"/>
    </row>
    <row r="706" spans="1:18" hidden="1">
      <c r="A706" s="16">
        <v>46080</v>
      </c>
      <c r="B706" s="16">
        <v>46091</v>
      </c>
      <c r="C706" s="21">
        <v>61521011</v>
      </c>
      <c r="D706" s="16" t="str">
        <f>IFERROR(VLOOKUP(Tabela5[[#This Row],[PREFIXO ]],Tabela4[#All],2,0),"CENTRO DE CUSTO")</f>
        <v>CAM COMBOIO MERC BENZ ATRON 2729</v>
      </c>
      <c r="E706" s="18" t="s">
        <v>29</v>
      </c>
      <c r="F706" s="21">
        <v>54984</v>
      </c>
      <c r="G706" s="22">
        <v>300</v>
      </c>
      <c r="H706" s="22">
        <v>1927.17</v>
      </c>
      <c r="I706" s="22">
        <f t="shared" si="12"/>
        <v>2227.17</v>
      </c>
      <c r="J706" s="18" t="s">
        <v>1085</v>
      </c>
      <c r="K706" s="18">
        <v>9792486</v>
      </c>
      <c r="L706" s="18">
        <v>881494</v>
      </c>
      <c r="M706" s="18" t="s">
        <v>2265</v>
      </c>
      <c r="N706" s="16" t="s">
        <v>2200</v>
      </c>
      <c r="O706" s="18" t="s">
        <v>2266</v>
      </c>
      <c r="P706" s="18" t="s">
        <v>2264</v>
      </c>
      <c r="Q706" s="29" t="str" cm="1">
        <f t="array" ref="Q706">_xlfn.IFS(
A706="","",
AND(A706&lt;&gt;"",B706=""),"FALTA LANÇAMENTO",
AND(B706&lt;&gt;"",M706=""),"FALTA O PEDIDO",
AND(M706&lt;&gt;"",O706=""),"FALTA NF",
O706&lt;&gt;"","CONCLUÍDO")</f>
        <v>CONCLUÍDO</v>
      </c>
      <c r="R706" s="36"/>
    </row>
    <row r="707" spans="1:18" hidden="1">
      <c r="A707" s="16">
        <v>46080</v>
      </c>
      <c r="B707" s="16">
        <v>46091</v>
      </c>
      <c r="C707" s="21">
        <v>22030032</v>
      </c>
      <c r="D707" s="16" t="str">
        <f>IFERROR(VLOOKUP(Tabela5[[#This Row],[PREFIXO ]],Tabela4[#All],2,0),"CENTRO DE CUSTO")</f>
        <v>AUTOMOVEL FIAT STRADA FREEDOM CD13</v>
      </c>
      <c r="E707" s="18" t="s">
        <v>41</v>
      </c>
      <c r="F707" s="21">
        <v>26190</v>
      </c>
      <c r="G707" s="22">
        <v>1098.5999999999999</v>
      </c>
      <c r="H707" s="22"/>
      <c r="I707" s="22">
        <f t="shared" si="12"/>
        <v>1098.5999999999999</v>
      </c>
      <c r="J707" s="18" t="s">
        <v>1085</v>
      </c>
      <c r="K707" s="18">
        <v>9792899</v>
      </c>
      <c r="L707" s="18" t="s">
        <v>1095</v>
      </c>
      <c r="M707" s="18" t="s">
        <v>1095</v>
      </c>
      <c r="N707" s="16" t="s">
        <v>1095</v>
      </c>
      <c r="O707" s="18" t="s">
        <v>1095</v>
      </c>
      <c r="P707" s="18" t="s">
        <v>1095</v>
      </c>
      <c r="Q707" s="29" t="str" cm="1">
        <f t="array" ref="Q707">_xlfn.IFS(
A707="","",
AND(A707&lt;&gt;"",B707=""),"FALTA LANÇAMENTO",
AND(B707&lt;&gt;"",M707=""),"FALTA O PEDIDO",
AND(M707&lt;&gt;"",O707=""),"FALTA NF",
O707&lt;&gt;"","CONCLUÍDO")</f>
        <v>CONCLUÍDO</v>
      </c>
      <c r="R707" s="36"/>
    </row>
    <row r="708" spans="1:18" hidden="1">
      <c r="A708" s="16">
        <v>46080</v>
      </c>
      <c r="B708" s="16">
        <v>46086</v>
      </c>
      <c r="C708" s="21">
        <v>500580070</v>
      </c>
      <c r="D708" s="16" t="str">
        <f>IFERROR(VLOOKUP(Tabela5[[#This Row],[PREFIXO ]],Tabela4[#All],2,0),"CENTRO DE CUSTO")</f>
        <v>Posto Abast./Lubrif.</v>
      </c>
      <c r="E708" s="18" t="s">
        <v>55</v>
      </c>
      <c r="F708" s="21">
        <v>20260131</v>
      </c>
      <c r="G708" s="22">
        <v>970</v>
      </c>
      <c r="H708" s="22"/>
      <c r="I708" s="22">
        <f t="shared" si="12"/>
        <v>970</v>
      </c>
      <c r="J708" s="18" t="s">
        <v>1199</v>
      </c>
      <c r="K708" s="18">
        <v>5019750</v>
      </c>
      <c r="L708" s="18" t="s">
        <v>1095</v>
      </c>
      <c r="M708" s="18" t="s">
        <v>1095</v>
      </c>
      <c r="N708" s="16" t="s">
        <v>1095</v>
      </c>
      <c r="O708" s="18" t="s">
        <v>1095</v>
      </c>
      <c r="P708" s="18" t="s">
        <v>1095</v>
      </c>
      <c r="Q708" s="29" t="str" cm="1">
        <f t="array" ref="Q708">_xlfn.IFS(
A708="","",
AND(A708&lt;&gt;"",B708=""),"FALTA LANÇAMENTO",
AND(B708&lt;&gt;"",M708=""),"FALTA O PEDIDO",
AND(M708&lt;&gt;"",O708=""),"FALTA NF",
O708&lt;&gt;"","CONCLUÍDO")</f>
        <v>CONCLUÍDO</v>
      </c>
      <c r="R708" s="36"/>
    </row>
    <row r="709" spans="1:18" hidden="1">
      <c r="A709" s="16">
        <v>46080</v>
      </c>
      <c r="B709" s="16">
        <v>46093</v>
      </c>
      <c r="C709" s="21">
        <v>16170044</v>
      </c>
      <c r="D709" s="16" t="str">
        <f>IFERROR(VLOOKUP(Tabela5[[#This Row],[PREFIXO ]],Tabela4[#All],2,0),"CENTRO DE CUSTO")</f>
        <v>CENTRO DE CUSTO</v>
      </c>
      <c r="E709" s="18" t="s">
        <v>62</v>
      </c>
      <c r="F709" s="21">
        <v>1143</v>
      </c>
      <c r="G709" s="22">
        <v>4590</v>
      </c>
      <c r="H709" s="22">
        <v>7510.31</v>
      </c>
      <c r="I709" s="22">
        <f t="shared" si="12"/>
        <v>12100.310000000001</v>
      </c>
      <c r="J709" s="18" t="s">
        <v>1199</v>
      </c>
      <c r="K709" s="18">
        <v>9792489</v>
      </c>
      <c r="L709" s="18">
        <v>881836</v>
      </c>
      <c r="M709" s="18" t="s">
        <v>2267</v>
      </c>
      <c r="N709" s="16" t="s">
        <v>2268</v>
      </c>
      <c r="O709" s="18" t="s">
        <v>2269</v>
      </c>
      <c r="P709" s="18" t="s">
        <v>1873</v>
      </c>
      <c r="Q709" s="29" t="str" cm="1">
        <f t="array" ref="Q709">_xlfn.IFS(
A709="","",
AND(A709&lt;&gt;"",B709=""),"FALTA LANÇAMENTO",
AND(B709&lt;&gt;"",M709=""),"FALTA O PEDIDO",
AND(M709&lt;&gt;"",O709=""),"FALTA NF",
O709&lt;&gt;"","CONCLUÍDO")</f>
        <v>CONCLUÍDO</v>
      </c>
      <c r="R709" s="36"/>
    </row>
    <row r="710" spans="1:18" hidden="1">
      <c r="A710" s="16">
        <v>46080</v>
      </c>
      <c r="B710" s="16">
        <v>46086</v>
      </c>
      <c r="C710" s="21">
        <v>31521036</v>
      </c>
      <c r="D710" s="16" t="str">
        <f>IFERROR(VLOOKUP(Tabela5[[#This Row],[PREFIXO ]],Tabela4[#All],2,0),"CENTRO DE CUSTO")</f>
        <v>ADUB AUTOPROP KUHN ACCURA ST 7000</v>
      </c>
      <c r="E710" s="18" t="s">
        <v>62</v>
      </c>
      <c r="F710" s="21">
        <v>1145</v>
      </c>
      <c r="G710" s="22">
        <v>720</v>
      </c>
      <c r="H710" s="22"/>
      <c r="I710" s="22">
        <f t="shared" si="12"/>
        <v>720</v>
      </c>
      <c r="J710" s="18" t="s">
        <v>1265</v>
      </c>
      <c r="K710" s="18">
        <v>9791956</v>
      </c>
      <c r="L710" s="18">
        <v>879656</v>
      </c>
      <c r="M710" s="18" t="s">
        <v>2270</v>
      </c>
      <c r="N710" s="16" t="s">
        <v>1594</v>
      </c>
      <c r="O710" s="18" t="s">
        <v>2271</v>
      </c>
      <c r="P710" s="18" t="s">
        <v>1871</v>
      </c>
      <c r="Q710" s="29" t="str" cm="1">
        <f t="array" ref="Q710">_xlfn.IFS(
A710="","",
AND(A710&lt;&gt;"",B710=""),"FALTA LANÇAMENTO",
AND(B710&lt;&gt;"",M710=""),"FALTA O PEDIDO",
AND(M710&lt;&gt;"",O710=""),"FALTA NF",
O710&lt;&gt;"","CONCLUÍDO")</f>
        <v>CONCLUÍDO</v>
      </c>
      <c r="R710" s="36"/>
    </row>
    <row r="711" spans="1:18" hidden="1">
      <c r="A711" s="16">
        <v>46080</v>
      </c>
      <c r="B711" s="16">
        <v>46092</v>
      </c>
      <c r="C711" s="21">
        <v>51521062</v>
      </c>
      <c r="D711" s="16" t="str">
        <f>IFERROR(VLOOKUP(Tabela5[[#This Row],[PREFIXO ]],Tabela4[#All],2,0),"CENTRO DE CUSTO")</f>
        <v>COLHED ALGODÃO JOHN DEERE CP 690</v>
      </c>
      <c r="E711" s="18" t="s">
        <v>67</v>
      </c>
      <c r="F711" s="21">
        <v>111</v>
      </c>
      <c r="G711" s="22">
        <v>2200</v>
      </c>
      <c r="H711" s="22">
        <v>6300</v>
      </c>
      <c r="I711" s="22">
        <f t="shared" si="12"/>
        <v>8500</v>
      </c>
      <c r="J711" s="18" t="s">
        <v>1123</v>
      </c>
      <c r="K711" s="18">
        <v>9792307</v>
      </c>
      <c r="L711" s="18">
        <v>881707</v>
      </c>
      <c r="M711" s="18" t="s">
        <v>2272</v>
      </c>
      <c r="N711" s="16" t="s">
        <v>2268</v>
      </c>
      <c r="O711" s="18" t="s">
        <v>2273</v>
      </c>
      <c r="P711" s="18" t="s">
        <v>2227</v>
      </c>
      <c r="Q711" s="29" t="str" cm="1">
        <f t="array" ref="Q711">_xlfn.IFS(
A711="","",
AND(A711&lt;&gt;"",B711=""),"FALTA LANÇAMENTO",
AND(B711&lt;&gt;"",M711=""),"FALTA O PEDIDO",
AND(M711&lt;&gt;"",O711=""),"FALTA NF",
O711&lt;&gt;"","CONCLUÍDO")</f>
        <v>CONCLUÍDO</v>
      </c>
      <c r="R711" s="36"/>
    </row>
    <row r="712" spans="1:18" hidden="1">
      <c r="A712" s="16">
        <v>46080</v>
      </c>
      <c r="B712" s="16">
        <v>46092</v>
      </c>
      <c r="C712" s="21">
        <v>31521033</v>
      </c>
      <c r="D712" s="16" t="str">
        <f>IFERROR(VLOOKUP(Tabela5[[#This Row],[PREFIXO ]],Tabela4[#All],2,0),"CENTRO DE CUSTO")</f>
        <v>ADUB AUTOPROP KUHN ACCURA ST 7000</v>
      </c>
      <c r="E712" s="18" t="s">
        <v>67</v>
      </c>
      <c r="F712" s="21">
        <v>103</v>
      </c>
      <c r="G712" s="22">
        <v>2000</v>
      </c>
      <c r="H712" s="22">
        <v>5300</v>
      </c>
      <c r="I712" s="22">
        <f t="shared" si="12"/>
        <v>7300</v>
      </c>
      <c r="J712" s="18" t="s">
        <v>1080</v>
      </c>
      <c r="K712" s="18">
        <v>9792310</v>
      </c>
      <c r="L712" s="18">
        <v>881700</v>
      </c>
      <c r="M712" s="18" t="s">
        <v>2274</v>
      </c>
      <c r="N712" s="16" t="s">
        <v>2268</v>
      </c>
      <c r="O712" s="18" t="s">
        <v>2275</v>
      </c>
      <c r="P712" s="18" t="s">
        <v>2227</v>
      </c>
      <c r="Q712" s="29" t="str" cm="1">
        <f t="array" ref="Q712">_xlfn.IFS(
A712="","",
AND(A712&lt;&gt;"",B712=""),"FALTA LANÇAMENTO",
AND(B712&lt;&gt;"",M712=""),"FALTA O PEDIDO",
AND(M712&lt;&gt;"",O712=""),"FALTA NF",
O712&lt;&gt;"","CONCLUÍDO")</f>
        <v>CONCLUÍDO</v>
      </c>
      <c r="R712" s="36"/>
    </row>
    <row r="713" spans="1:18" hidden="1">
      <c r="A713" s="16">
        <v>46080</v>
      </c>
      <c r="B713" s="16">
        <v>46092</v>
      </c>
      <c r="C713" s="21">
        <v>51521070</v>
      </c>
      <c r="D713" s="16" t="str">
        <f>IFERROR(VLOOKUP(Tabela5[[#This Row],[PREFIXO ]],Tabela4[#All],2,0),"CENTRO DE CUSTO")</f>
        <v>COLHED ALGODÃO JOHN DEERE CP 690</v>
      </c>
      <c r="E713" s="18" t="s">
        <v>67</v>
      </c>
      <c r="F713" s="21">
        <v>104</v>
      </c>
      <c r="G713" s="22">
        <v>1850</v>
      </c>
      <c r="H713" s="22">
        <v>3150</v>
      </c>
      <c r="I713" s="22">
        <f t="shared" si="12"/>
        <v>5000</v>
      </c>
      <c r="J713" s="18" t="s">
        <v>1123</v>
      </c>
      <c r="K713" s="18">
        <v>9792159</v>
      </c>
      <c r="L713" s="18">
        <v>881741</v>
      </c>
      <c r="M713" s="18" t="s">
        <v>2276</v>
      </c>
      <c r="N713" s="16" t="s">
        <v>1691</v>
      </c>
      <c r="O713" s="18" t="s">
        <v>2277</v>
      </c>
      <c r="P713" s="18" t="s">
        <v>2278</v>
      </c>
      <c r="Q713" s="29" t="str" cm="1">
        <f t="array" ref="Q713">_xlfn.IFS(
A713="","",
AND(A713&lt;&gt;"",B713=""),"FALTA LANÇAMENTO",
AND(B713&lt;&gt;"",M713=""),"FALTA O PEDIDO",
AND(M713&lt;&gt;"",O713=""),"FALTA NF",
O713&lt;&gt;"","CONCLUÍDO")</f>
        <v>CONCLUÍDO</v>
      </c>
      <c r="R713" s="36"/>
    </row>
    <row r="714" spans="1:18" hidden="1">
      <c r="A714" s="16">
        <v>46080</v>
      </c>
      <c r="B714" s="16">
        <v>46092</v>
      </c>
      <c r="C714" s="21">
        <v>51521071</v>
      </c>
      <c r="D714" s="16" t="str">
        <f>IFERROR(VLOOKUP(Tabela5[[#This Row],[PREFIXO ]],Tabela4[#All],2,0),"CENTRO DE CUSTO")</f>
        <v>COLHED ALGODÃO JOHN DEERE CP 690</v>
      </c>
      <c r="E714" s="18" t="s">
        <v>67</v>
      </c>
      <c r="F714" s="21">
        <v>108</v>
      </c>
      <c r="G714" s="22">
        <v>1350</v>
      </c>
      <c r="H714" s="22">
        <v>3545.5</v>
      </c>
      <c r="I714" s="22">
        <f t="shared" si="12"/>
        <v>4895.5</v>
      </c>
      <c r="J714" s="18" t="s">
        <v>1123</v>
      </c>
      <c r="K714" s="18">
        <v>9792304</v>
      </c>
      <c r="L714" s="18">
        <v>881735</v>
      </c>
      <c r="M714" s="18" t="s">
        <v>2279</v>
      </c>
      <c r="N714" s="16" t="s">
        <v>1691</v>
      </c>
      <c r="O714" s="18" t="s">
        <v>2280</v>
      </c>
      <c r="P714" s="18" t="s">
        <v>2254</v>
      </c>
      <c r="Q714" s="29" t="str" cm="1">
        <f t="array" ref="Q714">_xlfn.IFS(
A714="","",
AND(A714&lt;&gt;"",B714=""),"FALTA LANÇAMENTO",
AND(B714&lt;&gt;"",M714=""),"FALTA O PEDIDO",
AND(M714&lt;&gt;"",O714=""),"FALTA NF",
O714&lt;&gt;"","CONCLUÍDO")</f>
        <v>CONCLUÍDO</v>
      </c>
      <c r="R714" s="36"/>
    </row>
    <row r="715" spans="1:18" hidden="1">
      <c r="A715" s="16">
        <v>46080</v>
      </c>
      <c r="B715" s="16">
        <v>46092</v>
      </c>
      <c r="C715" s="21">
        <v>51521060</v>
      </c>
      <c r="D715" s="16" t="str">
        <f>IFERROR(VLOOKUP(Tabela5[[#This Row],[PREFIXO ]],Tabela4[#All],2,0),"CENTRO DE CUSTO")</f>
        <v>COLHED ALGODÃO JOHN DEERE CP 690</v>
      </c>
      <c r="E715" s="18" t="s">
        <v>67</v>
      </c>
      <c r="F715" s="21">
        <v>106</v>
      </c>
      <c r="G715" s="22">
        <v>1100</v>
      </c>
      <c r="H715" s="22">
        <v>3523.8</v>
      </c>
      <c r="I715" s="22">
        <f t="shared" si="12"/>
        <v>4623.8</v>
      </c>
      <c r="J715" s="18" t="s">
        <v>1123</v>
      </c>
      <c r="K715" s="18">
        <v>9792302</v>
      </c>
      <c r="L715" s="18">
        <v>881739</v>
      </c>
      <c r="M715" s="18" t="s">
        <v>2281</v>
      </c>
      <c r="N715" s="16" t="s">
        <v>1691</v>
      </c>
      <c r="O715" s="18" t="s">
        <v>2282</v>
      </c>
      <c r="P715" s="18" t="s">
        <v>2278</v>
      </c>
      <c r="Q715" s="29" t="str" cm="1">
        <f t="array" ref="Q715">_xlfn.IFS(
A715="","",
AND(A715&lt;&gt;"",B715=""),"FALTA LANÇAMENTO",
AND(B715&lt;&gt;"",M715=""),"FALTA O PEDIDO",
AND(M715&lt;&gt;"",O715=""),"FALTA NF",
O715&lt;&gt;"","CONCLUÍDO")</f>
        <v>CONCLUÍDO</v>
      </c>
      <c r="R715" s="36"/>
    </row>
    <row r="716" spans="1:18" hidden="1">
      <c r="A716" s="16">
        <v>46080</v>
      </c>
      <c r="B716" s="16">
        <v>46092</v>
      </c>
      <c r="C716" s="21">
        <v>51521043</v>
      </c>
      <c r="D716" s="16" t="str">
        <f>IFERROR(VLOOKUP(Tabela5[[#This Row],[PREFIXO ]],Tabela4[#All],2,0),"CENTRO DE CUSTO")</f>
        <v>COLHED ALGODÃO JOHN DEERE CP 690</v>
      </c>
      <c r="E716" s="18" t="s">
        <v>67</v>
      </c>
      <c r="F716" s="21">
        <v>107</v>
      </c>
      <c r="G716" s="22">
        <v>1100</v>
      </c>
      <c r="H716" s="22">
        <v>3523.8</v>
      </c>
      <c r="I716" s="22">
        <f t="shared" si="12"/>
        <v>4623.8</v>
      </c>
      <c r="J716" s="18" t="s">
        <v>1123</v>
      </c>
      <c r="K716" s="18">
        <v>9792303</v>
      </c>
      <c r="L716" s="18">
        <v>881737</v>
      </c>
      <c r="M716" s="18" t="s">
        <v>2283</v>
      </c>
      <c r="N716" s="16" t="s">
        <v>1691</v>
      </c>
      <c r="O716" s="18" t="s">
        <v>2284</v>
      </c>
      <c r="P716" s="18" t="s">
        <v>2278</v>
      </c>
      <c r="Q716" s="29" t="str" cm="1">
        <f t="array" ref="Q716">_xlfn.IFS(
A716="","",
AND(A716&lt;&gt;"",B716=""),"FALTA LANÇAMENTO",
AND(B716&lt;&gt;"",M716=""),"FALTA O PEDIDO",
AND(M716&lt;&gt;"",O716=""),"FALTA NF",
O716&lt;&gt;"","CONCLUÍDO")</f>
        <v>CONCLUÍDO</v>
      </c>
      <c r="R716" s="36"/>
    </row>
    <row r="717" spans="1:18" hidden="1">
      <c r="A717" s="16">
        <v>46080</v>
      </c>
      <c r="B717" s="16">
        <v>46090</v>
      </c>
      <c r="C717" s="21">
        <v>500580349</v>
      </c>
      <c r="D717" s="16" t="str">
        <f>IFERROR(VLOOKUP(Tabela5[[#This Row],[PREFIXO ]],Tabela4[#All],2,0),"CENTRO DE CUSTO")</f>
        <v>ADUBADORES AUTOPROPE</v>
      </c>
      <c r="E717" s="18" t="s">
        <v>67</v>
      </c>
      <c r="F717" s="21">
        <v>97</v>
      </c>
      <c r="G717" s="22">
        <v>4400</v>
      </c>
      <c r="H717" s="22"/>
      <c r="I717" s="22">
        <f t="shared" si="12"/>
        <v>4400</v>
      </c>
      <c r="J717" s="18" t="s">
        <v>1080</v>
      </c>
      <c r="K717" s="18">
        <v>5019794</v>
      </c>
      <c r="L717" s="18">
        <v>880152</v>
      </c>
      <c r="M717" s="18" t="s">
        <v>2285</v>
      </c>
      <c r="N717" s="16" t="s">
        <v>1594</v>
      </c>
      <c r="O717" s="18" t="s">
        <v>2286</v>
      </c>
      <c r="P717" s="18" t="s">
        <v>2201</v>
      </c>
      <c r="Q717" s="29" t="str" cm="1">
        <f t="array" ref="Q717">_xlfn.IFS(
A717="","",
AND(A717&lt;&gt;"",B717=""),"FALTA LANÇAMENTO",
AND(B717&lt;&gt;"",M717=""),"FALTA O PEDIDO",
AND(M717&lt;&gt;"",O717=""),"FALTA NF",
O717&lt;&gt;"","CONCLUÍDO")</f>
        <v>CONCLUÍDO</v>
      </c>
      <c r="R717" s="36"/>
    </row>
    <row r="718" spans="1:18" hidden="1">
      <c r="A718" s="16">
        <v>46080</v>
      </c>
      <c r="B718" s="16">
        <v>46092</v>
      </c>
      <c r="C718" s="21">
        <v>51521055</v>
      </c>
      <c r="D718" s="16" t="str">
        <f>IFERROR(VLOOKUP(Tabela5[[#This Row],[PREFIXO ]],Tabela4[#All],2,0),"CENTRO DE CUSTO")</f>
        <v>COLHED ALGODÃO JOHN DEERE CP 690</v>
      </c>
      <c r="E718" s="18" t="s">
        <v>67</v>
      </c>
      <c r="F718" s="21">
        <v>105</v>
      </c>
      <c r="G718" s="22">
        <v>1100</v>
      </c>
      <c r="H718" s="22">
        <v>3150</v>
      </c>
      <c r="I718" s="22">
        <f t="shared" si="12"/>
        <v>4250</v>
      </c>
      <c r="J718" s="18" t="s">
        <v>1123</v>
      </c>
      <c r="K718" s="18">
        <v>9792301</v>
      </c>
      <c r="L718" s="18">
        <v>881738</v>
      </c>
      <c r="M718" s="18" t="s">
        <v>2287</v>
      </c>
      <c r="N718" s="16" t="s">
        <v>1691</v>
      </c>
      <c r="O718" s="18" t="s">
        <v>2288</v>
      </c>
      <c r="P718" s="18" t="s">
        <v>2227</v>
      </c>
      <c r="Q718" s="29" t="str" cm="1">
        <f t="array" ref="Q718">_xlfn.IFS(
A718="","",
AND(A718&lt;&gt;"",B718=""),"FALTA LANÇAMENTO",
AND(B718&lt;&gt;"",M718=""),"FALTA O PEDIDO",
AND(M718&lt;&gt;"",O718=""),"FALTA NF",
O718&lt;&gt;"","CONCLUÍDO")</f>
        <v>CONCLUÍDO</v>
      </c>
      <c r="R718" s="36"/>
    </row>
    <row r="719" spans="1:18" hidden="1">
      <c r="A719" s="16">
        <v>46080</v>
      </c>
      <c r="B719" s="16">
        <v>46092</v>
      </c>
      <c r="C719" s="21">
        <v>51521068</v>
      </c>
      <c r="D719" s="16" t="str">
        <f>IFERROR(VLOOKUP(Tabela5[[#This Row],[PREFIXO ]],Tabela4[#All],2,0),"CENTRO DE CUSTO")</f>
        <v>COLHED ALGODÃO JOHN DEERE CP 690</v>
      </c>
      <c r="E719" s="18" t="s">
        <v>67</v>
      </c>
      <c r="F719" s="21">
        <v>109</v>
      </c>
      <c r="G719" s="22">
        <v>1100</v>
      </c>
      <c r="H719" s="22">
        <v>3150</v>
      </c>
      <c r="I719" s="22">
        <f t="shared" si="12"/>
        <v>4250</v>
      </c>
      <c r="J719" s="18" t="s">
        <v>1123</v>
      </c>
      <c r="K719" s="18">
        <v>9792305</v>
      </c>
      <c r="L719" s="18">
        <v>881731</v>
      </c>
      <c r="M719" s="18" t="s">
        <v>2289</v>
      </c>
      <c r="N719" s="16" t="s">
        <v>2268</v>
      </c>
      <c r="O719" s="18" t="s">
        <v>2290</v>
      </c>
      <c r="P719" s="18" t="s">
        <v>2227</v>
      </c>
      <c r="Q719" s="29" t="str" cm="1">
        <f t="array" ref="Q719">_xlfn.IFS(
A719="","",
AND(A719&lt;&gt;"",B719=""),"FALTA LANÇAMENTO",
AND(B719&lt;&gt;"",M719=""),"FALTA O PEDIDO",
AND(M719&lt;&gt;"",O719=""),"FALTA NF",
O719&lt;&gt;"","CONCLUÍDO")</f>
        <v>CONCLUÍDO</v>
      </c>
      <c r="R719" s="36"/>
    </row>
    <row r="720" spans="1:18" hidden="1">
      <c r="A720" s="16">
        <v>46080</v>
      </c>
      <c r="B720" s="16">
        <v>46099</v>
      </c>
      <c r="C720" s="21" t="s">
        <v>1134</v>
      </c>
      <c r="D720" s="16" t="str">
        <f>IFERROR(VLOOKUP(Tabela5[[#This Row],[PREFIXO ]],Tabela4[#All],2,0),"CENTRO DE CUSTO")</f>
        <v>CENTRO DE CUSTO</v>
      </c>
      <c r="E720" s="18" t="s">
        <v>67</v>
      </c>
      <c r="F720" s="21">
        <v>112</v>
      </c>
      <c r="G720" s="22">
        <v>1100</v>
      </c>
      <c r="H720" s="22">
        <v>3150</v>
      </c>
      <c r="I720" s="22">
        <f t="shared" si="12"/>
        <v>4250</v>
      </c>
      <c r="J720" s="18" t="s">
        <v>1123</v>
      </c>
      <c r="K720" s="18">
        <v>9802465</v>
      </c>
      <c r="L720" s="18">
        <v>889337</v>
      </c>
      <c r="M720" s="18" t="s">
        <v>2291</v>
      </c>
      <c r="N720" s="16" t="s">
        <v>2201</v>
      </c>
      <c r="O720" s="18" t="s">
        <v>2292</v>
      </c>
      <c r="P720" s="18" t="s">
        <v>2278</v>
      </c>
      <c r="Q720" s="29" t="str" cm="1">
        <f t="array" ref="Q720">_xlfn.IFS(
A720="","",
AND(A720&lt;&gt;"",B720=""),"FALTA LANÇAMENTO",
AND(B720&lt;&gt;"",M720=""),"FALTA O PEDIDO",
AND(M720&lt;&gt;"",O720=""),"FALTA NF",
O720&lt;&gt;"","CONCLUÍDO")</f>
        <v>CONCLUÍDO</v>
      </c>
      <c r="R720" s="36"/>
    </row>
    <row r="721" spans="1:18" hidden="1">
      <c r="A721" s="16">
        <v>46080</v>
      </c>
      <c r="B721" s="16">
        <v>46092</v>
      </c>
      <c r="C721" s="21">
        <v>31521038</v>
      </c>
      <c r="D721" s="16" t="str">
        <f>IFERROR(VLOOKUP(Tabela5[[#This Row],[PREFIXO ]],Tabela4[#All],2,0),"CENTRO DE CUSTO")</f>
        <v>ADUB AUTOPROP KUHN ACCURA ST 7000</v>
      </c>
      <c r="E721" s="18" t="s">
        <v>67</v>
      </c>
      <c r="F721" s="21">
        <v>102</v>
      </c>
      <c r="G721" s="22">
        <v>3406.29</v>
      </c>
      <c r="H721" s="22">
        <v>274.2</v>
      </c>
      <c r="I721" s="22">
        <f t="shared" si="12"/>
        <v>3680.49</v>
      </c>
      <c r="J721" s="18" t="s">
        <v>1080</v>
      </c>
      <c r="K721" s="18">
        <v>9792308</v>
      </c>
      <c r="L721" s="18">
        <v>881705</v>
      </c>
      <c r="M721" s="18" t="s">
        <v>2293</v>
      </c>
      <c r="N721" s="16" t="s">
        <v>2268</v>
      </c>
      <c r="O721" s="18" t="s">
        <v>2294</v>
      </c>
      <c r="P721" s="18" t="s">
        <v>2227</v>
      </c>
      <c r="Q721" s="29" t="str" cm="1">
        <f t="array" ref="Q721">_xlfn.IFS(
A721="","",
AND(A721&lt;&gt;"",B721=""),"FALTA LANÇAMENTO",
AND(B721&lt;&gt;"",M721=""),"FALTA O PEDIDO",
AND(M721&lt;&gt;"",O721=""),"FALTA NF",
O721&lt;&gt;"","CONCLUÍDO")</f>
        <v>CONCLUÍDO</v>
      </c>
      <c r="R721" s="36"/>
    </row>
    <row r="722" spans="1:18" hidden="1">
      <c r="A722" s="16">
        <v>46080</v>
      </c>
      <c r="B722" s="16">
        <v>46086</v>
      </c>
      <c r="C722" s="21">
        <v>13130037</v>
      </c>
      <c r="D722" s="16" t="str">
        <f>IFERROR(VLOOKUP(Tabela5[[#This Row],[PREFIXO ]],Tabela4[#All],2,0),"CENTRO DE CUSTO")</f>
        <v>PULV AUTOPROP JOHN DEERE M4030</v>
      </c>
      <c r="E722" s="18" t="s">
        <v>67</v>
      </c>
      <c r="F722" s="21">
        <v>98</v>
      </c>
      <c r="G722" s="22">
        <v>2562.12</v>
      </c>
      <c r="H722" s="22"/>
      <c r="I722" s="22">
        <f t="shared" si="12"/>
        <v>2562.12</v>
      </c>
      <c r="J722" s="18" t="s">
        <v>1080</v>
      </c>
      <c r="K722" s="18">
        <v>9791796</v>
      </c>
      <c r="L722" s="18">
        <v>878734</v>
      </c>
      <c r="M722" s="18" t="s">
        <v>2295</v>
      </c>
      <c r="N722" s="16" t="s">
        <v>1594</v>
      </c>
      <c r="O722" s="18" t="s">
        <v>2296</v>
      </c>
      <c r="P722" s="18" t="s">
        <v>2201</v>
      </c>
      <c r="Q722" s="29" t="str" cm="1">
        <f t="array" ref="Q722">_xlfn.IFS(
A722="","",
AND(A722&lt;&gt;"",B722=""),"FALTA LANÇAMENTO",
AND(B722&lt;&gt;"",M722=""),"FALTA O PEDIDO",
AND(M722&lt;&gt;"",O722=""),"FALTA NF",
O722&lt;&gt;"","CONCLUÍDO")</f>
        <v>CONCLUÍDO</v>
      </c>
      <c r="R722" s="36"/>
    </row>
    <row r="723" spans="1:18" hidden="1">
      <c r="A723" s="16">
        <v>46080</v>
      </c>
      <c r="B723" s="16">
        <v>46086</v>
      </c>
      <c r="C723" s="21">
        <v>23120017</v>
      </c>
      <c r="D723" s="16" t="str">
        <f>IFERROR(VLOOKUP(Tabela5[[#This Row],[PREFIXO ]],Tabela4[#All],2,0),"CENTRO DE CUSTO")</f>
        <v>EMPILHA COMBUST TOYOTA 8FGU30</v>
      </c>
      <c r="E723" s="18" t="s">
        <v>67</v>
      </c>
      <c r="F723" s="21">
        <v>92</v>
      </c>
      <c r="G723" s="22">
        <v>1800</v>
      </c>
      <c r="H723" s="22"/>
      <c r="I723" s="22">
        <f t="shared" si="12"/>
        <v>1800</v>
      </c>
      <c r="J723" s="18" t="s">
        <v>1085</v>
      </c>
      <c r="K723" s="18">
        <v>9791945</v>
      </c>
      <c r="L723" s="18">
        <v>878734</v>
      </c>
      <c r="M723" s="18" t="s">
        <v>2295</v>
      </c>
      <c r="N723" s="16" t="s">
        <v>1594</v>
      </c>
      <c r="O723" s="18" t="s">
        <v>2296</v>
      </c>
      <c r="P723" s="18" t="s">
        <v>2201</v>
      </c>
      <c r="Q723" s="29" t="str" cm="1">
        <f t="array" ref="Q723">_xlfn.IFS(
A723="","",
AND(A723&lt;&gt;"",B723=""),"FALTA LANÇAMENTO",
AND(B723&lt;&gt;"",M723=""),"FALTA O PEDIDO",
AND(M723&lt;&gt;"",O723=""),"FALTA NF",
O723&lt;&gt;"","CONCLUÍDO")</f>
        <v>CONCLUÍDO</v>
      </c>
      <c r="R723" s="36"/>
    </row>
    <row r="724" spans="1:18" hidden="1">
      <c r="A724" s="16">
        <v>46080</v>
      </c>
      <c r="B724" s="16">
        <v>46086</v>
      </c>
      <c r="C724" s="21">
        <v>13130045</v>
      </c>
      <c r="D724" s="16" t="str">
        <f>IFERROR(VLOOKUP(Tabela5[[#This Row],[PREFIXO ]],Tabela4[#All],2,0),"CENTRO DE CUSTO")</f>
        <v>PULV AUTOPROP JOHN DEERE M4030</v>
      </c>
      <c r="E724" s="18" t="s">
        <v>67</v>
      </c>
      <c r="F724" s="21">
        <v>99</v>
      </c>
      <c r="G724" s="22">
        <v>1709.64</v>
      </c>
      <c r="H724" s="22"/>
      <c r="I724" s="22">
        <f t="shared" si="12"/>
        <v>1709.64</v>
      </c>
      <c r="J724" s="18" t="s">
        <v>1080</v>
      </c>
      <c r="K724" s="18">
        <v>9791798</v>
      </c>
      <c r="L724" s="18">
        <v>878734</v>
      </c>
      <c r="M724" s="18" t="s">
        <v>2295</v>
      </c>
      <c r="N724" s="16" t="s">
        <v>1594</v>
      </c>
      <c r="O724" s="18" t="s">
        <v>2296</v>
      </c>
      <c r="P724" s="18" t="s">
        <v>2201</v>
      </c>
      <c r="Q724" s="29" t="str" cm="1">
        <f t="array" ref="Q724">_xlfn.IFS(
A724="","",
AND(A724&lt;&gt;"",B724=""),"FALTA LANÇAMENTO",
AND(B724&lt;&gt;"",M724=""),"FALTA O PEDIDO",
AND(M724&lt;&gt;"",O724=""),"FALTA NF",
O724&lt;&gt;"","CONCLUÍDO")</f>
        <v>CONCLUÍDO</v>
      </c>
      <c r="R724" s="36"/>
    </row>
    <row r="725" spans="1:18" hidden="1">
      <c r="A725" s="16">
        <v>46080</v>
      </c>
      <c r="B725" s="16">
        <v>46086</v>
      </c>
      <c r="C725" s="21">
        <v>61730008</v>
      </c>
      <c r="D725" s="16" t="str">
        <f>IFERROR(VLOOKUP(Tabela5[[#This Row],[PREFIXO ]],Tabela4[#All],2,0),"CENTRO DE CUSTO")</f>
        <v>CENTRO DE CUSTO</v>
      </c>
      <c r="E725" s="18" t="s">
        <v>67</v>
      </c>
      <c r="F725" s="21">
        <v>94</v>
      </c>
      <c r="G725" s="22">
        <v>1500</v>
      </c>
      <c r="H725" s="22"/>
      <c r="I725" s="22">
        <f t="shared" si="12"/>
        <v>1500</v>
      </c>
      <c r="J725" s="18" t="s">
        <v>1085</v>
      </c>
      <c r="K725" s="18">
        <v>971944</v>
      </c>
      <c r="L725" s="18">
        <v>878734</v>
      </c>
      <c r="M725" s="18" t="s">
        <v>2295</v>
      </c>
      <c r="N725" s="16" t="s">
        <v>1594</v>
      </c>
      <c r="O725" s="18" t="s">
        <v>2296</v>
      </c>
      <c r="P725" s="18" t="s">
        <v>2201</v>
      </c>
      <c r="Q725" s="29" t="str" cm="1">
        <f t="array" ref="Q725">_xlfn.IFS(
A725="","",
AND(A725&lt;&gt;"",B725=""),"FALTA LANÇAMENTO",
AND(B725&lt;&gt;"",M725=""),"FALTA O PEDIDO",
AND(M725&lt;&gt;"",O725=""),"FALTA NF",
O725&lt;&gt;"","CONCLUÍDO")</f>
        <v>CONCLUÍDO</v>
      </c>
      <c r="R725" s="36"/>
    </row>
    <row r="726" spans="1:18" hidden="1">
      <c r="A726" s="16">
        <v>46080</v>
      </c>
      <c r="B726" s="16">
        <v>46092</v>
      </c>
      <c r="C726" s="21">
        <v>51521062</v>
      </c>
      <c r="D726" s="16" t="str">
        <f>IFERROR(VLOOKUP(Tabela5[[#This Row],[PREFIXO ]],Tabela4[#All],2,0),"CENTRO DE CUSTO")</f>
        <v>COLHED ALGODÃO JOHN DEERE CP 690</v>
      </c>
      <c r="E726" s="18" t="s">
        <v>67</v>
      </c>
      <c r="F726" s="21">
        <v>110</v>
      </c>
      <c r="G726" s="22">
        <v>250</v>
      </c>
      <c r="H726" s="22">
        <v>791</v>
      </c>
      <c r="I726" s="22">
        <f t="shared" si="12"/>
        <v>1041</v>
      </c>
      <c r="J726" s="18" t="s">
        <v>1123</v>
      </c>
      <c r="K726" s="18">
        <v>9792306</v>
      </c>
      <c r="L726" s="18">
        <v>881723</v>
      </c>
      <c r="M726" s="18" t="s">
        <v>2297</v>
      </c>
      <c r="N726" s="16" t="s">
        <v>1691</v>
      </c>
      <c r="O726" s="18" t="s">
        <v>2298</v>
      </c>
      <c r="P726" s="18" t="s">
        <v>2227</v>
      </c>
      <c r="Q726" s="29" t="str" cm="1">
        <f t="array" ref="Q726">_xlfn.IFS(
A726="","",
AND(A726&lt;&gt;"",B726=""),"FALTA LANÇAMENTO",
AND(B726&lt;&gt;"",M726=""),"FALTA O PEDIDO",
AND(M726&lt;&gt;"",O726=""),"FALTA NF",
O726&lt;&gt;"","CONCLUÍDO")</f>
        <v>CONCLUÍDO</v>
      </c>
      <c r="R726" s="36"/>
    </row>
    <row r="727" spans="1:18" hidden="1">
      <c r="A727" s="16">
        <v>46080</v>
      </c>
      <c r="B727" s="16">
        <v>46086</v>
      </c>
      <c r="C727" s="21">
        <v>61521053</v>
      </c>
      <c r="D727" s="16" t="str">
        <f>IFERROR(VLOOKUP(Tabela5[[#This Row],[PREFIXO ]],Tabela4[#All],2,0),"CENTRO DE CUSTO")</f>
        <v>CAM CARGA SECA MERC BENZ ATEGO 1719</v>
      </c>
      <c r="E727" s="18" t="s">
        <v>67</v>
      </c>
      <c r="F727" s="21">
        <v>95</v>
      </c>
      <c r="G727" s="22">
        <v>675</v>
      </c>
      <c r="H727" s="22"/>
      <c r="I727" s="22">
        <f t="shared" si="12"/>
        <v>675</v>
      </c>
      <c r="J727" s="18" t="s">
        <v>1085</v>
      </c>
      <c r="K727" s="18">
        <v>9791943</v>
      </c>
      <c r="L727" s="18">
        <v>878734</v>
      </c>
      <c r="M727" s="18" t="s">
        <v>2295</v>
      </c>
      <c r="N727" s="16" t="s">
        <v>1594</v>
      </c>
      <c r="O727" s="18" t="s">
        <v>2296</v>
      </c>
      <c r="P727" s="18" t="s">
        <v>2201</v>
      </c>
      <c r="Q727" s="29" t="str" cm="1">
        <f t="array" ref="Q727">_xlfn.IFS(
A727="","",
AND(A727&lt;&gt;"",B727=""),"FALTA LANÇAMENTO",
AND(B727&lt;&gt;"",M727=""),"FALTA O PEDIDO",
AND(M727&lt;&gt;"",O727=""),"FALTA NF",
O727&lt;&gt;"","CONCLUÍDO")</f>
        <v>CONCLUÍDO</v>
      </c>
      <c r="R727" s="36"/>
    </row>
    <row r="728" spans="1:18" hidden="1">
      <c r="A728" s="16">
        <v>46080</v>
      </c>
      <c r="B728" s="16">
        <v>46086</v>
      </c>
      <c r="C728" s="21">
        <v>31521043</v>
      </c>
      <c r="D728" s="16" t="str">
        <f>IFERROR(VLOOKUP(Tabela5[[#This Row],[PREFIXO ]],Tabela4[#All],2,0),"CENTRO DE CUSTO")</f>
        <v>ADUB AUTOPROP JACTO UNIPORT 5030NPK</v>
      </c>
      <c r="E728" s="18" t="s">
        <v>67</v>
      </c>
      <c r="F728" s="21">
        <v>93</v>
      </c>
      <c r="G728" s="22">
        <v>623.20000000000005</v>
      </c>
      <c r="H728" s="22"/>
      <c r="I728" s="22">
        <f t="shared" si="12"/>
        <v>623.20000000000005</v>
      </c>
      <c r="J728" s="18" t="s">
        <v>1080</v>
      </c>
      <c r="K728" s="18">
        <v>9791942</v>
      </c>
      <c r="L728" s="18">
        <v>878734</v>
      </c>
      <c r="M728" s="18" t="s">
        <v>2295</v>
      </c>
      <c r="N728" s="16" t="s">
        <v>1594</v>
      </c>
      <c r="O728" s="18" t="s">
        <v>2296</v>
      </c>
      <c r="P728" s="18" t="s">
        <v>2201</v>
      </c>
      <c r="Q728" s="29" t="str" cm="1">
        <f t="array" ref="Q728">_xlfn.IFS(
A728="","",
AND(A728&lt;&gt;"",B728=""),"FALTA LANÇAMENTO",
AND(B728&lt;&gt;"",M728=""),"FALTA O PEDIDO",
AND(M728&lt;&gt;"",O728=""),"FALTA NF",
O728&lt;&gt;"","CONCLUÍDO")</f>
        <v>CONCLUÍDO</v>
      </c>
      <c r="R728" s="36"/>
    </row>
    <row r="729" spans="1:18" hidden="1">
      <c r="A729" s="16">
        <v>46080</v>
      </c>
      <c r="B729" s="16">
        <v>46086</v>
      </c>
      <c r="C729" s="21">
        <v>31521036</v>
      </c>
      <c r="D729" s="16" t="str">
        <f>IFERROR(VLOOKUP(Tabela5[[#This Row],[PREFIXO ]],Tabela4[#All],2,0),"CENTRO DE CUSTO")</f>
        <v>ADUB AUTOPROP KUHN ACCURA ST 7000</v>
      </c>
      <c r="E729" s="18" t="s">
        <v>67</v>
      </c>
      <c r="F729" s="21">
        <v>100</v>
      </c>
      <c r="G729" s="22">
        <v>373.2</v>
      </c>
      <c r="H729" s="22"/>
      <c r="I729" s="22">
        <f t="shared" si="12"/>
        <v>373.2</v>
      </c>
      <c r="J729" s="18" t="s">
        <v>1080</v>
      </c>
      <c r="K729" s="18">
        <v>9791941</v>
      </c>
      <c r="L729" s="18">
        <v>878734</v>
      </c>
      <c r="M729" s="18" t="s">
        <v>2295</v>
      </c>
      <c r="N729" s="16" t="s">
        <v>1594</v>
      </c>
      <c r="O729" s="18" t="s">
        <v>2296</v>
      </c>
      <c r="P729" s="18" t="s">
        <v>2201</v>
      </c>
      <c r="Q729" s="29" t="str" cm="1">
        <f t="array" ref="Q729">_xlfn.IFS(
A729="","",
AND(A729&lt;&gt;"",B729=""),"FALTA LANÇAMENTO",
AND(B729&lt;&gt;"",M729=""),"FALTA O PEDIDO",
AND(M729&lt;&gt;"",O729=""),"FALTA NF",
O729&lt;&gt;"","CONCLUÍDO")</f>
        <v>CONCLUÍDO</v>
      </c>
      <c r="R729" s="36"/>
    </row>
    <row r="730" spans="1:18" hidden="1">
      <c r="A730" s="16">
        <v>46080</v>
      </c>
      <c r="B730" s="16">
        <v>46104</v>
      </c>
      <c r="C730" s="21">
        <v>12060003</v>
      </c>
      <c r="D730" s="16" t="str">
        <f>IFERROR(VLOOKUP(Tabela5[[#This Row],[PREFIXO ]],Tabela4[#All],2,0),"CENTRO DE CUSTO")</f>
        <v>ONIB RODOVIÁRIO MARCOPOLO NEOBUS MEGA</v>
      </c>
      <c r="E730" s="18" t="s">
        <v>96</v>
      </c>
      <c r="F730" s="21">
        <v>15288</v>
      </c>
      <c r="G730" s="22"/>
      <c r="H730" s="22">
        <v>2204.17</v>
      </c>
      <c r="I730" s="22">
        <f t="shared" si="12"/>
        <v>2204.17</v>
      </c>
      <c r="J730" s="18" t="s">
        <v>1085</v>
      </c>
      <c r="K730" s="18">
        <v>9792313</v>
      </c>
      <c r="L730" s="18">
        <v>881633</v>
      </c>
      <c r="M730" s="18" t="s">
        <v>2299</v>
      </c>
      <c r="N730" s="16" t="s">
        <v>2300</v>
      </c>
      <c r="O730" s="18" t="s">
        <v>2301</v>
      </c>
      <c r="P730" s="18" t="s">
        <v>2302</v>
      </c>
      <c r="Q730" s="29" t="str" cm="1">
        <f t="array" ref="Q730">_xlfn.IFS(
A730="","",
AND(A730&lt;&gt;"",B730=""),"FALTA LANÇAMENTO",
AND(B730&lt;&gt;"",M730=""),"FALTA O PEDIDO",
AND(M730&lt;&gt;"",O730=""),"FALTA NF",
O730&lt;&gt;"","CONCLUÍDO")</f>
        <v>CONCLUÍDO</v>
      </c>
      <c r="R730" s="36"/>
    </row>
    <row r="731" spans="1:18" hidden="1">
      <c r="A731" s="16">
        <v>46080</v>
      </c>
      <c r="B731" s="16">
        <v>46104</v>
      </c>
      <c r="C731" s="21">
        <v>12060003</v>
      </c>
      <c r="D731" s="16" t="str">
        <f>IFERROR(VLOOKUP(Tabela5[[#This Row],[PREFIXO ]],Tabela4[#All],2,0),"CENTRO DE CUSTO")</f>
        <v>ONIB RODOVIÁRIO MARCOPOLO NEOBUS MEGA</v>
      </c>
      <c r="E731" s="18" t="s">
        <v>96</v>
      </c>
      <c r="F731" s="21">
        <v>4101</v>
      </c>
      <c r="G731" s="22">
        <v>1548</v>
      </c>
      <c r="H731" s="22"/>
      <c r="I731" s="22">
        <f t="shared" si="12"/>
        <v>1548</v>
      </c>
      <c r="J731" s="18" t="s">
        <v>1085</v>
      </c>
      <c r="K731" s="18">
        <v>9792313</v>
      </c>
      <c r="L731" s="18">
        <v>881633</v>
      </c>
      <c r="M731" s="18" t="s">
        <v>2303</v>
      </c>
      <c r="N731" s="16" t="s">
        <v>2300</v>
      </c>
      <c r="O731" s="18" t="s">
        <v>2304</v>
      </c>
      <c r="P731" s="18" t="s">
        <v>2305</v>
      </c>
      <c r="Q731" s="29" t="str" cm="1">
        <f t="array" ref="Q731">_xlfn.IFS(
A731="","",
AND(A731&lt;&gt;"",B731=""),"FALTA LANÇAMENTO",
AND(B731&lt;&gt;"",M731=""),"FALTA O PEDIDO",
AND(M731&lt;&gt;"",O731=""),"FALTA NF",
O731&lt;&gt;"","CONCLUÍDO")</f>
        <v>CONCLUÍDO</v>
      </c>
      <c r="R731" s="36"/>
    </row>
    <row r="732" spans="1:18" hidden="1">
      <c r="A732" s="16">
        <v>46080</v>
      </c>
      <c r="B732" s="16">
        <v>46104</v>
      </c>
      <c r="C732" s="21">
        <v>31521038</v>
      </c>
      <c r="D732" s="16" t="str">
        <f>IFERROR(VLOOKUP(Tabela5[[#This Row],[PREFIXO ]],Tabela4[#All],2,0),"CENTRO DE CUSTO")</f>
        <v>ADUB AUTOPROP KUHN ACCURA ST 7000</v>
      </c>
      <c r="E732" s="18" t="s">
        <v>96</v>
      </c>
      <c r="F732" s="21">
        <v>4090</v>
      </c>
      <c r="G732" s="22">
        <v>1359</v>
      </c>
      <c r="H732" s="22"/>
      <c r="I732" s="22">
        <f t="shared" si="12"/>
        <v>1359</v>
      </c>
      <c r="J732" s="18" t="s">
        <v>1265</v>
      </c>
      <c r="K732" s="18">
        <v>9792417</v>
      </c>
      <c r="L732" s="18">
        <v>881510</v>
      </c>
      <c r="M732" s="18" t="s">
        <v>2306</v>
      </c>
      <c r="N732" s="16" t="s">
        <v>2307</v>
      </c>
      <c r="O732" s="18" t="s">
        <v>2308</v>
      </c>
      <c r="P732" s="18" t="s">
        <v>2305</v>
      </c>
      <c r="Q732" s="29" t="str" cm="1">
        <f t="array" ref="Q732">_xlfn.IFS(
A732="","",
AND(A732&lt;&gt;"",B732=""),"FALTA LANÇAMENTO",
AND(B732&lt;&gt;"",M732=""),"FALTA O PEDIDO",
AND(M732&lt;&gt;"",O732=""),"FALTA NF",
O732&lt;&gt;"","CONCLUÍDO")</f>
        <v>CONCLUÍDO</v>
      </c>
      <c r="R732" s="36"/>
    </row>
    <row r="733" spans="1:18" hidden="1">
      <c r="A733" s="16">
        <v>46080</v>
      </c>
      <c r="B733" s="16">
        <v>46104</v>
      </c>
      <c r="C733" s="21">
        <v>23120011</v>
      </c>
      <c r="D733" s="16" t="str">
        <f>IFERROR(VLOOKUP(Tabela5[[#This Row],[PREFIXO ]],Tabela4[#All],2,0),"CENTRO DE CUSTO")</f>
        <v>EMPILHA COMBUST TOYOTA 8FGU30</v>
      </c>
      <c r="E733" s="18" t="s">
        <v>96</v>
      </c>
      <c r="F733" s="21">
        <v>15284</v>
      </c>
      <c r="G733" s="22"/>
      <c r="H733" s="22">
        <v>1226.54</v>
      </c>
      <c r="I733" s="22">
        <f t="shared" si="12"/>
        <v>1226.54</v>
      </c>
      <c r="J733" s="18" t="s">
        <v>1085</v>
      </c>
      <c r="K733" s="18">
        <v>9792410</v>
      </c>
      <c r="L733" s="18">
        <v>881531</v>
      </c>
      <c r="M733" s="18" t="s">
        <v>2309</v>
      </c>
      <c r="N733" s="16" t="s">
        <v>2300</v>
      </c>
      <c r="O733" s="18" t="s">
        <v>2310</v>
      </c>
      <c r="P733" s="18" t="s">
        <v>2302</v>
      </c>
      <c r="Q733" s="29" t="str" cm="1">
        <f t="array" ref="Q733">_xlfn.IFS(
A733="","",
AND(A733&lt;&gt;"",B733=""),"FALTA LANÇAMENTO",
AND(B733&lt;&gt;"",M733=""),"FALTA O PEDIDO",
AND(M733&lt;&gt;"",O733=""),"FALTA NF",
O733&lt;&gt;"","CONCLUÍDO")</f>
        <v>CONCLUÍDO</v>
      </c>
      <c r="R733" s="36"/>
    </row>
    <row r="734" spans="1:18" hidden="1">
      <c r="A734" s="16">
        <v>46080</v>
      </c>
      <c r="B734" s="16">
        <v>46104</v>
      </c>
      <c r="C734" s="21">
        <v>1732414</v>
      </c>
      <c r="D734" s="16" t="str">
        <f>IFERROR(VLOOKUP(Tabela5[[#This Row],[PREFIXO ]],Tabela4[#All],2,0),"CENTRO DE CUSTO")</f>
        <v>MOTONIVELADORA JOHN DEERE 770 G</v>
      </c>
      <c r="E734" s="18" t="s">
        <v>96</v>
      </c>
      <c r="F734" s="21">
        <v>4089</v>
      </c>
      <c r="G734" s="22">
        <v>1021.5</v>
      </c>
      <c r="H734" s="22"/>
      <c r="I734" s="22">
        <f t="shared" si="12"/>
        <v>1021.5</v>
      </c>
      <c r="J734" s="18" t="s">
        <v>1265</v>
      </c>
      <c r="K734" s="18">
        <v>9792418</v>
      </c>
      <c r="L734" s="18">
        <v>881508</v>
      </c>
      <c r="M734" s="18" t="s">
        <v>2311</v>
      </c>
      <c r="N734" s="16" t="s">
        <v>2300</v>
      </c>
      <c r="O734" s="18" t="s">
        <v>2312</v>
      </c>
      <c r="P734" s="18" t="s">
        <v>2305</v>
      </c>
      <c r="Q734" s="29" t="str" cm="1">
        <f t="array" ref="Q734">_xlfn.IFS(
A734="","",
AND(A734&lt;&gt;"",B734=""),"FALTA LANÇAMENTO",
AND(B734&lt;&gt;"",M734=""),"FALTA O PEDIDO",
AND(M734&lt;&gt;"",O734=""),"FALTA NF",
O734&lt;&gt;"","CONCLUÍDO")</f>
        <v>CONCLUÍDO</v>
      </c>
      <c r="R734" s="36"/>
    </row>
    <row r="735" spans="1:18" hidden="1">
      <c r="A735" s="16">
        <v>46080</v>
      </c>
      <c r="B735" s="16">
        <v>46104</v>
      </c>
      <c r="C735" s="21">
        <v>31521038</v>
      </c>
      <c r="D735" s="16" t="str">
        <f>IFERROR(VLOOKUP(Tabela5[[#This Row],[PREFIXO ]],Tabela4[#All],2,0),"CENTRO DE CUSTO")</f>
        <v>ADUB AUTOPROP KUHN ACCURA ST 7000</v>
      </c>
      <c r="E735" s="18" t="s">
        <v>96</v>
      </c>
      <c r="F735" s="21">
        <v>15268</v>
      </c>
      <c r="G735" s="22"/>
      <c r="H735" s="22">
        <v>918.9</v>
      </c>
      <c r="I735" s="22">
        <f t="shared" si="12"/>
        <v>918.9</v>
      </c>
      <c r="J735" s="18" t="s">
        <v>1265</v>
      </c>
      <c r="K735" s="18">
        <v>9792417</v>
      </c>
      <c r="L735" s="18">
        <v>881510</v>
      </c>
      <c r="M735" s="18" t="s">
        <v>2313</v>
      </c>
      <c r="N735" s="16" t="s">
        <v>2307</v>
      </c>
      <c r="O735" s="18" t="s">
        <v>2314</v>
      </c>
      <c r="P735" s="18" t="s">
        <v>2302</v>
      </c>
      <c r="Q735" s="29" t="str" cm="1">
        <f t="array" ref="Q735">_xlfn.IFS(
A735="","",
AND(A735&lt;&gt;"",B735=""),"FALTA LANÇAMENTO",
AND(B735&lt;&gt;"",M735=""),"FALTA O PEDIDO",
AND(M735&lt;&gt;"",O735=""),"FALTA NF",
O735&lt;&gt;"","CONCLUÍDO")</f>
        <v>CONCLUÍDO</v>
      </c>
      <c r="R735" s="36"/>
    </row>
    <row r="736" spans="1:18" hidden="1">
      <c r="A736" s="16">
        <v>46080</v>
      </c>
      <c r="B736" s="16">
        <v>46104</v>
      </c>
      <c r="C736" s="21">
        <v>11040025</v>
      </c>
      <c r="D736" s="16" t="str">
        <f>IFERROR(VLOOKUP(Tabela5[[#This Row],[PREFIXO ]],Tabela4[#All],2,0),"CENTRO DE CUSTO")</f>
        <v>CAV MEC EXT PES SCANIA R500</v>
      </c>
      <c r="E736" s="18" t="s">
        <v>96</v>
      </c>
      <c r="F736" s="21">
        <v>4058</v>
      </c>
      <c r="G736" s="22">
        <v>891</v>
      </c>
      <c r="H736" s="22"/>
      <c r="I736" s="22">
        <f t="shared" si="12"/>
        <v>891</v>
      </c>
      <c r="J736" s="18" t="s">
        <v>1085</v>
      </c>
      <c r="K736" s="18">
        <v>9792411</v>
      </c>
      <c r="L736" s="18">
        <v>881521</v>
      </c>
      <c r="M736" s="18" t="s">
        <v>2315</v>
      </c>
      <c r="N736" s="16" t="s">
        <v>2300</v>
      </c>
      <c r="O736" s="18" t="s">
        <v>2316</v>
      </c>
      <c r="P736" s="18" t="s">
        <v>2305</v>
      </c>
      <c r="Q736" s="29" t="str" cm="1">
        <f t="array" ref="Q736">_xlfn.IFS(
A736="","",
AND(A736&lt;&gt;"",B736=""),"FALTA LANÇAMENTO",
AND(B736&lt;&gt;"",M736=""),"FALTA O PEDIDO",
AND(M736&lt;&gt;"",O736=""),"FALTA NF",
O736&lt;&gt;"","CONCLUÍDO")</f>
        <v>CONCLUÍDO</v>
      </c>
      <c r="R736" s="36"/>
    </row>
    <row r="737" spans="1:18" hidden="1">
      <c r="A737" s="16">
        <v>46080</v>
      </c>
      <c r="B737" s="16">
        <v>46104</v>
      </c>
      <c r="C737" s="21">
        <v>23120005</v>
      </c>
      <c r="D737" s="16" t="str">
        <f>IFERROR(VLOOKUP(Tabela5[[#This Row],[PREFIXO ]],Tabela4[#All],2,0),"CENTRO DE CUSTO")</f>
        <v>EMPILHA COMBUST TOYOTA 8FGU30</v>
      </c>
      <c r="E737" s="18" t="s">
        <v>96</v>
      </c>
      <c r="F737" s="21">
        <v>15261</v>
      </c>
      <c r="G737" s="22"/>
      <c r="H737" s="22">
        <v>853.36</v>
      </c>
      <c r="I737" s="22">
        <f t="shared" si="12"/>
        <v>853.36</v>
      </c>
      <c r="J737" s="18" t="s">
        <v>1085</v>
      </c>
      <c r="K737" s="18">
        <v>9792409</v>
      </c>
      <c r="L737" s="18">
        <v>881539</v>
      </c>
      <c r="M737" s="18" t="s">
        <v>2317</v>
      </c>
      <c r="N737" s="16" t="s">
        <v>2300</v>
      </c>
      <c r="O737" s="18" t="s">
        <v>2318</v>
      </c>
      <c r="P737" s="18" t="s">
        <v>2302</v>
      </c>
      <c r="Q737" s="29" t="str" cm="1">
        <f t="array" ref="Q737">_xlfn.IFS(
A737="","",
AND(A737&lt;&gt;"",B737=""),"FALTA LANÇAMENTO",
AND(B737&lt;&gt;"",M737=""),"FALTA O PEDIDO",
AND(M737&lt;&gt;"",O737=""),"FALTA NF",
O737&lt;&gt;"","CONCLUÍDO")</f>
        <v>CONCLUÍDO</v>
      </c>
      <c r="R737" s="36"/>
    </row>
    <row r="738" spans="1:18" hidden="1">
      <c r="A738" s="16">
        <v>46080</v>
      </c>
      <c r="B738" s="16">
        <v>46104</v>
      </c>
      <c r="C738" s="21">
        <v>11040025</v>
      </c>
      <c r="D738" s="16" t="str">
        <f>IFERROR(VLOOKUP(Tabela5[[#This Row],[PREFIXO ]],Tabela4[#All],2,0),"CENTRO DE CUSTO")</f>
        <v>CAV MEC EXT PES SCANIA R500</v>
      </c>
      <c r="E738" s="18" t="s">
        <v>96</v>
      </c>
      <c r="F738" s="21">
        <v>15168</v>
      </c>
      <c r="G738" s="22"/>
      <c r="H738" s="22">
        <v>792.73</v>
      </c>
      <c r="I738" s="22">
        <f t="shared" si="12"/>
        <v>792.73</v>
      </c>
      <c r="J738" s="18" t="s">
        <v>1085</v>
      </c>
      <c r="K738" s="18">
        <v>9792411</v>
      </c>
      <c r="L738" s="18">
        <v>881521</v>
      </c>
      <c r="M738" s="18" t="s">
        <v>2319</v>
      </c>
      <c r="N738" s="16" t="s">
        <v>2300</v>
      </c>
      <c r="O738" s="18" t="s">
        <v>2320</v>
      </c>
      <c r="P738" s="18" t="s">
        <v>2321</v>
      </c>
      <c r="Q738" s="29" t="str" cm="1">
        <f t="array" ref="Q738">_xlfn.IFS(
A738="","",
AND(A738&lt;&gt;"",B738=""),"FALTA LANÇAMENTO",
AND(B738&lt;&gt;"",M738=""),"FALTA O PEDIDO",
AND(M738&lt;&gt;"",O738=""),"FALTA NF",
O738&lt;&gt;"","CONCLUÍDO")</f>
        <v>CONCLUÍDO</v>
      </c>
      <c r="R738" s="36"/>
    </row>
    <row r="739" spans="1:18" hidden="1">
      <c r="A739" s="16">
        <v>46080</v>
      </c>
      <c r="B739" s="16">
        <v>46104</v>
      </c>
      <c r="C739" s="21">
        <v>23120011</v>
      </c>
      <c r="D739" s="16" t="str">
        <f>IFERROR(VLOOKUP(Tabela5[[#This Row],[PREFIXO ]],Tabela4[#All],2,0),"CENTRO DE CUSTO")</f>
        <v>EMPILHA COMBUST TOYOTA 8FGU30</v>
      </c>
      <c r="E739" s="18" t="s">
        <v>96</v>
      </c>
      <c r="F739" s="21">
        <v>4100</v>
      </c>
      <c r="G739" s="22">
        <v>675</v>
      </c>
      <c r="H739" s="22"/>
      <c r="I739" s="22">
        <f t="shared" si="12"/>
        <v>675</v>
      </c>
      <c r="J739" s="18" t="s">
        <v>1085</v>
      </c>
      <c r="K739" s="18">
        <v>9792410</v>
      </c>
      <c r="L739" s="18">
        <v>881531</v>
      </c>
      <c r="M739" s="18" t="s">
        <v>2322</v>
      </c>
      <c r="N739" s="16" t="s">
        <v>2300</v>
      </c>
      <c r="O739" s="18" t="s">
        <v>1932</v>
      </c>
      <c r="P739" s="18" t="s">
        <v>2305</v>
      </c>
      <c r="Q739" s="29" t="str" cm="1">
        <f t="array" ref="Q739">_xlfn.IFS(
A739="","",
AND(A739&lt;&gt;"",B739=""),"FALTA LANÇAMENTO",
AND(B739&lt;&gt;"",M739=""),"FALTA O PEDIDO",
AND(M739&lt;&gt;"",O739=""),"FALTA NF",
O739&lt;&gt;"","CONCLUÍDO")</f>
        <v>CONCLUÍDO</v>
      </c>
      <c r="R739" s="36"/>
    </row>
    <row r="740" spans="1:18" hidden="1">
      <c r="A740" s="16">
        <v>46080</v>
      </c>
      <c r="B740" s="16">
        <v>46104</v>
      </c>
      <c r="C740" s="21">
        <v>23120005</v>
      </c>
      <c r="D740" s="16" t="str">
        <f>IFERROR(VLOOKUP(Tabela5[[#This Row],[PREFIXO ]],Tabela4[#All],2,0),"CENTRO DE CUSTO")</f>
        <v>EMPILHA COMBUST TOYOTA 8FGU30</v>
      </c>
      <c r="E740" s="18" t="s">
        <v>96</v>
      </c>
      <c r="F740" s="21">
        <v>4099</v>
      </c>
      <c r="G740" s="22">
        <v>576</v>
      </c>
      <c r="H740" s="22"/>
      <c r="I740" s="22">
        <f t="shared" si="12"/>
        <v>576</v>
      </c>
      <c r="J740" s="18" t="s">
        <v>1085</v>
      </c>
      <c r="K740" s="18">
        <v>9792409</v>
      </c>
      <c r="L740" s="18">
        <v>881539</v>
      </c>
      <c r="M740" s="18" t="s">
        <v>2323</v>
      </c>
      <c r="N740" s="16" t="s">
        <v>2300</v>
      </c>
      <c r="O740" s="18" t="s">
        <v>2324</v>
      </c>
      <c r="P740" s="18" t="s">
        <v>2305</v>
      </c>
      <c r="Q740" s="29" t="str" cm="1">
        <f t="array" ref="Q740">_xlfn.IFS(
A740="","",
AND(A740&lt;&gt;"",B740=""),"FALTA LANÇAMENTO",
AND(B740&lt;&gt;"",M740=""),"FALTA O PEDIDO",
AND(M740&lt;&gt;"",O740=""),"FALTA NF",
O740&lt;&gt;"","CONCLUÍDO")</f>
        <v>CONCLUÍDO</v>
      </c>
      <c r="R740" s="36"/>
    </row>
    <row r="741" spans="1:18" hidden="1">
      <c r="A741" s="16">
        <v>46080</v>
      </c>
      <c r="B741" s="16">
        <v>46104</v>
      </c>
      <c r="C741" s="21">
        <v>1732414</v>
      </c>
      <c r="D741" s="16" t="str">
        <f>IFERROR(VLOOKUP(Tabela5[[#This Row],[PREFIXO ]],Tabela4[#All],2,0),"CENTRO DE CUSTO")</f>
        <v>MOTONIVELADORA JOHN DEERE 770 G</v>
      </c>
      <c r="E741" s="18" t="s">
        <v>96</v>
      </c>
      <c r="F741" s="21">
        <v>15267</v>
      </c>
      <c r="G741" s="22"/>
      <c r="H741" s="22">
        <v>338.9</v>
      </c>
      <c r="I741" s="22">
        <f t="shared" si="12"/>
        <v>338.9</v>
      </c>
      <c r="J741" s="18" t="s">
        <v>1265</v>
      </c>
      <c r="K741" s="18">
        <v>9792418</v>
      </c>
      <c r="L741" s="18">
        <v>881508</v>
      </c>
      <c r="M741" s="18" t="s">
        <v>2325</v>
      </c>
      <c r="N741" s="16" t="s">
        <v>2300</v>
      </c>
      <c r="O741" s="18" t="s">
        <v>2326</v>
      </c>
      <c r="P741" s="18" t="s">
        <v>2302</v>
      </c>
      <c r="Q741" s="29" t="str" cm="1">
        <f t="array" ref="Q741">_xlfn.IFS(
A741="","",
AND(A741&lt;&gt;"",B741=""),"FALTA LANÇAMENTO",
AND(B741&lt;&gt;"",M741=""),"FALTA O PEDIDO",
AND(M741&lt;&gt;"",O741=""),"FALTA NF",
O741&lt;&gt;"","CONCLUÍDO")</f>
        <v>CONCLUÍDO</v>
      </c>
      <c r="R741" s="36"/>
    </row>
    <row r="742" spans="1:18" hidden="1">
      <c r="A742" s="16">
        <v>46080</v>
      </c>
      <c r="B742" s="16">
        <v>46091</v>
      </c>
      <c r="C742" s="21">
        <v>61521043</v>
      </c>
      <c r="D742" s="16" t="str">
        <f>IFERROR(VLOOKUP(Tabela5[[#This Row],[PREFIXO ]],Tabela4[#All],2,0),"CENTRO DE CUSTO")</f>
        <v>ONIB RODOVIÁRIO MASCARELLO GRAN MIDI</v>
      </c>
      <c r="E742" s="18" t="s">
        <v>121</v>
      </c>
      <c r="F742" s="21">
        <v>55</v>
      </c>
      <c r="G742" s="22">
        <v>2109</v>
      </c>
      <c r="H742" s="22">
        <v>2678.35</v>
      </c>
      <c r="I742" s="22">
        <f t="shared" si="12"/>
        <v>4787.3500000000004</v>
      </c>
      <c r="J742" s="18" t="s">
        <v>1085</v>
      </c>
      <c r="K742" s="18">
        <v>9792499</v>
      </c>
      <c r="L742" s="18">
        <v>881404</v>
      </c>
      <c r="M742" s="18" t="s">
        <v>2327</v>
      </c>
      <c r="N742" s="16" t="s">
        <v>2200</v>
      </c>
      <c r="O742" s="18" t="s">
        <v>2328</v>
      </c>
      <c r="P742" s="18" t="s">
        <v>2329</v>
      </c>
      <c r="Q742" s="29" t="str" cm="1">
        <f t="array" ref="Q742">_xlfn.IFS(
A742="","",
AND(A742&lt;&gt;"",B742=""),"FALTA LANÇAMENTO",
AND(B742&lt;&gt;"",M742=""),"FALTA O PEDIDO",
AND(M742&lt;&gt;"",O742=""),"FALTA NF",
O742&lt;&gt;"","CONCLUÍDO")</f>
        <v>CONCLUÍDO</v>
      </c>
      <c r="R742" s="36"/>
    </row>
    <row r="743" spans="1:18" hidden="1">
      <c r="A743" s="16">
        <v>46080</v>
      </c>
      <c r="B743" s="16">
        <v>46092</v>
      </c>
      <c r="C743" s="21">
        <v>61521067</v>
      </c>
      <c r="D743" s="16" t="str">
        <f>IFERROR(VLOOKUP(Tabela5[[#This Row],[PREFIXO ]],Tabela4[#All],2,0),"CENTRO DE CUSTO")</f>
        <v>CAM ROLL ON/OFF VOLVO VM 330</v>
      </c>
      <c r="E743" s="18" t="s">
        <v>121</v>
      </c>
      <c r="F743" s="21">
        <v>65</v>
      </c>
      <c r="G743" s="22">
        <v>800</v>
      </c>
      <c r="H743" s="22">
        <v>435.11</v>
      </c>
      <c r="I743" s="22">
        <f t="shared" si="12"/>
        <v>1235.1100000000001</v>
      </c>
      <c r="J743" s="18" t="s">
        <v>1085</v>
      </c>
      <c r="K743" s="18">
        <v>9792311</v>
      </c>
      <c r="L743" s="18">
        <v>881652</v>
      </c>
      <c r="M743" s="18" t="s">
        <v>2330</v>
      </c>
      <c r="N743" s="16" t="s">
        <v>2200</v>
      </c>
      <c r="O743" s="18" t="s">
        <v>2331</v>
      </c>
      <c r="P743" s="18" t="s">
        <v>2329</v>
      </c>
      <c r="Q743" s="29" t="str" cm="1">
        <f t="array" ref="Q743">_xlfn.IFS(
A743="","",
AND(A743&lt;&gt;"",B743=""),"FALTA LANÇAMENTO",
AND(B743&lt;&gt;"",M743=""),"FALTA O PEDIDO",
AND(M743&lt;&gt;"",O743=""),"FALTA NF",
O743&lt;&gt;"","CONCLUÍDO")</f>
        <v>CONCLUÍDO</v>
      </c>
      <c r="R743" s="36"/>
    </row>
    <row r="744" spans="1:18" hidden="1">
      <c r="A744" s="16">
        <v>46080</v>
      </c>
      <c r="B744" s="16">
        <v>46097</v>
      </c>
      <c r="C744" s="21">
        <v>61521077</v>
      </c>
      <c r="D744" s="16" t="str">
        <f>IFERROR(VLOOKUP(Tabela5[[#This Row],[PREFIXO ]],Tabela4[#All],2,0),"CENTRO DE CUSTO")</f>
        <v>CAM PIPA BOMB VOLVO VM 330</v>
      </c>
      <c r="E744" s="18" t="s">
        <v>121</v>
      </c>
      <c r="F744" s="21">
        <v>64</v>
      </c>
      <c r="G744" s="22">
        <v>907.25</v>
      </c>
      <c r="H744" s="22">
        <v>274.78100000000001</v>
      </c>
      <c r="I744" s="22">
        <f t="shared" si="12"/>
        <v>1182.0309999999999</v>
      </c>
      <c r="J744" s="18" t="s">
        <v>1085</v>
      </c>
      <c r="K744" s="18">
        <v>9792312</v>
      </c>
      <c r="L744" s="18">
        <v>882048</v>
      </c>
      <c r="M744" s="18" t="s">
        <v>2332</v>
      </c>
      <c r="N744" s="16" t="s">
        <v>1871</v>
      </c>
      <c r="O744" s="18" t="s">
        <v>2333</v>
      </c>
      <c r="P744" s="18" t="s">
        <v>2254</v>
      </c>
      <c r="Q744" s="29" t="str" cm="1">
        <f t="array" ref="Q744">_xlfn.IFS(
A744="","",
AND(A744&lt;&gt;"",B744=""),"FALTA LANÇAMENTO",
AND(B744&lt;&gt;"",M744=""),"FALTA O PEDIDO",
AND(M744&lt;&gt;"",O744=""),"FALTA NF",
O744&lt;&gt;"","CONCLUÍDO")</f>
        <v>CONCLUÍDO</v>
      </c>
      <c r="R744" s="36"/>
    </row>
    <row r="745" spans="1:18" hidden="1">
      <c r="A745" s="16">
        <v>46080</v>
      </c>
      <c r="B745" s="16">
        <v>46092</v>
      </c>
      <c r="C745" s="21">
        <v>61521067</v>
      </c>
      <c r="D745" s="16" t="str">
        <f>IFERROR(VLOOKUP(Tabela5[[#This Row],[PREFIXO ]],Tabela4[#All],2,0),"CENTRO DE CUSTO")</f>
        <v>CAM ROLL ON/OFF VOLVO VM 330</v>
      </c>
      <c r="E745" s="18" t="s">
        <v>124</v>
      </c>
      <c r="F745" s="21">
        <v>512</v>
      </c>
      <c r="G745" s="22">
        <v>3380</v>
      </c>
      <c r="H745" s="22">
        <v>6805</v>
      </c>
      <c r="I745" s="22">
        <f t="shared" si="12"/>
        <v>10185</v>
      </c>
      <c r="J745" s="18" t="s">
        <v>1085</v>
      </c>
      <c r="K745" s="18">
        <v>9792314</v>
      </c>
      <c r="L745" s="18">
        <v>881552</v>
      </c>
      <c r="M745" s="18" t="s">
        <v>2334</v>
      </c>
      <c r="N745" s="16" t="s">
        <v>2200</v>
      </c>
      <c r="O745" s="18" t="s">
        <v>2335</v>
      </c>
      <c r="P745" s="18" t="s">
        <v>2264</v>
      </c>
      <c r="Q745" s="29" t="str" cm="1">
        <f t="array" ref="Q745">_xlfn.IFS(
A745="","",
AND(A745&lt;&gt;"",B745=""),"FALTA LANÇAMENTO",
AND(B745&lt;&gt;"",M745=""),"FALTA O PEDIDO",
AND(M745&lt;&gt;"",O745=""),"FALTA NF",
O745&lt;&gt;"","CONCLUÍDO")</f>
        <v>CONCLUÍDO</v>
      </c>
      <c r="R745" s="36"/>
    </row>
    <row r="746" spans="1:18" hidden="1">
      <c r="A746" s="16">
        <v>46080</v>
      </c>
      <c r="B746" s="16">
        <v>46086</v>
      </c>
      <c r="C746" s="21">
        <v>61521081</v>
      </c>
      <c r="D746" s="16" t="str">
        <f>IFERROR(VLOOKUP(Tabela5[[#This Row],[PREFIXO ]],Tabela4[#All],2,0),"CENTRO DE CUSTO")</f>
        <v>CAV MEC EXT PES VOLVO FH 540</v>
      </c>
      <c r="E746" s="18" t="s">
        <v>124</v>
      </c>
      <c r="F746" s="21">
        <v>511</v>
      </c>
      <c r="G746" s="22">
        <v>7948.8</v>
      </c>
      <c r="H746" s="22"/>
      <c r="I746" s="22">
        <f t="shared" si="12"/>
        <v>7948.8</v>
      </c>
      <c r="J746" s="18" t="s">
        <v>1085</v>
      </c>
      <c r="K746" s="18">
        <v>9791947</v>
      </c>
      <c r="L746" s="18">
        <v>879614</v>
      </c>
      <c r="M746" s="18" t="s">
        <v>2336</v>
      </c>
      <c r="N746" s="16" t="s">
        <v>1594</v>
      </c>
      <c r="O746" s="18" t="s">
        <v>2337</v>
      </c>
      <c r="P746" s="18" t="s">
        <v>2338</v>
      </c>
      <c r="Q746" s="29" t="str" cm="1">
        <f t="array" ref="Q746">_xlfn.IFS(
A746="","",
AND(A746&lt;&gt;"",B746=""),"FALTA LANÇAMENTO",
AND(B746&lt;&gt;"",M746=""),"FALTA O PEDIDO",
AND(M746&lt;&gt;"",O746=""),"FALTA NF",
O746&lt;&gt;"","CONCLUÍDO")</f>
        <v>CONCLUÍDO</v>
      </c>
      <c r="R746" s="36"/>
    </row>
    <row r="747" spans="1:18" hidden="1">
      <c r="A747" s="16">
        <v>46080</v>
      </c>
      <c r="B747" s="16">
        <v>46091</v>
      </c>
      <c r="C747" s="21">
        <v>61519048</v>
      </c>
      <c r="D747" s="16" t="str">
        <f>IFERROR(VLOOKUP(Tabela5[[#This Row],[PREFIXO ]],Tabela4[#All],2,0),"CENTRO DE CUSTO")</f>
        <v>CENTRO DE CUSTO</v>
      </c>
      <c r="E747" s="18" t="s">
        <v>124</v>
      </c>
      <c r="F747" s="21">
        <v>500</v>
      </c>
      <c r="G747" s="22">
        <v>3480</v>
      </c>
      <c r="H747" s="22">
        <v>2778.4</v>
      </c>
      <c r="I747" s="22">
        <f t="shared" si="12"/>
        <v>6258.4</v>
      </c>
      <c r="J747" s="18" t="s">
        <v>1085</v>
      </c>
      <c r="K747" s="18">
        <v>9792315</v>
      </c>
      <c r="L747" s="18">
        <v>881485</v>
      </c>
      <c r="M747" s="18" t="s">
        <v>2339</v>
      </c>
      <c r="N747" s="16" t="s">
        <v>2200</v>
      </c>
      <c r="O747" s="18" t="s">
        <v>2340</v>
      </c>
      <c r="P747" s="18" t="s">
        <v>2264</v>
      </c>
      <c r="Q747" s="29" t="str" cm="1">
        <f t="array" ref="Q747">_xlfn.IFS(
A747="","",
AND(A747&lt;&gt;"",B747=""),"FALTA LANÇAMENTO",
AND(B747&lt;&gt;"",M747=""),"FALTA O PEDIDO",
AND(M747&lt;&gt;"",O747=""),"FALTA NF",
O747&lt;&gt;"","CONCLUÍDO")</f>
        <v>CONCLUÍDO</v>
      </c>
      <c r="R747" s="36"/>
    </row>
    <row r="748" spans="1:18" hidden="1">
      <c r="A748" s="16">
        <v>46080</v>
      </c>
      <c r="B748" s="16">
        <v>46092</v>
      </c>
      <c r="C748" s="21">
        <v>61521079</v>
      </c>
      <c r="D748" s="16" t="str">
        <f>IFERROR(VLOOKUP(Tabela5[[#This Row],[PREFIXO ]],Tabela4[#All],2,0),"CENTRO DE CUSTO")</f>
        <v>CAM PIPA BOMB VOLVO VM 330</v>
      </c>
      <c r="E748" s="18" t="s">
        <v>124</v>
      </c>
      <c r="F748" s="21">
        <v>513</v>
      </c>
      <c r="G748" s="22">
        <v>4480</v>
      </c>
      <c r="H748" s="22">
        <v>1380</v>
      </c>
      <c r="I748" s="22">
        <f t="shared" si="12"/>
        <v>5860</v>
      </c>
      <c r="J748" s="18" t="s">
        <v>1085</v>
      </c>
      <c r="K748" s="18">
        <v>9792408</v>
      </c>
      <c r="L748" s="18">
        <v>881541</v>
      </c>
      <c r="M748" s="18" t="s">
        <v>2341</v>
      </c>
      <c r="N748" s="16" t="s">
        <v>2200</v>
      </c>
      <c r="O748" s="18" t="s">
        <v>2342</v>
      </c>
      <c r="P748" s="18" t="s">
        <v>2264</v>
      </c>
      <c r="Q748" s="29" t="str" cm="1">
        <f t="array" ref="Q748">_xlfn.IFS(
A748="","",
AND(A748&lt;&gt;"",B748=""),"FALTA LANÇAMENTO",
AND(B748&lt;&gt;"",M748=""),"FALTA O PEDIDO",
AND(M748&lt;&gt;"",O748=""),"FALTA NF",
O748&lt;&gt;"","CONCLUÍDO")</f>
        <v>CONCLUÍDO</v>
      </c>
      <c r="R748" s="36"/>
    </row>
    <row r="749" spans="1:18" hidden="1">
      <c r="A749" s="16">
        <v>46080</v>
      </c>
      <c r="B749" s="16">
        <v>46086</v>
      </c>
      <c r="C749" s="21">
        <v>61521053</v>
      </c>
      <c r="D749" s="16" t="str">
        <f>IFERROR(VLOOKUP(Tabela5[[#This Row],[PREFIXO ]],Tabela4[#All],2,0),"CENTRO DE CUSTO")</f>
        <v>CAM CARGA SECA MERC BENZ ATEGO 1719</v>
      </c>
      <c r="E749" s="18" t="s">
        <v>124</v>
      </c>
      <c r="F749" s="21">
        <v>504</v>
      </c>
      <c r="G749" s="22">
        <v>3280</v>
      </c>
      <c r="H749" s="22"/>
      <c r="I749" s="22">
        <f t="shared" si="12"/>
        <v>3280</v>
      </c>
      <c r="J749" s="18" t="s">
        <v>1085</v>
      </c>
      <c r="K749" s="18">
        <v>9791949</v>
      </c>
      <c r="L749" s="18">
        <v>879614</v>
      </c>
      <c r="M749" s="18" t="s">
        <v>2336</v>
      </c>
      <c r="N749" s="16" t="s">
        <v>1594</v>
      </c>
      <c r="O749" s="18" t="s">
        <v>2337</v>
      </c>
      <c r="P749" s="18" t="s">
        <v>2338</v>
      </c>
      <c r="Q749" s="29" t="str" cm="1">
        <f t="array" ref="Q749">_xlfn.IFS(
A749="","",
AND(A749&lt;&gt;"",B749=""),"FALTA LANÇAMENTO",
AND(B749&lt;&gt;"",M749=""),"FALTA O PEDIDO",
AND(M749&lt;&gt;"",O749=""),"FALTA NF",
O749&lt;&gt;"","CONCLUÍDO")</f>
        <v>CONCLUÍDO</v>
      </c>
      <c r="R749" s="36"/>
    </row>
    <row r="750" spans="1:18" hidden="1">
      <c r="A750" s="16">
        <v>46080</v>
      </c>
      <c r="B750" s="16">
        <v>46086</v>
      </c>
      <c r="C750" s="21">
        <v>61521064</v>
      </c>
      <c r="D750" s="16" t="str">
        <f>IFERROR(VLOOKUP(Tabela5[[#This Row],[PREFIXO ]],Tabela4[#All],2,0),"CENTRO DE CUSTO")</f>
        <v>CAM ROLL ON/OFF VOLVO VM 330</v>
      </c>
      <c r="E750" s="18" t="s">
        <v>124</v>
      </c>
      <c r="F750" s="21">
        <v>514</v>
      </c>
      <c r="G750" s="22">
        <v>2284.8000000000002</v>
      </c>
      <c r="H750" s="22"/>
      <c r="I750" s="22">
        <f t="shared" si="12"/>
        <v>2284.8000000000002</v>
      </c>
      <c r="J750" s="18" t="s">
        <v>1085</v>
      </c>
      <c r="K750" s="18">
        <v>9791946</v>
      </c>
      <c r="L750" s="18">
        <v>879614</v>
      </c>
      <c r="M750" s="18" t="s">
        <v>2336</v>
      </c>
      <c r="N750" s="16" t="s">
        <v>1594</v>
      </c>
      <c r="O750" s="18" t="s">
        <v>2337</v>
      </c>
      <c r="P750" s="18" t="s">
        <v>2338</v>
      </c>
      <c r="Q750" s="29" t="str" cm="1">
        <f t="array" ref="Q750">_xlfn.IFS(
A750="","",
AND(A750&lt;&gt;"",B750=""),"FALTA LANÇAMENTO",
AND(B750&lt;&gt;"",M750=""),"FALTA O PEDIDO",
AND(M750&lt;&gt;"",O750=""),"FALTA NF",
O750&lt;&gt;"","CONCLUÍDO")</f>
        <v>CONCLUÍDO</v>
      </c>
      <c r="R750" s="36"/>
    </row>
    <row r="751" spans="1:18" hidden="1">
      <c r="A751" s="16">
        <v>46080</v>
      </c>
      <c r="B751" s="16">
        <v>46086</v>
      </c>
      <c r="C751" s="21">
        <v>41521044</v>
      </c>
      <c r="D751" s="16" t="str">
        <f>IFERROR(VLOOKUP(Tabela5[[#This Row],[PREFIXO ]],Tabela4[#All],2,0),"CENTRO DE CUSTO")</f>
        <v>VAN MICROBUS FORD TRANSIT 410 B</v>
      </c>
      <c r="E751" s="18" t="s">
        <v>124</v>
      </c>
      <c r="F751" s="21">
        <v>510</v>
      </c>
      <c r="G751" s="22">
        <v>2284.8000000000002</v>
      </c>
      <c r="H751" s="22"/>
      <c r="I751" s="22">
        <f t="shared" si="12"/>
        <v>2284.8000000000002</v>
      </c>
      <c r="J751" s="18" t="s">
        <v>1085</v>
      </c>
      <c r="K751" s="18">
        <v>9791948</v>
      </c>
      <c r="L751" s="18">
        <v>879614</v>
      </c>
      <c r="M751" s="18" t="s">
        <v>2336</v>
      </c>
      <c r="N751" s="16" t="s">
        <v>1594</v>
      </c>
      <c r="O751" s="18" t="s">
        <v>2337</v>
      </c>
      <c r="P751" s="18" t="s">
        <v>2338</v>
      </c>
      <c r="Q751" s="29" t="str" cm="1">
        <f t="array" ref="Q751">_xlfn.IFS(
A751="","",
AND(A751&lt;&gt;"",B751=""),"FALTA LANÇAMENTO",
AND(B751&lt;&gt;"",M751=""),"FALTA O PEDIDO",
AND(M751&lt;&gt;"",O751=""),"FALTA NF",
O751&lt;&gt;"","CONCLUÍDO")</f>
        <v>CONCLUÍDO</v>
      </c>
      <c r="R751" s="36"/>
    </row>
    <row r="752" spans="1:18" hidden="1">
      <c r="A752" s="16">
        <v>46080</v>
      </c>
      <c r="B752" s="16">
        <v>46086</v>
      </c>
      <c r="C752" s="21">
        <v>61521077</v>
      </c>
      <c r="D752" s="16" t="str">
        <f>IFERROR(VLOOKUP(Tabela5[[#This Row],[PREFIXO ]],Tabela4[#All],2,0),"CENTRO DE CUSTO")</f>
        <v>CAM PIPA BOMB VOLVO VM 330</v>
      </c>
      <c r="E752" s="18" t="s">
        <v>124</v>
      </c>
      <c r="F752" s="21">
        <v>506</v>
      </c>
      <c r="G752" s="22">
        <v>2284.8000000000002</v>
      </c>
      <c r="H752" s="22"/>
      <c r="I752" s="22">
        <f t="shared" si="12"/>
        <v>2284.8000000000002</v>
      </c>
      <c r="J752" s="18" t="s">
        <v>1085</v>
      </c>
      <c r="K752" s="18">
        <v>9791950</v>
      </c>
      <c r="L752" s="18">
        <v>879614</v>
      </c>
      <c r="M752" s="18" t="s">
        <v>2336</v>
      </c>
      <c r="N752" s="16" t="s">
        <v>1594</v>
      </c>
      <c r="O752" s="18" t="s">
        <v>2337</v>
      </c>
      <c r="P752" s="18" t="s">
        <v>2338</v>
      </c>
      <c r="Q752" s="29" t="str" cm="1">
        <f t="array" ref="Q752">_xlfn.IFS(
A752="","",
AND(A752&lt;&gt;"",B752=""),"FALTA LANÇAMENTO",
AND(B752&lt;&gt;"",M752=""),"FALTA O PEDIDO",
AND(M752&lt;&gt;"",O752=""),"FALTA NF",
O752&lt;&gt;"","CONCLUÍDO")</f>
        <v>CONCLUÍDO</v>
      </c>
      <c r="R752" s="36"/>
    </row>
    <row r="753" spans="1:18" hidden="1">
      <c r="A753" s="16">
        <v>46080</v>
      </c>
      <c r="B753" s="16">
        <v>46090</v>
      </c>
      <c r="C753" s="21">
        <v>500580263</v>
      </c>
      <c r="D753" s="16" t="str">
        <f>IFERROR(VLOOKUP(Tabela5[[#This Row],[PREFIXO ]],Tabela4[#All],2,0),"CENTRO DE CUSTO")</f>
        <v>Colheit. Grãos-Axial</v>
      </c>
      <c r="E753" s="18" t="s">
        <v>308</v>
      </c>
      <c r="F753" s="21" t="s">
        <v>1309</v>
      </c>
      <c r="G753" s="22">
        <v>9314</v>
      </c>
      <c r="H753" s="22"/>
      <c r="I753" s="22">
        <f t="shared" si="12"/>
        <v>9314</v>
      </c>
      <c r="J753" s="18" t="s">
        <v>1123</v>
      </c>
      <c r="K753" s="18">
        <v>5019790</v>
      </c>
      <c r="L753" s="18">
        <v>879728</v>
      </c>
      <c r="M753" s="18" t="s">
        <v>2343</v>
      </c>
      <c r="N753" s="16" t="s">
        <v>1594</v>
      </c>
      <c r="O753" s="18" t="s">
        <v>1532</v>
      </c>
      <c r="P753" s="18" t="s">
        <v>1594</v>
      </c>
      <c r="Q753" s="29" t="str" cm="1">
        <f t="array" ref="Q753">_xlfn.IFS(
A753="","",
AND(A753&lt;&gt;"",B753=""),"FALTA LANÇAMENTO",
AND(B753&lt;&gt;"",M753=""),"FALTA O PEDIDO",
AND(M753&lt;&gt;"",O753=""),"FALTA NF",
O753&lt;&gt;"","CONCLUÍDO")</f>
        <v>CONCLUÍDO</v>
      </c>
      <c r="R753" s="36"/>
    </row>
    <row r="754" spans="1:18" hidden="1">
      <c r="A754" s="16">
        <v>46080</v>
      </c>
      <c r="B754" s="16">
        <v>46090</v>
      </c>
      <c r="C754" s="21">
        <v>500580263</v>
      </c>
      <c r="D754" s="16" t="str">
        <f>IFERROR(VLOOKUP(Tabela5[[#This Row],[PREFIXO ]],Tabela4[#All],2,0),"CENTRO DE CUSTO")</f>
        <v>Colheit. Grãos-Axial</v>
      </c>
      <c r="E754" s="18" t="s">
        <v>308</v>
      </c>
      <c r="F754" s="21" t="s">
        <v>1311</v>
      </c>
      <c r="G754" s="22">
        <v>8812</v>
      </c>
      <c r="H754" s="22"/>
      <c r="I754" s="22">
        <f t="shared" si="12"/>
        <v>8812</v>
      </c>
      <c r="J754" s="18" t="s">
        <v>1123</v>
      </c>
      <c r="K754" s="18">
        <v>5019791</v>
      </c>
      <c r="L754" s="18">
        <v>879728</v>
      </c>
      <c r="M754" s="18" t="s">
        <v>2343</v>
      </c>
      <c r="N754" s="16" t="s">
        <v>1594</v>
      </c>
      <c r="O754" s="18" t="s">
        <v>1532</v>
      </c>
      <c r="P754" s="18" t="s">
        <v>1594</v>
      </c>
      <c r="Q754" s="29" t="str" cm="1">
        <f t="array" ref="Q754">_xlfn.IFS(
A754="","",
AND(A754&lt;&gt;"",B754=""),"FALTA LANÇAMENTO",
AND(B754&lt;&gt;"",M754=""),"FALTA O PEDIDO",
AND(M754&lt;&gt;"",O754=""),"FALTA NF",
O754&lt;&gt;"","CONCLUÍDO")</f>
        <v>CONCLUÍDO</v>
      </c>
      <c r="R754" s="36"/>
    </row>
    <row r="755" spans="1:18" hidden="1">
      <c r="A755" s="16">
        <v>46080</v>
      </c>
      <c r="B755" s="16">
        <v>46091</v>
      </c>
      <c r="C755" s="21">
        <v>51521050</v>
      </c>
      <c r="D755" s="16" t="str">
        <f>IFERROR(VLOOKUP(Tabela5[[#This Row],[PREFIXO ]],Tabela4[#All],2,0),"CENTRO DE CUSTO")</f>
        <v>COLHED ALGODÃO JOHN DEERE CP 690</v>
      </c>
      <c r="E755" s="18" t="s">
        <v>71</v>
      </c>
      <c r="F755" s="21">
        <v>7658</v>
      </c>
      <c r="G755" s="22">
        <v>560</v>
      </c>
      <c r="H755" s="22">
        <v>6270.82</v>
      </c>
      <c r="I755" s="22">
        <f t="shared" si="12"/>
        <v>6830.82</v>
      </c>
      <c r="J755" s="18" t="s">
        <v>1113</v>
      </c>
      <c r="K755" s="18">
        <v>9792416</v>
      </c>
      <c r="L755" s="18">
        <v>881516</v>
      </c>
      <c r="M755" s="18" t="s">
        <v>2344</v>
      </c>
      <c r="N755" s="16" t="s">
        <v>2200</v>
      </c>
      <c r="O755" s="18" t="s">
        <v>2345</v>
      </c>
      <c r="P755" s="18" t="s">
        <v>1873</v>
      </c>
      <c r="Q755" s="29" t="str" cm="1">
        <f t="array" ref="Q755">_xlfn.IFS(
A755="","",
AND(A755&lt;&gt;"",B755=""),"FALTA LANÇAMENTO",
AND(B755&lt;&gt;"",M755=""),"FALTA O PEDIDO",
AND(M755&lt;&gt;"",O755=""),"FALTA NF",
O755&lt;&gt;"","CONCLUÍDO")</f>
        <v>CONCLUÍDO</v>
      </c>
      <c r="R755" s="36"/>
    </row>
    <row r="756" spans="1:18" hidden="1">
      <c r="A756" s="16">
        <v>46080</v>
      </c>
      <c r="B756" s="16">
        <v>46098</v>
      </c>
      <c r="C756" s="21">
        <v>31521037</v>
      </c>
      <c r="D756" s="16" t="str">
        <f>IFERROR(VLOOKUP(Tabela5[[#This Row],[PREFIXO ]],Tabela4[#All],2,0),"CENTRO DE CUSTO")</f>
        <v>ADUB AUTOPROP KUHN ACCURA ST 7000</v>
      </c>
      <c r="E756" s="18" t="s">
        <v>71</v>
      </c>
      <c r="F756" s="21">
        <v>7721</v>
      </c>
      <c r="G756" s="22">
        <v>2117.5</v>
      </c>
      <c r="H756" s="22">
        <v>2642.36</v>
      </c>
      <c r="I756" s="22">
        <f t="shared" si="12"/>
        <v>4759.8600000000006</v>
      </c>
      <c r="J756" s="18" t="s">
        <v>1265</v>
      </c>
      <c r="K756" s="18">
        <v>9792419</v>
      </c>
      <c r="L756" s="18">
        <v>887318</v>
      </c>
      <c r="M756" s="18" t="s">
        <v>2346</v>
      </c>
      <c r="N756" s="16" t="s">
        <v>2252</v>
      </c>
      <c r="O756" s="18" t="s">
        <v>2347</v>
      </c>
      <c r="P756" s="18" t="s">
        <v>2348</v>
      </c>
      <c r="Q756" s="29" t="str" cm="1">
        <f t="array" ref="Q756">_xlfn.IFS(
A756="","",
AND(A756&lt;&gt;"",B756=""),"FALTA LANÇAMENTO",
AND(B756&lt;&gt;"",M756=""),"FALTA O PEDIDO",
AND(M756&lt;&gt;"",O756=""),"FALTA NF",
O756&lt;&gt;"","CONCLUÍDO")</f>
        <v>CONCLUÍDO</v>
      </c>
      <c r="R756" s="36"/>
    </row>
    <row r="757" spans="1:18" hidden="1">
      <c r="A757" s="16">
        <v>46080</v>
      </c>
      <c r="B757" s="16">
        <v>46098</v>
      </c>
      <c r="C757" s="21">
        <v>13150003</v>
      </c>
      <c r="D757" s="16" t="str">
        <f>IFERROR(VLOOKUP(Tabela5[[#This Row],[PREFIXO ]],Tabela4[#All],2,0),"CENTRO DE CUSTO")</f>
        <v>CENTRO DE CUSTO</v>
      </c>
      <c r="E757" s="18" t="s">
        <v>71</v>
      </c>
      <c r="F757" s="21">
        <v>7720</v>
      </c>
      <c r="G757" s="22">
        <v>2117.5</v>
      </c>
      <c r="H757" s="22">
        <v>2339.63</v>
      </c>
      <c r="I757" s="22">
        <f t="shared" si="12"/>
        <v>4457.13</v>
      </c>
      <c r="J757" s="18" t="s">
        <v>1265</v>
      </c>
      <c r="K757" s="18">
        <v>9792482</v>
      </c>
      <c r="L757" s="18">
        <v>887302</v>
      </c>
      <c r="M757" s="18" t="s">
        <v>2349</v>
      </c>
      <c r="N757" s="16" t="s">
        <v>2252</v>
      </c>
      <c r="O757" s="18" t="s">
        <v>2350</v>
      </c>
      <c r="P757" s="18" t="s">
        <v>2348</v>
      </c>
      <c r="Q757" s="29" t="str" cm="1">
        <f t="array" ref="Q757">_xlfn.IFS(
A757="","",
AND(A757&lt;&gt;"",B757=""),"FALTA LANÇAMENTO",
AND(B757&lt;&gt;"",M757=""),"FALTA O PEDIDO",
AND(M757&lt;&gt;"",O757=""),"FALTA NF",
O757&lt;&gt;"","CONCLUÍDO")</f>
        <v>CONCLUÍDO</v>
      </c>
      <c r="R757" s="36"/>
    </row>
    <row r="758" spans="1:18" hidden="1">
      <c r="A758" s="16">
        <v>46080</v>
      </c>
      <c r="B758" s="16">
        <v>46092</v>
      </c>
      <c r="C758" s="21">
        <v>51519033</v>
      </c>
      <c r="D758" s="16" t="str">
        <f>IFERROR(VLOOKUP(Tabela5[[#This Row],[PREFIXO ]],Tabela4[#All],2,0),"CENTRO DE CUSTO")</f>
        <v>COLHEIT DE GRÃOS N.HOLLAND CR 8.90</v>
      </c>
      <c r="E758" s="18" t="s">
        <v>71</v>
      </c>
      <c r="F758" s="21">
        <v>7725</v>
      </c>
      <c r="G758" s="22">
        <v>4007.5</v>
      </c>
      <c r="H758" s="22">
        <v>271.55</v>
      </c>
      <c r="I758" s="22">
        <f t="shared" si="12"/>
        <v>4279.05</v>
      </c>
      <c r="J758" s="18" t="s">
        <v>1123</v>
      </c>
      <c r="K758" s="18">
        <v>9792413</v>
      </c>
      <c r="L758" s="18">
        <v>881517</v>
      </c>
      <c r="M758" s="18" t="s">
        <v>2351</v>
      </c>
      <c r="N758" s="16" t="s">
        <v>2200</v>
      </c>
      <c r="O758" s="18" t="s">
        <v>2352</v>
      </c>
      <c r="P758" s="18" t="s">
        <v>1873</v>
      </c>
      <c r="Q758" s="29" t="str" cm="1">
        <f t="array" ref="Q758">_xlfn.IFS(
A758="","",
AND(A758&lt;&gt;"",B758=""),"FALTA LANÇAMENTO",
AND(B758&lt;&gt;"",M758=""),"FALTA O PEDIDO",
AND(M758&lt;&gt;"",O758=""),"FALTA NF",
O758&lt;&gt;"","CONCLUÍDO")</f>
        <v>CONCLUÍDO</v>
      </c>
      <c r="R758" s="36"/>
    </row>
    <row r="759" spans="1:18" hidden="1">
      <c r="A759" s="16">
        <v>46080</v>
      </c>
      <c r="B759" s="16">
        <v>46091</v>
      </c>
      <c r="C759" s="21">
        <v>61521041</v>
      </c>
      <c r="D759" s="16" t="str">
        <f>IFERROR(VLOOKUP(Tabela5[[#This Row],[PREFIXO ]],Tabela4[#All],2,0),"CENTRO DE CUSTO")</f>
        <v>ONIB RODOVIÁRIO MASCARELLO GRAN MIDI</v>
      </c>
      <c r="E759" s="18" t="s">
        <v>71</v>
      </c>
      <c r="F759" s="21">
        <v>7724</v>
      </c>
      <c r="G759" s="22">
        <v>50</v>
      </c>
      <c r="H759" s="22">
        <v>108</v>
      </c>
      <c r="I759" s="22">
        <f t="shared" si="12"/>
        <v>158</v>
      </c>
      <c r="J759" s="18" t="s">
        <v>1085</v>
      </c>
      <c r="K759" s="18">
        <v>9796222</v>
      </c>
      <c r="L759" s="18">
        <v>880400</v>
      </c>
      <c r="M759" s="18" t="s">
        <v>2353</v>
      </c>
      <c r="N759" s="16" t="s">
        <v>2200</v>
      </c>
      <c r="O759" s="18" t="s">
        <v>2354</v>
      </c>
      <c r="P759" s="18" t="s">
        <v>1873</v>
      </c>
      <c r="Q759" s="29" t="str" cm="1">
        <f t="array" ref="Q759">_xlfn.IFS(
A759="","",
AND(A759&lt;&gt;"",B759=""),"FALTA LANÇAMENTO",
AND(B759&lt;&gt;"",M759=""),"FALTA O PEDIDO",
AND(M759&lt;&gt;"",O759=""),"FALTA NF",
O759&lt;&gt;"","CONCLUÍDO")</f>
        <v>CONCLUÍDO</v>
      </c>
      <c r="R759" s="36"/>
    </row>
    <row r="760" spans="1:18" hidden="1">
      <c r="A760" s="16">
        <v>46080</v>
      </c>
      <c r="B760" s="16">
        <v>46086</v>
      </c>
      <c r="C760" s="21">
        <v>1173020</v>
      </c>
      <c r="D760" s="16" t="str">
        <f>IFERROR(VLOOKUP(Tabela5[[#This Row],[PREFIXO ]],Tabela4[#All],2,0),"CENTRO DE CUSTO")</f>
        <v>TRAT PN MED N.HOLLAND 7630</v>
      </c>
      <c r="E760" s="18" t="s">
        <v>148</v>
      </c>
      <c r="F760" s="21">
        <v>60</v>
      </c>
      <c r="G760" s="22">
        <v>1100</v>
      </c>
      <c r="H760" s="22"/>
      <c r="I760" s="22">
        <f t="shared" si="12"/>
        <v>1100</v>
      </c>
      <c r="J760" s="18" t="s">
        <v>1199</v>
      </c>
      <c r="K760" s="18">
        <v>9792066</v>
      </c>
      <c r="L760" s="18">
        <v>879677</v>
      </c>
      <c r="M760" s="18" t="s">
        <v>2355</v>
      </c>
      <c r="N760" s="16" t="s">
        <v>1594</v>
      </c>
      <c r="O760" s="18" t="s">
        <v>2356</v>
      </c>
      <c r="P760" s="18" t="s">
        <v>1594</v>
      </c>
      <c r="Q760" s="29" t="str" cm="1">
        <f t="array" ref="Q760">_xlfn.IFS(
A760="","",
AND(A760&lt;&gt;"",B760=""),"FALTA LANÇAMENTO",
AND(B760&lt;&gt;"",M760=""),"FALTA O PEDIDO",
AND(M760&lt;&gt;"",O760=""),"FALTA NF",
O760&lt;&gt;"","CONCLUÍDO")</f>
        <v>CONCLUÍDO</v>
      </c>
      <c r="R760" s="36"/>
    </row>
    <row r="761" spans="1:18" hidden="1">
      <c r="A761" s="16">
        <v>46080</v>
      </c>
      <c r="B761" s="16">
        <v>46086</v>
      </c>
      <c r="C761" s="21">
        <v>500580579</v>
      </c>
      <c r="D761" s="16" t="str">
        <f>IFERROR(VLOOKUP(Tabela5[[#This Row],[PREFIXO ]],Tabela4[#All],2,0),"CENTRO DE CUSTO")</f>
        <v>Pátio de Vendas</v>
      </c>
      <c r="E761" s="18" t="s">
        <v>224</v>
      </c>
      <c r="F761" s="21">
        <v>2565</v>
      </c>
      <c r="G761" s="22">
        <v>4875</v>
      </c>
      <c r="H761" s="22"/>
      <c r="I761" s="22">
        <f t="shared" si="12"/>
        <v>4875</v>
      </c>
      <c r="J761" s="18" t="s">
        <v>1123</v>
      </c>
      <c r="K761" s="18">
        <v>5019749</v>
      </c>
      <c r="L761" s="18" t="s">
        <v>1095</v>
      </c>
      <c r="M761" s="18" t="s">
        <v>1095</v>
      </c>
      <c r="N761" s="16" t="s">
        <v>1095</v>
      </c>
      <c r="O761" s="18" t="s">
        <v>1095</v>
      </c>
      <c r="P761" s="18" t="s">
        <v>1095</v>
      </c>
      <c r="Q761" s="29" t="str" cm="1">
        <f t="array" ref="Q761">_xlfn.IFS(
A761="","",
AND(A761&lt;&gt;"",B761=""),"FALTA LANÇAMENTO",
AND(B761&lt;&gt;"",M761=""),"FALTA O PEDIDO",
AND(M761&lt;&gt;"",O761=""),"FALTA NF",
O761&lt;&gt;"","CONCLUÍDO")</f>
        <v>CONCLUÍDO</v>
      </c>
      <c r="R761" s="36"/>
    </row>
    <row r="762" spans="1:18" hidden="1">
      <c r="A762" s="16">
        <v>46080</v>
      </c>
      <c r="B762" s="16">
        <v>46086</v>
      </c>
      <c r="C762" s="21">
        <v>500580579</v>
      </c>
      <c r="D762" s="16" t="str">
        <f>IFERROR(VLOOKUP(Tabela5[[#This Row],[PREFIXO ]],Tabela4[#All],2,0),"CENTRO DE CUSTO")</f>
        <v>Pátio de Vendas</v>
      </c>
      <c r="E762" s="18" t="s">
        <v>224</v>
      </c>
      <c r="F762" s="21">
        <v>2566</v>
      </c>
      <c r="G762" s="22">
        <v>2975</v>
      </c>
      <c r="H762" s="22"/>
      <c r="I762" s="22">
        <f t="shared" si="12"/>
        <v>2975</v>
      </c>
      <c r="J762" s="18" t="s">
        <v>1123</v>
      </c>
      <c r="K762" s="18">
        <v>5019749</v>
      </c>
      <c r="L762" s="18" t="s">
        <v>1095</v>
      </c>
      <c r="M762" s="18" t="s">
        <v>1095</v>
      </c>
      <c r="N762" s="16" t="s">
        <v>1095</v>
      </c>
      <c r="O762" s="18" t="s">
        <v>1095</v>
      </c>
      <c r="P762" s="18" t="s">
        <v>1095</v>
      </c>
      <c r="Q762" s="29" t="str" cm="1">
        <f t="array" ref="Q762">_xlfn.IFS(
A762="","",
AND(A762&lt;&gt;"",B762=""),"FALTA LANÇAMENTO",
AND(B762&lt;&gt;"",M762=""),"FALTA O PEDIDO",
AND(M762&lt;&gt;"",O762=""),"FALTA NF",
O762&lt;&gt;"","CONCLUÍDO")</f>
        <v>CONCLUÍDO</v>
      </c>
      <c r="R762" s="36"/>
    </row>
    <row r="763" spans="1:18" hidden="1">
      <c r="A763" s="16">
        <v>46080</v>
      </c>
      <c r="B763" s="16">
        <v>46092</v>
      </c>
      <c r="C763" s="21">
        <v>1173023</v>
      </c>
      <c r="D763" s="16" t="str">
        <f>IFERROR(VLOOKUP(Tabela5[[#This Row],[PREFIXO ]],Tabela4[#All],2,0),"CENTRO DE CUSTO")</f>
        <v>TRAT PN MED N.HOLLAND 7630</v>
      </c>
      <c r="E763" s="18" t="s">
        <v>347</v>
      </c>
      <c r="F763" s="21">
        <v>1013</v>
      </c>
      <c r="G763" s="22">
        <v>11745</v>
      </c>
      <c r="H763" s="22"/>
      <c r="I763" s="22">
        <f t="shared" si="12"/>
        <v>11745</v>
      </c>
      <c r="J763" s="18" t="s">
        <v>1199</v>
      </c>
      <c r="K763" s="18">
        <v>9792405</v>
      </c>
      <c r="L763" s="18">
        <v>881544</v>
      </c>
      <c r="M763" s="18" t="s">
        <v>2357</v>
      </c>
      <c r="N763" s="16" t="s">
        <v>2200</v>
      </c>
      <c r="O763" s="18" t="s">
        <v>2358</v>
      </c>
      <c r="P763" s="18" t="s">
        <v>2264</v>
      </c>
      <c r="Q763" s="29" t="str" cm="1">
        <f t="array" ref="Q763">_xlfn.IFS(
A763="","",
AND(A763&lt;&gt;"",B763=""),"FALTA LANÇAMENTO",
AND(B763&lt;&gt;"",M763=""),"FALTA O PEDIDO",
AND(M763&lt;&gt;"",O763=""),"FALTA NF",
O763&lt;&gt;"","CONCLUÍDO")</f>
        <v>CONCLUÍDO</v>
      </c>
      <c r="R763" s="36"/>
    </row>
    <row r="764" spans="1:18" hidden="1">
      <c r="A764" s="16">
        <v>46080</v>
      </c>
      <c r="B764" s="16">
        <v>46094</v>
      </c>
      <c r="C764" s="21">
        <v>1151034</v>
      </c>
      <c r="D764" s="16" t="str">
        <f>IFERROR(VLOOKUP(Tabela5[[#This Row],[PREFIXO ]],Tabela4[#All],2,0),"CENTRO DE CUSTO")</f>
        <v>TRAT PN MED M FERGUSON MF 297</v>
      </c>
      <c r="E764" s="18" t="s">
        <v>347</v>
      </c>
      <c r="F764" s="21">
        <v>1023</v>
      </c>
      <c r="G764" s="22">
        <v>7936</v>
      </c>
      <c r="H764" s="22">
        <v>2560</v>
      </c>
      <c r="I764" s="22">
        <f t="shared" si="12"/>
        <v>10496</v>
      </c>
      <c r="J764" s="18" t="s">
        <v>1199</v>
      </c>
      <c r="K764" s="18">
        <v>9792492</v>
      </c>
      <c r="L764" s="18">
        <v>882068</v>
      </c>
      <c r="M764" s="18" t="s">
        <v>2359</v>
      </c>
      <c r="N764" s="16" t="s">
        <v>1871</v>
      </c>
      <c r="O764" s="18" t="s">
        <v>2360</v>
      </c>
      <c r="P764" s="18" t="s">
        <v>1873</v>
      </c>
      <c r="Q764" s="29" t="str" cm="1">
        <f t="array" ref="Q764">_xlfn.IFS(
A764="","",
AND(A764&lt;&gt;"",B764=""),"FALTA LANÇAMENTO",
AND(B764&lt;&gt;"",M764=""),"FALTA O PEDIDO",
AND(M764&lt;&gt;"",O764=""),"FALTA NF",
O764&lt;&gt;"","CONCLUÍDO")</f>
        <v>CONCLUÍDO</v>
      </c>
      <c r="R764" s="36"/>
    </row>
    <row r="765" spans="1:18" hidden="1">
      <c r="A765" s="16">
        <v>46080</v>
      </c>
      <c r="B765" s="16">
        <v>46090</v>
      </c>
      <c r="C765" s="21" t="s">
        <v>2361</v>
      </c>
      <c r="D765" s="16" t="str">
        <f>IFERROR(VLOOKUP(Tabela5[[#This Row],[PREFIXO ]],Tabela4[#All],2,0),"CENTRO DE CUSTO")</f>
        <v>CENTRO DE CUSTO</v>
      </c>
      <c r="E765" s="18" t="s">
        <v>110</v>
      </c>
      <c r="F765" s="21">
        <v>33857</v>
      </c>
      <c r="G765" s="22">
        <v>1031.68</v>
      </c>
      <c r="H765" s="22">
        <v>595.67999999999995</v>
      </c>
      <c r="I765" s="22">
        <f t="shared" si="12"/>
        <v>1627.3600000000001</v>
      </c>
      <c r="J765" s="18" t="s">
        <v>1085</v>
      </c>
      <c r="K765" s="18">
        <v>9792542</v>
      </c>
      <c r="L765" s="18">
        <v>880150</v>
      </c>
      <c r="M765" s="18" t="s">
        <v>2362</v>
      </c>
      <c r="N765" s="16" t="s">
        <v>1594</v>
      </c>
      <c r="O765" s="18" t="s">
        <v>2363</v>
      </c>
      <c r="P765" s="18" t="s">
        <v>2264</v>
      </c>
      <c r="Q765" s="29" t="str" cm="1">
        <f t="array" ref="Q765">_xlfn.IFS(
A765="","",
AND(A765&lt;&gt;"",B765=""),"FALTA LANÇAMENTO",
AND(B765&lt;&gt;"",M765=""),"FALTA O PEDIDO",
AND(M765&lt;&gt;"",O765=""),"FALTA NF",
O765&lt;&gt;"","CONCLUÍDO")</f>
        <v>CONCLUÍDO</v>
      </c>
      <c r="R765" s="36"/>
    </row>
    <row r="766" spans="1:18" hidden="1">
      <c r="A766" s="16">
        <v>46080</v>
      </c>
      <c r="B766" s="16">
        <v>46090</v>
      </c>
      <c r="C766" s="21">
        <v>61521107</v>
      </c>
      <c r="D766" s="16" t="str">
        <f>IFERROR(VLOOKUP(Tabela5[[#This Row],[PREFIXO ]],Tabela4[#All],2,0),"CENTRO DE CUSTO")</f>
        <v>CAMINHAO COMBOIO MB AXOR 3131</v>
      </c>
      <c r="E766" s="18" t="s">
        <v>247</v>
      </c>
      <c r="F766" s="21">
        <v>134373</v>
      </c>
      <c r="G766" s="22">
        <v>520.79999999999995</v>
      </c>
      <c r="H766" s="22"/>
      <c r="I766" s="22">
        <f t="shared" si="12"/>
        <v>520.79999999999995</v>
      </c>
      <c r="J766" s="18" t="s">
        <v>1085</v>
      </c>
      <c r="K766" s="18">
        <v>9792896</v>
      </c>
      <c r="L766" s="18">
        <v>880127</v>
      </c>
      <c r="M766" s="18" t="s">
        <v>2364</v>
      </c>
      <c r="N766" s="16" t="s">
        <v>1594</v>
      </c>
      <c r="O766" s="18" t="s">
        <v>2110</v>
      </c>
      <c r="P766" s="18" t="s">
        <v>2200</v>
      </c>
      <c r="Q766" s="29" t="str" cm="1">
        <f t="array" ref="Q766">_xlfn.IFS(
A766="","",
AND(A766&lt;&gt;"",B766=""),"FALTA LANÇAMENTO",
AND(B766&lt;&gt;"",M766=""),"FALTA O PEDIDO",
AND(M766&lt;&gt;"",O766=""),"FALTA NF",
O766&lt;&gt;"","CONCLUÍDO")</f>
        <v>CONCLUÍDO</v>
      </c>
      <c r="R766" s="36"/>
    </row>
    <row r="767" spans="1:18" hidden="1">
      <c r="A767" s="16">
        <v>46080</v>
      </c>
      <c r="B767" s="16">
        <v>46091</v>
      </c>
      <c r="C767" s="21">
        <v>1173020</v>
      </c>
      <c r="D767" s="16" t="str">
        <f>IFERROR(VLOOKUP(Tabela5[[#This Row],[PREFIXO ]],Tabela4[#All],2,0),"CENTRO DE CUSTO")</f>
        <v>TRAT PN MED N.HOLLAND 7630</v>
      </c>
      <c r="E767" s="18" t="s">
        <v>247</v>
      </c>
      <c r="F767" s="21">
        <v>134450</v>
      </c>
      <c r="G767" s="22">
        <v>483.6</v>
      </c>
      <c r="H767" s="22"/>
      <c r="I767" s="22">
        <f t="shared" si="12"/>
        <v>483.6</v>
      </c>
      <c r="J767" s="18" t="s">
        <v>1085</v>
      </c>
      <c r="K767" s="18">
        <v>9792493</v>
      </c>
      <c r="L767" s="18">
        <v>882317</v>
      </c>
      <c r="M767" s="18" t="s">
        <v>2365</v>
      </c>
      <c r="N767" s="16" t="s">
        <v>2094</v>
      </c>
      <c r="O767" s="18" t="s">
        <v>2366</v>
      </c>
      <c r="P767" s="18" t="s">
        <v>1691</v>
      </c>
      <c r="Q767" s="29" t="str" cm="1">
        <f t="array" ref="Q767">_xlfn.IFS(
A767="","",
AND(A767&lt;&gt;"",B767=""),"FALTA LANÇAMENTO",
AND(B767&lt;&gt;"",M767=""),"FALTA O PEDIDO",
AND(M767&lt;&gt;"",O767=""),"FALTA NF",
O767&lt;&gt;"","CONCLUÍDO")</f>
        <v>CONCLUÍDO</v>
      </c>
      <c r="R767" s="36"/>
    </row>
    <row r="768" spans="1:18" hidden="1">
      <c r="A768" s="16">
        <v>46080</v>
      </c>
      <c r="B768" s="16">
        <v>46086</v>
      </c>
      <c r="C768" s="21" t="s">
        <v>1134</v>
      </c>
      <c r="D768" s="16" t="str">
        <f>IFERROR(VLOOKUP(Tabela5[[#This Row],[PREFIXO ]],Tabela4[#All],2,0),"CENTRO DE CUSTO")</f>
        <v>CENTRO DE CUSTO</v>
      </c>
      <c r="E768" s="18" t="s">
        <v>249</v>
      </c>
      <c r="F768" s="21">
        <v>225</v>
      </c>
      <c r="G768" s="22">
        <v>4060</v>
      </c>
      <c r="H768" s="22"/>
      <c r="I768" s="22">
        <f t="shared" ref="I768:I831" si="13">G768+H768</f>
        <v>4060</v>
      </c>
      <c r="J768" s="18" t="s">
        <v>1199</v>
      </c>
      <c r="K768" s="18" t="s">
        <v>1134</v>
      </c>
      <c r="L768" s="18" t="s">
        <v>1095</v>
      </c>
      <c r="M768" s="18" t="s">
        <v>1095</v>
      </c>
      <c r="N768" s="16" t="s">
        <v>1095</v>
      </c>
      <c r="O768" s="18" t="s">
        <v>1095</v>
      </c>
      <c r="P768" s="18" t="s">
        <v>1095</v>
      </c>
      <c r="Q768" s="29" t="str" cm="1">
        <f t="array" ref="Q768">_xlfn.IFS(
A768="","",
AND(A768&lt;&gt;"",B768=""),"FALTA LANÇAMENTO",
AND(B768&lt;&gt;"",M768=""),"FALTA O PEDIDO",
AND(M768&lt;&gt;"",O768=""),"FALTA NF",
O768&lt;&gt;"","CONCLUÍDO")</f>
        <v>CONCLUÍDO</v>
      </c>
      <c r="R768" s="36"/>
    </row>
    <row r="769" spans="1:18" hidden="1">
      <c r="A769" s="16">
        <v>46080</v>
      </c>
      <c r="B769" s="16">
        <v>46090</v>
      </c>
      <c r="C769" s="21">
        <v>16170022</v>
      </c>
      <c r="D769" s="16" t="str">
        <f>IFERROR(VLOOKUP(Tabela5[[#This Row],[PREFIXO ]],Tabela4[#All],2,0),"CENTRO DE CUSTO")</f>
        <v>CENTRO DE CUSTO</v>
      </c>
      <c r="E769" s="18" t="s">
        <v>255</v>
      </c>
      <c r="F769" s="21">
        <v>857</v>
      </c>
      <c r="G769" s="22">
        <v>2400</v>
      </c>
      <c r="H769" s="22"/>
      <c r="I769" s="22">
        <f t="shared" si="13"/>
        <v>2400</v>
      </c>
      <c r="J769" s="18" t="s">
        <v>1199</v>
      </c>
      <c r="K769" s="18">
        <v>9792027</v>
      </c>
      <c r="L769" s="18">
        <v>880171</v>
      </c>
      <c r="M769" s="18" t="s">
        <v>2367</v>
      </c>
      <c r="N769" s="16" t="s">
        <v>2129</v>
      </c>
      <c r="O769" s="18" t="s">
        <v>1538</v>
      </c>
      <c r="P769" s="18" t="s">
        <v>2129</v>
      </c>
      <c r="Q769" s="29" t="str" cm="1">
        <f t="array" ref="Q769">_xlfn.IFS(
A769="","",
AND(A769&lt;&gt;"",B769=""),"FALTA LANÇAMENTO",
AND(B769&lt;&gt;"",M769=""),"FALTA O PEDIDO",
AND(M769&lt;&gt;"",O769=""),"FALTA NF",
O769&lt;&gt;"","CONCLUÍDO")</f>
        <v>CONCLUÍDO</v>
      </c>
      <c r="R769" s="36"/>
    </row>
    <row r="770" spans="1:18" hidden="1">
      <c r="A770" s="16">
        <v>46080</v>
      </c>
      <c r="B770" s="16">
        <v>46090</v>
      </c>
      <c r="C770" s="21">
        <v>51521057</v>
      </c>
      <c r="D770" s="16" t="str">
        <f>IFERROR(VLOOKUP(Tabela5[[#This Row],[PREFIXO ]],Tabela4[#All],2,0),"CENTRO DE CUSTO")</f>
        <v>COLHED ALGODÃO JOHN DEERE CP 690</v>
      </c>
      <c r="E770" s="18" t="s">
        <v>255</v>
      </c>
      <c r="F770" s="21">
        <v>860</v>
      </c>
      <c r="G770" s="22">
        <v>1472.5</v>
      </c>
      <c r="H770" s="22"/>
      <c r="I770" s="22">
        <f t="shared" si="13"/>
        <v>1472.5</v>
      </c>
      <c r="J770" s="18" t="s">
        <v>1199</v>
      </c>
      <c r="K770" s="18">
        <v>9792030</v>
      </c>
      <c r="L770" s="18">
        <v>880171</v>
      </c>
      <c r="M770" s="18" t="s">
        <v>2367</v>
      </c>
      <c r="N770" s="16" t="s">
        <v>2129</v>
      </c>
      <c r="O770" s="18" t="s">
        <v>1538</v>
      </c>
      <c r="P770" s="18" t="s">
        <v>2129</v>
      </c>
      <c r="Q770" s="29" t="str" cm="1">
        <f t="array" ref="Q770">_xlfn.IFS(
A770="","",
AND(A770&lt;&gt;"",B770=""),"FALTA LANÇAMENTO",
AND(B770&lt;&gt;"",M770=""),"FALTA O PEDIDO",
AND(M770&lt;&gt;"",O770=""),"FALTA NF",
O770&lt;&gt;"","CONCLUÍDO")</f>
        <v>CONCLUÍDO</v>
      </c>
      <c r="R770" s="36"/>
    </row>
    <row r="771" spans="1:18" hidden="1">
      <c r="A771" s="16">
        <v>46080</v>
      </c>
      <c r="B771" s="16">
        <v>46090</v>
      </c>
      <c r="C771" s="21">
        <v>51521058</v>
      </c>
      <c r="D771" s="16" t="str">
        <f>IFERROR(VLOOKUP(Tabela5[[#This Row],[PREFIXO ]],Tabela4[#All],2,0),"CENTRO DE CUSTO")</f>
        <v>COLHED ALGODÃO JOHN DEERE CP 690</v>
      </c>
      <c r="E771" s="18" t="s">
        <v>255</v>
      </c>
      <c r="F771" s="21">
        <v>858</v>
      </c>
      <c r="G771" s="22">
        <v>1472.5</v>
      </c>
      <c r="H771" s="22"/>
      <c r="I771" s="22">
        <f t="shared" si="13"/>
        <v>1472.5</v>
      </c>
      <c r="J771" s="18" t="s">
        <v>1199</v>
      </c>
      <c r="K771" s="18">
        <v>9792034</v>
      </c>
      <c r="L771" s="18">
        <v>880171</v>
      </c>
      <c r="M771" s="18" t="s">
        <v>2367</v>
      </c>
      <c r="N771" s="16" t="s">
        <v>2129</v>
      </c>
      <c r="O771" s="18" t="s">
        <v>1538</v>
      </c>
      <c r="P771" s="18" t="s">
        <v>2129</v>
      </c>
      <c r="Q771" s="29" t="str" cm="1">
        <f t="array" ref="Q771">_xlfn.IFS(
A771="","",
AND(A771&lt;&gt;"",B771=""),"FALTA LANÇAMENTO",
AND(B771&lt;&gt;"",M771=""),"FALTA O PEDIDO",
AND(M771&lt;&gt;"",O771=""),"FALTA NF",
O771&lt;&gt;"","CONCLUÍDO")</f>
        <v>CONCLUÍDO</v>
      </c>
      <c r="R771" s="36"/>
    </row>
    <row r="772" spans="1:18" hidden="1">
      <c r="A772" s="16">
        <v>46080</v>
      </c>
      <c r="B772" s="16">
        <v>46090</v>
      </c>
      <c r="C772" s="21">
        <v>51521065</v>
      </c>
      <c r="D772" s="16" t="str">
        <f>IFERROR(VLOOKUP(Tabela5[[#This Row],[PREFIXO ]],Tabela4[#All],2,0),"CENTRO DE CUSTO")</f>
        <v>COLHED ALGODÃO JOHN DEERE CP 690</v>
      </c>
      <c r="E772" s="18" t="s">
        <v>255</v>
      </c>
      <c r="F772" s="21">
        <v>861</v>
      </c>
      <c r="G772" s="22">
        <v>1377.5</v>
      </c>
      <c r="H772" s="22"/>
      <c r="I772" s="22">
        <f t="shared" si="13"/>
        <v>1377.5</v>
      </c>
      <c r="J772" s="18" t="s">
        <v>1199</v>
      </c>
      <c r="K772" s="18">
        <v>9792029</v>
      </c>
      <c r="L772" s="18">
        <v>880171</v>
      </c>
      <c r="M772" s="18" t="s">
        <v>2367</v>
      </c>
      <c r="N772" s="16" t="s">
        <v>2129</v>
      </c>
      <c r="O772" s="18" t="s">
        <v>1538</v>
      </c>
      <c r="P772" s="18" t="s">
        <v>2129</v>
      </c>
      <c r="Q772" s="29" t="str" cm="1">
        <f t="array" ref="Q772">_xlfn.IFS(
A772="","",
AND(A772&lt;&gt;"",B772=""),"FALTA LANÇAMENTO",
AND(B772&lt;&gt;"",M772=""),"FALTA O PEDIDO",
AND(M772&lt;&gt;"",O772=""),"FALTA NF",
O772&lt;&gt;"","CONCLUÍDO")</f>
        <v>CONCLUÍDO</v>
      </c>
      <c r="R772" s="36"/>
    </row>
    <row r="773" spans="1:18" hidden="1">
      <c r="A773" s="16">
        <v>46080</v>
      </c>
      <c r="B773" s="16">
        <v>46090</v>
      </c>
      <c r="C773" s="21">
        <v>51521045</v>
      </c>
      <c r="D773" s="16" t="str">
        <f>IFERROR(VLOOKUP(Tabela5[[#This Row],[PREFIXO ]],Tabela4[#All],2,0),"CENTRO DE CUSTO")</f>
        <v>COLHED ALGODÃO JOHN DEERE CP 690</v>
      </c>
      <c r="E773" s="18" t="s">
        <v>255</v>
      </c>
      <c r="F773" s="21">
        <v>862</v>
      </c>
      <c r="G773" s="22">
        <v>1300</v>
      </c>
      <c r="H773" s="22"/>
      <c r="I773" s="22">
        <f t="shared" si="13"/>
        <v>1300</v>
      </c>
      <c r="J773" s="18" t="s">
        <v>1199</v>
      </c>
      <c r="K773" s="18">
        <v>9792028</v>
      </c>
      <c r="L773" s="18">
        <v>880171</v>
      </c>
      <c r="M773" s="18" t="s">
        <v>2367</v>
      </c>
      <c r="N773" s="16" t="s">
        <v>2129</v>
      </c>
      <c r="O773" s="18" t="s">
        <v>1538</v>
      </c>
      <c r="P773" s="18" t="s">
        <v>2129</v>
      </c>
      <c r="Q773" s="29" t="str" cm="1">
        <f t="array" ref="Q773">_xlfn.IFS(
A773="","",
AND(A773&lt;&gt;"",B773=""),"FALTA LANÇAMENTO",
AND(B773&lt;&gt;"",M773=""),"FALTA O PEDIDO",
AND(M773&lt;&gt;"",O773=""),"FALTA NF",
O773&lt;&gt;"","CONCLUÍDO")</f>
        <v>CONCLUÍDO</v>
      </c>
      <c r="R773" s="36"/>
    </row>
    <row r="774" spans="1:18" hidden="1">
      <c r="A774" s="16">
        <v>46080</v>
      </c>
      <c r="B774" s="16">
        <v>46090</v>
      </c>
      <c r="C774" s="21">
        <v>500580071</v>
      </c>
      <c r="D774" s="16" t="str">
        <f>IFERROR(VLOOKUP(Tabela5[[#This Row],[PREFIXO ]],Tabela4[#All],2,0),"CENTRO DE CUSTO")</f>
        <v>Tratores Leves</v>
      </c>
      <c r="E774" s="18" t="s">
        <v>255</v>
      </c>
      <c r="F774" s="21">
        <v>859</v>
      </c>
      <c r="G774" s="22">
        <v>1000</v>
      </c>
      <c r="H774" s="22"/>
      <c r="I774" s="22">
        <f t="shared" si="13"/>
        <v>1000</v>
      </c>
      <c r="J774" s="18" t="s">
        <v>1199</v>
      </c>
      <c r="K774" s="18">
        <v>5019752</v>
      </c>
      <c r="L774" s="18">
        <v>880171</v>
      </c>
      <c r="M774" s="18" t="s">
        <v>2367</v>
      </c>
      <c r="N774" s="16" t="s">
        <v>2129</v>
      </c>
      <c r="O774" s="18" t="s">
        <v>1538</v>
      </c>
      <c r="P774" s="18" t="s">
        <v>2129</v>
      </c>
      <c r="Q774" s="29" t="str" cm="1">
        <f t="array" ref="Q774">_xlfn.IFS(
A774="","",
AND(A774&lt;&gt;"",B774=""),"FALTA LANÇAMENTO",
AND(B774&lt;&gt;"",M774=""),"FALTA O PEDIDO",
AND(M774&lt;&gt;"",O774=""),"FALTA NF",
O774&lt;&gt;"","CONCLUÍDO")</f>
        <v>CONCLUÍDO</v>
      </c>
      <c r="R774" s="36"/>
    </row>
    <row r="775" spans="1:18" hidden="1">
      <c r="A775" s="16">
        <v>46080</v>
      </c>
      <c r="B775" s="16">
        <v>46084</v>
      </c>
      <c r="C775" s="21">
        <v>15190036</v>
      </c>
      <c r="D775" s="16" t="str">
        <f>IFERROR(VLOOKUP(Tabela5[[#This Row],[PREFIXO ]],Tabela4[#All],2,0),"CENTRO DE CUSTO")</f>
        <v>CENTRO DE CUSTO</v>
      </c>
      <c r="E775" s="18" t="s">
        <v>255</v>
      </c>
      <c r="F775" s="21">
        <v>856</v>
      </c>
      <c r="G775" s="22">
        <v>882</v>
      </c>
      <c r="H775" s="22"/>
      <c r="I775" s="22">
        <f t="shared" si="13"/>
        <v>882</v>
      </c>
      <c r="J775" s="18" t="s">
        <v>1199</v>
      </c>
      <c r="K775" s="18">
        <v>9792026</v>
      </c>
      <c r="L775" s="18">
        <v>880171</v>
      </c>
      <c r="M775" s="18" t="s">
        <v>2367</v>
      </c>
      <c r="N775" s="16" t="s">
        <v>2129</v>
      </c>
      <c r="O775" s="18" t="s">
        <v>1538</v>
      </c>
      <c r="P775" s="18" t="s">
        <v>2129</v>
      </c>
      <c r="Q775" s="29" t="str" cm="1">
        <f t="array" ref="Q775">_xlfn.IFS(
A775="","",
AND(A775&lt;&gt;"",B775=""),"FALTA LANÇAMENTO",
AND(B775&lt;&gt;"",M775=""),"FALTA O PEDIDO",
AND(M775&lt;&gt;"",O775=""),"FALTA NF",
O775&lt;&gt;"","CONCLUÍDO")</f>
        <v>CONCLUÍDO</v>
      </c>
      <c r="R775" s="36"/>
    </row>
    <row r="776" spans="1:18" hidden="1">
      <c r="A776" s="16">
        <v>46080</v>
      </c>
      <c r="B776" s="16">
        <v>46092</v>
      </c>
      <c r="C776" s="21">
        <v>500580073</v>
      </c>
      <c r="D776" s="16" t="str">
        <f>IFERROR(VLOOKUP(Tabela5[[#This Row],[PREFIXO ]],Tabela4[#All],2,0),"CENTRO DE CUSTO")</f>
        <v>Tratores Pesados</v>
      </c>
      <c r="E776" s="18" t="s">
        <v>259</v>
      </c>
      <c r="F776" s="21" t="s">
        <v>2368</v>
      </c>
      <c r="G776" s="22">
        <v>48000</v>
      </c>
      <c r="H776" s="22"/>
      <c r="I776" s="22">
        <f t="shared" si="13"/>
        <v>48000</v>
      </c>
      <c r="J776" s="18" t="s">
        <v>1199</v>
      </c>
      <c r="K776" s="18">
        <v>5019849</v>
      </c>
      <c r="L776" s="18">
        <v>884144</v>
      </c>
      <c r="M776" s="18" t="s">
        <v>2369</v>
      </c>
      <c r="N776" s="16" t="s">
        <v>1691</v>
      </c>
      <c r="O776" s="18" t="s">
        <v>2203</v>
      </c>
      <c r="P776" s="18" t="s">
        <v>2007</v>
      </c>
      <c r="Q776" s="29" t="str" cm="1">
        <f t="array" ref="Q776">_xlfn.IFS(
A776="","",
AND(A776&lt;&gt;"",B776=""),"FALTA LANÇAMENTO",
AND(B776&lt;&gt;"",M776=""),"FALTA O PEDIDO",
AND(M776&lt;&gt;"",O776=""),"FALTA NF",
O776&lt;&gt;"","CONCLUÍDO")</f>
        <v>CONCLUÍDO</v>
      </c>
      <c r="R776" s="36"/>
    </row>
    <row r="777" spans="1:18" hidden="1">
      <c r="A777" s="16">
        <v>46080</v>
      </c>
      <c r="B777" s="16">
        <v>46098</v>
      </c>
      <c r="C777" s="21">
        <v>11519024</v>
      </c>
      <c r="D777" s="16" t="str">
        <f>IFERROR(VLOOKUP(Tabela5[[#This Row],[PREFIXO ]],Tabela4[#All],2,0),"CENTRO DE CUSTO")</f>
        <v>CENTRO DE CUSTO</v>
      </c>
      <c r="E777" s="18" t="s">
        <v>259</v>
      </c>
      <c r="F777" s="21" t="s">
        <v>2370</v>
      </c>
      <c r="G777" s="22">
        <v>45.86</v>
      </c>
      <c r="H777" s="22">
        <v>18941.45</v>
      </c>
      <c r="I777" s="22">
        <f t="shared" si="13"/>
        <v>18987.310000000001</v>
      </c>
      <c r="J777" s="18" t="s">
        <v>1199</v>
      </c>
      <c r="K777" s="18">
        <v>9792540</v>
      </c>
      <c r="L777" s="18">
        <v>888650</v>
      </c>
      <c r="M777" s="18" t="s">
        <v>2371</v>
      </c>
      <c r="N777" s="16" t="s">
        <v>2201</v>
      </c>
      <c r="O777" s="18" t="s">
        <v>1095</v>
      </c>
      <c r="P777" s="18" t="s">
        <v>1095</v>
      </c>
      <c r="Q777" s="29" t="str" cm="1">
        <f t="array" ref="Q777">_xlfn.IFS(
A777="","",
AND(A777&lt;&gt;"",B777=""),"FALTA LANÇAMENTO",
AND(B777&lt;&gt;"",M777=""),"FALTA O PEDIDO",
AND(M777&lt;&gt;"",O777=""),"FALTA NF",
O777&lt;&gt;"","CONCLUÍDO")</f>
        <v>CONCLUÍDO</v>
      </c>
      <c r="R777" s="36"/>
    </row>
    <row r="778" spans="1:18" hidden="1">
      <c r="A778" s="16">
        <v>46080</v>
      </c>
      <c r="B778" s="16">
        <v>46092</v>
      </c>
      <c r="C778" s="21">
        <v>15048015</v>
      </c>
      <c r="D778" s="16" t="str">
        <f>IFERROR(VLOOKUP(Tabela5[[#This Row],[PREFIXO ]],Tabela4[#All],2,0),"CENTRO DE CUSTO")</f>
        <v>TRAT PN EXT PES FENDT VARIO 1050</v>
      </c>
      <c r="E778" s="18" t="s">
        <v>259</v>
      </c>
      <c r="F778" s="21" t="s">
        <v>2372</v>
      </c>
      <c r="G778" s="22">
        <v>43.52</v>
      </c>
      <c r="H778" s="22">
        <v>4539.93</v>
      </c>
      <c r="I778" s="22">
        <f t="shared" si="13"/>
        <v>4583.4500000000007</v>
      </c>
      <c r="J778" s="18" t="s">
        <v>1199</v>
      </c>
      <c r="K778" s="18">
        <v>9792550</v>
      </c>
      <c r="L778" s="18">
        <v>881387</v>
      </c>
      <c r="M778" s="18" t="s">
        <v>2373</v>
      </c>
      <c r="N778" s="16" t="s">
        <v>1691</v>
      </c>
      <c r="O778" s="18" t="s">
        <v>2374</v>
      </c>
      <c r="P778" s="18" t="s">
        <v>2375</v>
      </c>
      <c r="Q778" s="29" t="str" cm="1">
        <f t="array" ref="Q778">_xlfn.IFS(
A778="","",
AND(A778&lt;&gt;"",B778=""),"FALTA LANÇAMENTO",
AND(B778&lt;&gt;"",M778=""),"FALTA O PEDIDO",
AND(M778&lt;&gt;"",O778=""),"FALTA NF",
O778&lt;&gt;"","CONCLUÍDO")</f>
        <v>CONCLUÍDO</v>
      </c>
      <c r="R778" s="36"/>
    </row>
    <row r="779" spans="1:18" hidden="1">
      <c r="A779" s="16">
        <v>46080</v>
      </c>
      <c r="B779" s="16">
        <v>46092</v>
      </c>
      <c r="C779" s="21">
        <v>11521030</v>
      </c>
      <c r="D779" s="16" t="str">
        <f>IFERROR(VLOOKUP(Tabela5[[#This Row],[PREFIXO ]],Tabela4[#All],2,0),"CENTRO DE CUSTO")</f>
        <v>TRAT PN EXT PES FENDT 1046 VARIO</v>
      </c>
      <c r="E779" s="18" t="s">
        <v>259</v>
      </c>
      <c r="F779" s="21" t="s">
        <v>2376</v>
      </c>
      <c r="G779" s="22">
        <v>49.99</v>
      </c>
      <c r="H779" s="22">
        <v>1001.58</v>
      </c>
      <c r="I779" s="22">
        <f t="shared" si="13"/>
        <v>1051.57</v>
      </c>
      <c r="J779" s="18" t="s">
        <v>1199</v>
      </c>
      <c r="K779" s="18">
        <v>9792549</v>
      </c>
      <c r="L779" s="18">
        <v>881398</v>
      </c>
      <c r="M779" s="18" t="s">
        <v>2377</v>
      </c>
      <c r="N779" s="16" t="s">
        <v>1691</v>
      </c>
      <c r="O779" s="18" t="s">
        <v>2378</v>
      </c>
      <c r="P779" s="18" t="s">
        <v>2379</v>
      </c>
      <c r="Q779" s="29" t="str" cm="1">
        <f t="array" ref="Q779">_xlfn.IFS(
A779="","",
AND(A779&lt;&gt;"",B779=""),"FALTA LANÇAMENTO",
AND(B779&lt;&gt;"",M779=""),"FALTA O PEDIDO",
AND(M779&lt;&gt;"",O779=""),"FALTA NF",
O779&lt;&gt;"","CONCLUÍDO")</f>
        <v>CONCLUÍDO</v>
      </c>
      <c r="R779" s="36"/>
    </row>
    <row r="780" spans="1:18" hidden="1">
      <c r="A780" s="16">
        <v>46080</v>
      </c>
      <c r="B780" s="16">
        <v>46092</v>
      </c>
      <c r="C780" s="21">
        <v>11521032</v>
      </c>
      <c r="D780" s="16" t="str">
        <f>IFERROR(VLOOKUP(Tabela5[[#This Row],[PREFIXO ]],Tabela4[#All],2,0),"CENTRO DE CUSTO")</f>
        <v>TRAT PN EXT PES FENDT 1046 VARIO</v>
      </c>
      <c r="E780" s="18" t="s">
        <v>259</v>
      </c>
      <c r="F780" s="21" t="s">
        <v>2380</v>
      </c>
      <c r="G780" s="22">
        <v>50.01</v>
      </c>
      <c r="H780" s="22">
        <v>311.01</v>
      </c>
      <c r="I780" s="22">
        <f t="shared" si="13"/>
        <v>361.02</v>
      </c>
      <c r="J780" s="18" t="s">
        <v>1199</v>
      </c>
      <c r="K780" s="18">
        <v>979249</v>
      </c>
      <c r="L780" s="18">
        <v>881474</v>
      </c>
      <c r="M780" s="18" t="s">
        <v>2381</v>
      </c>
      <c r="N780" s="16" t="s">
        <v>1691</v>
      </c>
      <c r="O780" s="18" t="s">
        <v>2382</v>
      </c>
      <c r="P780" s="18" t="s">
        <v>2383</v>
      </c>
      <c r="Q780" s="29" t="str" cm="1">
        <f t="array" ref="Q780">_xlfn.IFS(
A780="","",
AND(A780&lt;&gt;"",B780=""),"FALTA LANÇAMENTO",
AND(B780&lt;&gt;"",M780=""),"FALTA O PEDIDO",
AND(M780&lt;&gt;"",O780=""),"FALTA NF",
O780&lt;&gt;"","CONCLUÍDO")</f>
        <v>CONCLUÍDO</v>
      </c>
      <c r="R780" s="36"/>
    </row>
    <row r="781" spans="1:18" hidden="1">
      <c r="A781" s="16">
        <v>46080</v>
      </c>
      <c r="B781" s="16">
        <v>46090</v>
      </c>
      <c r="C781" s="21" t="s">
        <v>2384</v>
      </c>
      <c r="D781" s="16" t="str">
        <f>IFERROR(VLOOKUP(Tabela5[[#This Row],[PREFIXO ]],Tabela4[#All],2,0),"CENTRO DE CUSTO")</f>
        <v>CENTRO DE CUSTO</v>
      </c>
      <c r="E781" s="18" t="s">
        <v>260</v>
      </c>
      <c r="F781" s="21">
        <v>193343</v>
      </c>
      <c r="G781" s="22">
        <v>1100</v>
      </c>
      <c r="H781" s="22">
        <v>4475</v>
      </c>
      <c r="I781" s="22">
        <f t="shared" si="13"/>
        <v>5575</v>
      </c>
      <c r="J781" s="18" t="s">
        <v>1085</v>
      </c>
      <c r="K781" s="18">
        <v>9792546</v>
      </c>
      <c r="L781" s="18">
        <v>881431</v>
      </c>
      <c r="M781" s="18" t="s">
        <v>2385</v>
      </c>
      <c r="N781" s="16" t="s">
        <v>2200</v>
      </c>
      <c r="O781" s="18" t="s">
        <v>2386</v>
      </c>
      <c r="P781" s="18" t="s">
        <v>2329</v>
      </c>
      <c r="Q781" s="29" t="str" cm="1">
        <f t="array" ref="Q781">_xlfn.IFS(
A781="","",
AND(A781&lt;&gt;"",B781=""),"FALTA LANÇAMENTO",
AND(B781&lt;&gt;"",M781=""),"FALTA O PEDIDO",
AND(M781&lt;&gt;"",O781=""),"FALTA NF",
O781&lt;&gt;"","CONCLUÍDO")</f>
        <v>CONCLUÍDO</v>
      </c>
      <c r="R781" s="36"/>
    </row>
    <row r="782" spans="1:18" hidden="1">
      <c r="A782" s="16">
        <v>46080</v>
      </c>
      <c r="B782" s="16">
        <v>46090</v>
      </c>
      <c r="C782" s="21" t="s">
        <v>2387</v>
      </c>
      <c r="D782" s="16" t="str">
        <f>IFERROR(VLOOKUP(Tabela5[[#This Row],[PREFIXO ]],Tabela4[#All],2,0),"CENTRO DE CUSTO")</f>
        <v>CENTRO DE CUSTO</v>
      </c>
      <c r="E782" s="18" t="s">
        <v>260</v>
      </c>
      <c r="F782" s="21">
        <v>192491</v>
      </c>
      <c r="G782" s="22"/>
      <c r="H782" s="22">
        <v>2585</v>
      </c>
      <c r="I782" s="22">
        <f t="shared" si="13"/>
        <v>2585</v>
      </c>
      <c r="J782" s="18" t="s">
        <v>1085</v>
      </c>
      <c r="K782" s="18">
        <v>9793027</v>
      </c>
      <c r="L782" s="18" t="s">
        <v>1095</v>
      </c>
      <c r="M782" s="18" t="s">
        <v>1095</v>
      </c>
      <c r="N782" s="16" t="s">
        <v>1095</v>
      </c>
      <c r="O782" s="18" t="s">
        <v>1095</v>
      </c>
      <c r="P782" s="18" t="s">
        <v>1095</v>
      </c>
      <c r="Q782" s="29" t="str" cm="1">
        <f t="array" ref="Q782">_xlfn.IFS(
A782="","",
AND(A782&lt;&gt;"",B782=""),"FALTA LANÇAMENTO",
AND(B782&lt;&gt;"",M782=""),"FALTA O PEDIDO",
AND(M782&lt;&gt;"",O782=""),"FALTA NF",
O782&lt;&gt;"","CONCLUÍDO")</f>
        <v>CONCLUÍDO</v>
      </c>
      <c r="R782" s="36"/>
    </row>
    <row r="783" spans="1:18" hidden="1">
      <c r="A783" s="16">
        <v>46080</v>
      </c>
      <c r="B783" s="16">
        <v>46090</v>
      </c>
      <c r="C783" s="21" t="s">
        <v>2388</v>
      </c>
      <c r="D783" s="16" t="str">
        <f>IFERROR(VLOOKUP(Tabela5[[#This Row],[PREFIXO ]],Tabela4[#All],2,0),"CENTRO DE CUSTO")</f>
        <v>CENTRO DE CUSTO</v>
      </c>
      <c r="E783" s="18" t="s">
        <v>260</v>
      </c>
      <c r="F783" s="21">
        <v>192947</v>
      </c>
      <c r="G783" s="22">
        <v>2500</v>
      </c>
      <c r="H783" s="22"/>
      <c r="I783" s="22">
        <f t="shared" si="13"/>
        <v>2500</v>
      </c>
      <c r="J783" s="18" t="s">
        <v>1085</v>
      </c>
      <c r="K783" s="18">
        <v>9793032</v>
      </c>
      <c r="L783" s="18" t="s">
        <v>1095</v>
      </c>
      <c r="M783" s="18" t="s">
        <v>1095</v>
      </c>
      <c r="N783" s="16" t="s">
        <v>1095</v>
      </c>
      <c r="O783" s="18" t="s">
        <v>1095</v>
      </c>
      <c r="P783" s="18" t="s">
        <v>1095</v>
      </c>
      <c r="Q783" s="29" t="str" cm="1">
        <f t="array" ref="Q783">_xlfn.IFS(
A783="","",
AND(A783&lt;&gt;"",B783=""),"FALTA LANÇAMENTO",
AND(B783&lt;&gt;"",M783=""),"FALTA O PEDIDO",
AND(M783&lt;&gt;"",O783=""),"FALTA NF",
O783&lt;&gt;"","CONCLUÍDO")</f>
        <v>CONCLUÍDO</v>
      </c>
      <c r="R783" s="36"/>
    </row>
    <row r="784" spans="1:18" hidden="1">
      <c r="A784" s="16">
        <v>46080</v>
      </c>
      <c r="B784" s="16">
        <v>46090</v>
      </c>
      <c r="C784" s="21" t="s">
        <v>2388</v>
      </c>
      <c r="D784" s="16" t="str">
        <f>IFERROR(VLOOKUP(Tabela5[[#This Row],[PREFIXO ]],Tabela4[#All],2,0),"CENTRO DE CUSTO")</f>
        <v>CENTRO DE CUSTO</v>
      </c>
      <c r="E784" s="18" t="s">
        <v>260</v>
      </c>
      <c r="F784" s="21">
        <v>192945</v>
      </c>
      <c r="G784" s="22">
        <v>90</v>
      </c>
      <c r="H784" s="22">
        <v>60</v>
      </c>
      <c r="I784" s="22">
        <f t="shared" si="13"/>
        <v>150</v>
      </c>
      <c r="J784" s="18" t="s">
        <v>1085</v>
      </c>
      <c r="K784" s="18">
        <v>9793144</v>
      </c>
      <c r="L784" s="18">
        <v>880169</v>
      </c>
      <c r="M784" s="18" t="s">
        <v>2389</v>
      </c>
      <c r="N784" s="16" t="s">
        <v>2129</v>
      </c>
      <c r="O784" s="18" t="s">
        <v>2390</v>
      </c>
      <c r="P784" s="18" t="s">
        <v>2329</v>
      </c>
      <c r="Q784" s="29" t="str" cm="1">
        <f t="array" ref="Q784">_xlfn.IFS(
A784="","",
AND(A784&lt;&gt;"",B784=""),"FALTA LANÇAMENTO",
AND(B784&lt;&gt;"",M784=""),"FALTA O PEDIDO",
AND(M784&lt;&gt;"",O784=""),"FALTA NF",
O784&lt;&gt;"","CONCLUÍDO")</f>
        <v>CONCLUÍDO</v>
      </c>
      <c r="R784" s="36"/>
    </row>
    <row r="785" spans="1:18" hidden="1">
      <c r="A785" s="16">
        <v>46080</v>
      </c>
      <c r="B785" s="16">
        <v>46086</v>
      </c>
      <c r="C785" s="21">
        <v>11521003</v>
      </c>
      <c r="D785" s="16" t="str">
        <f>IFERROR(VLOOKUP(Tabela5[[#This Row],[PREFIXO ]],Tabela4[#All],2,0),"CENTRO DE CUSTO")</f>
        <v>TRAT PN EXT PES CASE STEIGER 620</v>
      </c>
      <c r="E785" s="18" t="s">
        <v>312</v>
      </c>
      <c r="F785" s="21" t="s">
        <v>1296</v>
      </c>
      <c r="G785" s="22">
        <v>18912.5</v>
      </c>
      <c r="H785" s="22"/>
      <c r="I785" s="22">
        <f t="shared" si="13"/>
        <v>18912.5</v>
      </c>
      <c r="J785" s="18" t="s">
        <v>1199</v>
      </c>
      <c r="K785" s="18">
        <v>9792064</v>
      </c>
      <c r="L785" s="18">
        <v>879701</v>
      </c>
      <c r="M785" s="18" t="s">
        <v>2391</v>
      </c>
      <c r="N785" s="16" t="s">
        <v>1594</v>
      </c>
      <c r="O785" s="18" t="s">
        <v>1534</v>
      </c>
      <c r="P785" s="18" t="s">
        <v>2129</v>
      </c>
      <c r="Q785" s="29" t="str" cm="1">
        <f t="array" ref="Q785">_xlfn.IFS(
A785="","",
AND(A785&lt;&gt;"",B785=""),"FALTA LANÇAMENTO",
AND(B785&lt;&gt;"",M785=""),"FALTA O PEDIDO",
AND(M785&lt;&gt;"",O785=""),"FALTA NF",
O785&lt;&gt;"","CONCLUÍDO")</f>
        <v>CONCLUÍDO</v>
      </c>
      <c r="R785" s="36"/>
    </row>
    <row r="786" spans="1:18" hidden="1">
      <c r="A786" s="16">
        <v>46080</v>
      </c>
      <c r="B786" s="16">
        <v>46086</v>
      </c>
      <c r="C786" s="21">
        <v>11521006</v>
      </c>
      <c r="D786" s="16" t="str">
        <f>IFERROR(VLOOKUP(Tabela5[[#This Row],[PREFIXO ]],Tabela4[#All],2,0),"CENTRO DE CUSTO")</f>
        <v>TRAT PN EXT PES CASE STEIGER 620</v>
      </c>
      <c r="E786" s="18" t="s">
        <v>312</v>
      </c>
      <c r="F786" s="21" t="s">
        <v>1304</v>
      </c>
      <c r="G786" s="22">
        <v>18912.5</v>
      </c>
      <c r="H786" s="22"/>
      <c r="I786" s="22">
        <f t="shared" si="13"/>
        <v>18912.5</v>
      </c>
      <c r="J786" s="18" t="s">
        <v>1199</v>
      </c>
      <c r="K786" s="18">
        <v>9792065</v>
      </c>
      <c r="L786" s="18">
        <v>879701</v>
      </c>
      <c r="M786" s="18" t="s">
        <v>2391</v>
      </c>
      <c r="N786" s="16" t="s">
        <v>1594</v>
      </c>
      <c r="O786" s="18" t="s">
        <v>1534</v>
      </c>
      <c r="P786" s="18" t="s">
        <v>2129</v>
      </c>
      <c r="Q786" s="29" t="str" cm="1">
        <f t="array" ref="Q786">_xlfn.IFS(
A786="","",
AND(A786&lt;&gt;"",B786=""),"FALTA LANÇAMENTO",
AND(B786&lt;&gt;"",M786=""),"FALTA O PEDIDO",
AND(M786&lt;&gt;"",O786=""),"FALTA NF",
O786&lt;&gt;"","CONCLUÍDO")</f>
        <v>CONCLUÍDO</v>
      </c>
      <c r="R786" s="36"/>
    </row>
    <row r="787" spans="1:18" hidden="1">
      <c r="A787" s="16">
        <v>46080</v>
      </c>
      <c r="B787" s="16">
        <v>46090</v>
      </c>
      <c r="C787" s="21">
        <v>500580090</v>
      </c>
      <c r="D787" s="16" t="str">
        <f>IFERROR(VLOOKUP(Tabela5[[#This Row],[PREFIXO ]],Tabela4[#All],2,0),"CENTRO DE CUSTO")</f>
        <v>Plantadeiras</v>
      </c>
      <c r="E787" s="18" t="s">
        <v>312</v>
      </c>
      <c r="F787" s="21" t="s">
        <v>1303</v>
      </c>
      <c r="G787" s="22">
        <v>15941</v>
      </c>
      <c r="H787" s="22"/>
      <c r="I787" s="22">
        <f t="shared" si="13"/>
        <v>15941</v>
      </c>
      <c r="J787" s="18" t="s">
        <v>1199</v>
      </c>
      <c r="K787" s="18">
        <v>5019793</v>
      </c>
      <c r="L787" s="18">
        <v>880142</v>
      </c>
      <c r="M787" s="18" t="s">
        <v>2392</v>
      </c>
      <c r="N787" s="16" t="s">
        <v>1594</v>
      </c>
      <c r="O787" s="18" t="s">
        <v>1119</v>
      </c>
      <c r="P787" s="18" t="s">
        <v>2129</v>
      </c>
      <c r="Q787" s="29" t="str" cm="1">
        <f t="array" ref="Q787">_xlfn.IFS(
A787="","",
AND(A787&lt;&gt;"",B787=""),"FALTA LANÇAMENTO",
AND(B787&lt;&gt;"",M787=""),"FALTA O PEDIDO",
AND(M787&lt;&gt;"",O787=""),"FALTA NF",
O787&lt;&gt;"","CONCLUÍDO")</f>
        <v>CONCLUÍDO</v>
      </c>
      <c r="R787" s="36"/>
    </row>
    <row r="788" spans="1:18" hidden="1">
      <c r="A788" s="16">
        <v>46080</v>
      </c>
      <c r="B788" s="16">
        <v>46086</v>
      </c>
      <c r="C788" s="21">
        <v>11521037</v>
      </c>
      <c r="D788" s="16" t="str">
        <f>IFERROR(VLOOKUP(Tabela5[[#This Row],[PREFIXO ]],Tabela4[#All],2,0),"CENTRO DE CUSTO")</f>
        <v>TRAT PN EXT PES N.HOLLAND T9.600</v>
      </c>
      <c r="E788" s="18" t="s">
        <v>312</v>
      </c>
      <c r="F788" s="21" t="s">
        <v>1302</v>
      </c>
      <c r="G788" s="22">
        <v>1498.15</v>
      </c>
      <c r="H788" s="22"/>
      <c r="I788" s="22">
        <f t="shared" si="13"/>
        <v>1498.15</v>
      </c>
      <c r="J788" s="18" t="s">
        <v>1199</v>
      </c>
      <c r="K788" s="18">
        <v>9792061</v>
      </c>
      <c r="L788" s="18">
        <v>879701</v>
      </c>
      <c r="M788" s="18" t="s">
        <v>2391</v>
      </c>
      <c r="N788" s="16" t="s">
        <v>1594</v>
      </c>
      <c r="O788" s="18" t="s">
        <v>1534</v>
      </c>
      <c r="P788" s="18" t="s">
        <v>2129</v>
      </c>
      <c r="Q788" s="29" t="str" cm="1">
        <f t="array" ref="Q788">_xlfn.IFS(
A788="","",
AND(A788&lt;&gt;"",B788=""),"FALTA LANÇAMENTO",
AND(B788&lt;&gt;"",M788=""),"FALTA O PEDIDO",
AND(M788&lt;&gt;"",O788=""),"FALTA NF",
O788&lt;&gt;"","CONCLUÍDO")</f>
        <v>CONCLUÍDO</v>
      </c>
      <c r="R788" s="36"/>
    </row>
    <row r="789" spans="1:18" hidden="1">
      <c r="A789" s="16">
        <v>46080</v>
      </c>
      <c r="B789" s="16">
        <v>46086</v>
      </c>
      <c r="C789" s="21">
        <v>11521002</v>
      </c>
      <c r="D789" s="16" t="str">
        <f>IFERROR(VLOOKUP(Tabela5[[#This Row],[PREFIXO ]],Tabela4[#All],2,0),"CENTRO DE CUSTO")</f>
        <v>TRAT PN EXT PES CASE STEIGER 620</v>
      </c>
      <c r="E789" s="18" t="s">
        <v>312</v>
      </c>
      <c r="F789" s="21" t="s">
        <v>1258</v>
      </c>
      <c r="G789" s="22">
        <v>1281.55</v>
      </c>
      <c r="H789" s="22"/>
      <c r="I789" s="22">
        <f t="shared" si="13"/>
        <v>1281.55</v>
      </c>
      <c r="J789" s="18" t="s">
        <v>1199</v>
      </c>
      <c r="K789" s="18">
        <v>9792060</v>
      </c>
      <c r="L789" s="18">
        <v>879701</v>
      </c>
      <c r="M789" s="18" t="s">
        <v>2391</v>
      </c>
      <c r="N789" s="16" t="s">
        <v>1594</v>
      </c>
      <c r="O789" s="18" t="s">
        <v>1534</v>
      </c>
      <c r="P789" s="18" t="s">
        <v>2129</v>
      </c>
      <c r="Q789" s="29" t="str" cm="1">
        <f t="array" ref="Q789">_xlfn.IFS(
A789="","",
AND(A789&lt;&gt;"",B789=""),"FALTA LANÇAMENTO",
AND(B789&lt;&gt;"",M789=""),"FALTA O PEDIDO",
AND(M789&lt;&gt;"",O789=""),"FALTA NF",
O789&lt;&gt;"","CONCLUÍDO")</f>
        <v>CONCLUÍDO</v>
      </c>
      <c r="R789" s="36"/>
    </row>
    <row r="790" spans="1:18" hidden="1">
      <c r="A790" s="16">
        <v>46080</v>
      </c>
      <c r="B790" s="16">
        <v>46086</v>
      </c>
      <c r="C790" s="21">
        <v>1173061</v>
      </c>
      <c r="D790" s="16" t="str">
        <f>IFERROR(VLOOKUP(Tabela5[[#This Row],[PREFIXO ]],Tabela4[#All],2,0),"CENTRO DE CUSTO")</f>
        <v>TRAT PN MED M FERGUSON MF 297</v>
      </c>
      <c r="E790" s="18" t="s">
        <v>312</v>
      </c>
      <c r="F790" s="21" t="s">
        <v>1105</v>
      </c>
      <c r="G790" s="22">
        <v>882</v>
      </c>
      <c r="H790" s="22"/>
      <c r="I790" s="22">
        <f t="shared" si="13"/>
        <v>882</v>
      </c>
      <c r="J790" s="18" t="s">
        <v>1199</v>
      </c>
      <c r="K790" s="18">
        <v>9792062</v>
      </c>
      <c r="L790" s="18">
        <v>879701</v>
      </c>
      <c r="M790" s="18" t="s">
        <v>2391</v>
      </c>
      <c r="N790" s="16" t="s">
        <v>1594</v>
      </c>
      <c r="O790" s="18" t="s">
        <v>1534</v>
      </c>
      <c r="P790" s="18" t="s">
        <v>2129</v>
      </c>
      <c r="Q790" s="29" t="str" cm="1">
        <f t="array" ref="Q790">_xlfn.IFS(
A790="","",
AND(A790&lt;&gt;"",B790=""),"FALTA LANÇAMENTO",
AND(B790&lt;&gt;"",M790=""),"FALTA O PEDIDO",
AND(M790&lt;&gt;"",O790=""),"FALTA NF",
O790&lt;&gt;"","CONCLUÍDO")</f>
        <v>CONCLUÍDO</v>
      </c>
      <c r="R790" s="36"/>
    </row>
    <row r="791" spans="1:18" hidden="1">
      <c r="A791" s="16">
        <v>46080</v>
      </c>
      <c r="B791" s="16">
        <v>46202</v>
      </c>
      <c r="C791" s="21">
        <v>11040025</v>
      </c>
      <c r="D791" s="16" t="str">
        <f>IFERROR(VLOOKUP(Tabela5[[#This Row],[PREFIXO ]],Tabela4[#All],2,0),"CENTRO DE CUSTO")</f>
        <v>CAV MEC EXT PES SCANIA R500</v>
      </c>
      <c r="E791" s="18" t="s">
        <v>250</v>
      </c>
      <c r="F791" s="21">
        <v>39984</v>
      </c>
      <c r="G791" s="22">
        <v>120</v>
      </c>
      <c r="H791" s="22">
        <v>106.76</v>
      </c>
      <c r="I791" s="22">
        <f t="shared" si="13"/>
        <v>226.76</v>
      </c>
      <c r="J791" s="18" t="s">
        <v>1085</v>
      </c>
      <c r="K791" s="18" t="s">
        <v>2393</v>
      </c>
      <c r="L791" s="18" t="s">
        <v>2394</v>
      </c>
      <c r="M791" s="18" t="s">
        <v>2395</v>
      </c>
      <c r="N791" s="16">
        <v>46202</v>
      </c>
      <c r="O791" s="18" t="s">
        <v>2396</v>
      </c>
      <c r="P791" s="18" t="s">
        <v>2397</v>
      </c>
      <c r="Q791" s="29" t="str" cm="1">
        <f t="array" ref="Q791">_xlfn.IFS(
A791="","",
AND(A791&lt;&gt;"",B791=""),"FALTA LANÇAMENTO",
AND(B791&lt;&gt;"",M791=""),"FALTA O PEDIDO",
AND(M791&lt;&gt;"",O791=""),"FALTA NF",
O791&lt;&gt;"","CONCLUÍDO")</f>
        <v>CONCLUÍDO</v>
      </c>
      <c r="R791" s="36"/>
    </row>
    <row r="792" spans="1:18" hidden="1">
      <c r="A792" s="16">
        <v>46086</v>
      </c>
      <c r="B792" s="16">
        <v>46091</v>
      </c>
      <c r="C792" s="21">
        <v>500580263</v>
      </c>
      <c r="D792" s="16" t="str">
        <f>IFERROR(VLOOKUP(Tabela5[[#This Row],[PREFIXO ]],Tabela4[#All],2,0),"CENTRO DE CUSTO")</f>
        <v>Colheit. Grãos-Axial</v>
      </c>
      <c r="E792" s="18" t="s">
        <v>293</v>
      </c>
      <c r="F792" s="21">
        <v>52</v>
      </c>
      <c r="G792" s="22">
        <v>35725</v>
      </c>
      <c r="H792" s="22"/>
      <c r="I792" s="22">
        <f t="shared" si="13"/>
        <v>35725</v>
      </c>
      <c r="J792" s="18" t="s">
        <v>1251</v>
      </c>
      <c r="K792" s="18">
        <v>5019828</v>
      </c>
      <c r="L792" s="18">
        <v>882077</v>
      </c>
      <c r="M792" s="18" t="s">
        <v>2398</v>
      </c>
      <c r="N792" s="16" t="s">
        <v>2200</v>
      </c>
      <c r="O792" s="18" t="s">
        <v>1772</v>
      </c>
      <c r="P792" s="18" t="s">
        <v>2200</v>
      </c>
      <c r="Q792" s="29" t="str" cm="1">
        <f t="array" ref="Q792">_xlfn.IFS(
A792="","",
AND(A792&lt;&gt;"",B792=""),"FALTA LANÇAMENTO",
AND(B792&lt;&gt;"",M792=""),"FALTA O PEDIDO",
AND(M792&lt;&gt;"",O792=""),"FALTA NF",
O792&lt;&gt;"","CONCLUÍDO")</f>
        <v>CONCLUÍDO</v>
      </c>
      <c r="R792" s="36"/>
    </row>
    <row r="793" spans="1:18" hidden="1">
      <c r="A793" s="16">
        <v>46086</v>
      </c>
      <c r="B793" s="16">
        <v>46098</v>
      </c>
      <c r="C793" s="21">
        <v>23180045</v>
      </c>
      <c r="D793" s="16" t="str">
        <f>IFERROR(VLOOKUP(Tabela5[[#This Row],[PREFIXO ]],Tabela4[#All],2,0),"CENTRO DE CUSTO")</f>
        <v>COLHEIT DE GRÃOS JOHN DEERE S 780</v>
      </c>
      <c r="E793" s="18" t="s">
        <v>17</v>
      </c>
      <c r="F793" s="21">
        <v>43292</v>
      </c>
      <c r="G793" s="22">
        <v>6192.96</v>
      </c>
      <c r="H793" s="22">
        <v>11197.46</v>
      </c>
      <c r="I793" s="22">
        <f t="shared" si="13"/>
        <v>17390.419999999998</v>
      </c>
      <c r="J793" s="18" t="s">
        <v>1113</v>
      </c>
      <c r="K793" s="18">
        <v>9802237</v>
      </c>
      <c r="L793" s="18">
        <v>881778</v>
      </c>
      <c r="M793" s="18" t="s">
        <v>2399</v>
      </c>
      <c r="N793" s="16" t="s">
        <v>2201</v>
      </c>
      <c r="O793" s="18" t="s">
        <v>2400</v>
      </c>
      <c r="P793" s="18" t="s">
        <v>2401</v>
      </c>
      <c r="Q793" s="29" t="str" cm="1">
        <f t="array" ref="Q793">_xlfn.IFS(
A793="","",
AND(A793&lt;&gt;"",B793=""),"FALTA LANÇAMENTO",
AND(B793&lt;&gt;"",M793=""),"FALTA O PEDIDO",
AND(M793&lt;&gt;"",O793=""),"FALTA NF",
O793&lt;&gt;"","CONCLUÍDO")</f>
        <v>CONCLUÍDO</v>
      </c>
      <c r="R793" s="36"/>
    </row>
    <row r="794" spans="1:18" hidden="1">
      <c r="A794" s="16">
        <v>46086</v>
      </c>
      <c r="B794" s="16">
        <v>46090</v>
      </c>
      <c r="C794" s="21">
        <v>13130035</v>
      </c>
      <c r="D794" s="16" t="str">
        <f>IFERROR(VLOOKUP(Tabela5[[#This Row],[PREFIXO ]],Tabela4[#All],2,0),"CENTRO DE CUSTO")</f>
        <v>PULV AUTOPROP JOHN DEERE M4030</v>
      </c>
      <c r="E794" s="18" t="s">
        <v>17</v>
      </c>
      <c r="F794" s="21">
        <v>42602</v>
      </c>
      <c r="G794" s="22">
        <v>4637.2299999999996</v>
      </c>
      <c r="H794" s="22"/>
      <c r="I794" s="22">
        <f t="shared" si="13"/>
        <v>4637.2299999999996</v>
      </c>
      <c r="J794" s="18" t="s">
        <v>1265</v>
      </c>
      <c r="K794" s="18">
        <v>9792735</v>
      </c>
      <c r="L794" s="18">
        <v>880343</v>
      </c>
      <c r="M794" s="18" t="s">
        <v>2402</v>
      </c>
      <c r="N794" s="16" t="s">
        <v>2129</v>
      </c>
      <c r="O794" s="18" t="s">
        <v>2403</v>
      </c>
      <c r="P794" s="18" t="s">
        <v>2264</v>
      </c>
      <c r="Q794" s="29" t="str" cm="1">
        <f t="array" ref="Q794">_xlfn.IFS(
A794="","",
AND(A794&lt;&gt;"",B794=""),"FALTA LANÇAMENTO",
AND(B794&lt;&gt;"",M794=""),"FALTA O PEDIDO",
AND(M794&lt;&gt;"",O794=""),"FALTA NF",
O794&lt;&gt;"","CONCLUÍDO")</f>
        <v>CONCLUÍDO</v>
      </c>
      <c r="R794" s="36"/>
    </row>
    <row r="795" spans="1:18" hidden="1">
      <c r="A795" s="16">
        <v>46086</v>
      </c>
      <c r="B795" s="16">
        <v>46092</v>
      </c>
      <c r="C795" s="21">
        <v>23220009</v>
      </c>
      <c r="D795" s="16" t="str">
        <f>IFERROR(VLOOKUP(Tabela5[[#This Row],[PREFIXO ]],Tabela4[#All],2,0),"CENTRO DE CUSTO")</f>
        <v>CENTRO DE CUSTO</v>
      </c>
      <c r="E795" s="18" t="s">
        <v>17</v>
      </c>
      <c r="F795" s="21">
        <v>42221</v>
      </c>
      <c r="G795" s="22">
        <v>3196.49</v>
      </c>
      <c r="H795" s="22"/>
      <c r="I795" s="22">
        <f t="shared" si="13"/>
        <v>3196.49</v>
      </c>
      <c r="J795" s="18" t="s">
        <v>1113</v>
      </c>
      <c r="K795" s="18">
        <v>9797300</v>
      </c>
      <c r="L795" s="18">
        <v>883840</v>
      </c>
      <c r="M795" s="18" t="s">
        <v>2404</v>
      </c>
      <c r="N795" s="16" t="s">
        <v>1691</v>
      </c>
      <c r="O795" s="18" t="s">
        <v>2405</v>
      </c>
      <c r="P795" s="18" t="s">
        <v>2406</v>
      </c>
      <c r="Q795" s="29" t="str" cm="1">
        <f t="array" ref="Q795">_xlfn.IFS(
A795="","",
AND(A795&lt;&gt;"",B795=""),"FALTA LANÇAMENTO",
AND(B795&lt;&gt;"",M795=""),"FALTA O PEDIDO",
AND(M795&lt;&gt;"",O795=""),"FALTA NF",
O795&lt;&gt;"","CONCLUÍDO")</f>
        <v>CONCLUÍDO</v>
      </c>
      <c r="R795" s="36"/>
    </row>
    <row r="796" spans="1:18" hidden="1">
      <c r="A796" s="16">
        <v>46086</v>
      </c>
      <c r="B796" s="16">
        <v>46098</v>
      </c>
      <c r="C796" s="21">
        <v>23180048</v>
      </c>
      <c r="D796" s="16" t="str">
        <f>IFERROR(VLOOKUP(Tabela5[[#This Row],[PREFIXO ]],Tabela4[#All],2,0),"CENTRO DE CUSTO")</f>
        <v>COLHEIT DE GRÃOS JOHN DEERE S 780</v>
      </c>
      <c r="E796" s="18" t="s">
        <v>17</v>
      </c>
      <c r="F796" s="21">
        <v>43704</v>
      </c>
      <c r="G796" s="22"/>
      <c r="H796" s="22">
        <v>2713.8</v>
      </c>
      <c r="I796" s="22">
        <f t="shared" si="13"/>
        <v>2713.8</v>
      </c>
      <c r="J796" s="18" t="s">
        <v>1113</v>
      </c>
      <c r="K796" s="18">
        <v>9802235</v>
      </c>
      <c r="L796" s="18" t="s">
        <v>1095</v>
      </c>
      <c r="M796" s="18" t="s">
        <v>1095</v>
      </c>
      <c r="N796" s="16" t="s">
        <v>1095</v>
      </c>
      <c r="O796" s="18" t="s">
        <v>1095</v>
      </c>
      <c r="P796" s="18" t="s">
        <v>1095</v>
      </c>
      <c r="Q796" s="29" t="str" cm="1">
        <f t="array" ref="Q796">_xlfn.IFS(
A796="","",
AND(A796&lt;&gt;"",B796=""),"FALTA LANÇAMENTO",
AND(B796&lt;&gt;"",M796=""),"FALTA O PEDIDO",
AND(M796&lt;&gt;"",O796=""),"FALTA NF",
O796&lt;&gt;"","CONCLUÍDO")</f>
        <v>CONCLUÍDO</v>
      </c>
      <c r="R796" s="36"/>
    </row>
    <row r="797" spans="1:18" hidden="1">
      <c r="A797" s="16">
        <v>46086</v>
      </c>
      <c r="B797" s="16">
        <v>46092</v>
      </c>
      <c r="C797" s="21">
        <v>13130035</v>
      </c>
      <c r="D797" s="16" t="str">
        <f>IFERROR(VLOOKUP(Tabela5[[#This Row],[PREFIXO ]],Tabela4[#All],2,0),"CENTRO DE CUSTO")</f>
        <v>PULV AUTOPROP JOHN DEERE M4030</v>
      </c>
      <c r="E797" s="18" t="s">
        <v>17</v>
      </c>
      <c r="F797" s="21">
        <v>41555</v>
      </c>
      <c r="G797" s="22">
        <v>2412</v>
      </c>
      <c r="H797" s="22"/>
      <c r="I797" s="22">
        <f t="shared" si="13"/>
        <v>2412</v>
      </c>
      <c r="J797" s="18" t="s">
        <v>1265</v>
      </c>
      <c r="K797" s="18">
        <v>9797682</v>
      </c>
      <c r="L797" s="18" t="s">
        <v>2407</v>
      </c>
      <c r="M797" s="18" t="s">
        <v>1095</v>
      </c>
      <c r="N797" s="16" t="s">
        <v>1095</v>
      </c>
      <c r="O797" s="18" t="s">
        <v>1095</v>
      </c>
      <c r="P797" s="18" t="s">
        <v>1095</v>
      </c>
      <c r="Q797" s="29" t="str" cm="1">
        <f t="array" ref="Q797">_xlfn.IFS(
A797="","",
AND(A797&lt;&gt;"",B797=""),"FALTA LANÇAMENTO",
AND(B797&lt;&gt;"",M797=""),"FALTA O PEDIDO",
AND(M797&lt;&gt;"",O797=""),"FALTA NF",
O797&lt;&gt;"","CONCLUÍDO")</f>
        <v>CONCLUÍDO</v>
      </c>
      <c r="R797" s="36"/>
    </row>
    <row r="798" spans="1:18" hidden="1">
      <c r="A798" s="16">
        <v>46086</v>
      </c>
      <c r="B798" s="16">
        <v>46098</v>
      </c>
      <c r="C798" s="21">
        <v>25530053</v>
      </c>
      <c r="D798" s="16" t="str">
        <f>IFERROR(VLOOKUP(Tabela5[[#This Row],[PREFIXO ]],Tabela4[#All],2,0),"CENTRO DE CUSTO")</f>
        <v>PLATAF COLHEITA JOHN DEERE HYDRAFLEX 740</v>
      </c>
      <c r="E798" s="18" t="s">
        <v>17</v>
      </c>
      <c r="F798" s="21">
        <v>43133</v>
      </c>
      <c r="G798" s="22"/>
      <c r="H798" s="22">
        <v>2113.9</v>
      </c>
      <c r="I798" s="22">
        <f t="shared" si="13"/>
        <v>2113.9</v>
      </c>
      <c r="J798" s="18" t="s">
        <v>1113</v>
      </c>
      <c r="K798" s="18"/>
      <c r="L798" s="18" t="s">
        <v>1095</v>
      </c>
      <c r="M798" s="18" t="s">
        <v>1095</v>
      </c>
      <c r="N798" s="16" t="s">
        <v>1095</v>
      </c>
      <c r="O798" s="18" t="s">
        <v>1095</v>
      </c>
      <c r="P798" s="18" t="s">
        <v>1095</v>
      </c>
      <c r="Q798" s="29" t="str" cm="1">
        <f t="array" ref="Q798">_xlfn.IFS(
A798="","",
AND(A798&lt;&gt;"",B798=""),"FALTA LANÇAMENTO",
AND(B798&lt;&gt;"",M798=""),"FALTA O PEDIDO",
AND(M798&lt;&gt;"",O798=""),"FALTA NF",
O798&lt;&gt;"","CONCLUÍDO")</f>
        <v>CONCLUÍDO</v>
      </c>
      <c r="R798" s="36"/>
    </row>
    <row r="799" spans="1:18" hidden="1">
      <c r="A799" s="16">
        <v>46086</v>
      </c>
      <c r="B799" s="16">
        <v>46092</v>
      </c>
      <c r="C799" s="21">
        <v>13130036</v>
      </c>
      <c r="D799" s="16" t="str">
        <f>IFERROR(VLOOKUP(Tabela5[[#This Row],[PREFIXO ]],Tabela4[#All],2,0),"CENTRO DE CUSTO")</f>
        <v>PULV AUTOPROP JOHN DEERE M4030</v>
      </c>
      <c r="E799" s="18" t="s">
        <v>17</v>
      </c>
      <c r="F799" s="21">
        <v>42902</v>
      </c>
      <c r="G799" s="22"/>
      <c r="H799" s="22">
        <v>1671</v>
      </c>
      <c r="I799" s="22">
        <f t="shared" si="13"/>
        <v>1671</v>
      </c>
      <c r="J799" s="18" t="s">
        <v>1265</v>
      </c>
      <c r="K799" s="18">
        <v>9797683</v>
      </c>
      <c r="L799" s="18">
        <v>881750</v>
      </c>
      <c r="M799" s="18" t="s">
        <v>2408</v>
      </c>
      <c r="N799" s="16" t="s">
        <v>1691</v>
      </c>
      <c r="O799" s="18" t="s">
        <v>2409</v>
      </c>
      <c r="P799" s="18" t="s">
        <v>2300</v>
      </c>
      <c r="Q799" s="29" t="str" cm="1">
        <f t="array" ref="Q799">_xlfn.IFS(
A799="","",
AND(A799&lt;&gt;"",B799=""),"FALTA LANÇAMENTO",
AND(B799&lt;&gt;"",M799=""),"FALTA O PEDIDO",
AND(M799&lt;&gt;"",O799=""),"FALTA NF",
O799&lt;&gt;"","CONCLUÍDO")</f>
        <v>CONCLUÍDO</v>
      </c>
      <c r="R799" s="36"/>
    </row>
    <row r="800" spans="1:18" hidden="1">
      <c r="A800" s="16">
        <v>46086</v>
      </c>
      <c r="B800" s="16">
        <v>46092</v>
      </c>
      <c r="C800" s="21">
        <v>23220008</v>
      </c>
      <c r="D800" s="16" t="str">
        <f>IFERROR(VLOOKUP(Tabela5[[#This Row],[PREFIXO ]],Tabela4[#All],2,0),"CENTRO DE CUSTO")</f>
        <v>CENTRO DE CUSTO</v>
      </c>
      <c r="E800" s="18" t="s">
        <v>17</v>
      </c>
      <c r="F800" s="21">
        <v>41999</v>
      </c>
      <c r="G800" s="22">
        <v>1382.05</v>
      </c>
      <c r="H800" s="22"/>
      <c r="I800" s="22">
        <f t="shared" si="13"/>
        <v>1382.05</v>
      </c>
      <c r="J800" s="18" t="s">
        <v>1113</v>
      </c>
      <c r="K800" s="18">
        <v>9797236</v>
      </c>
      <c r="L800" s="18">
        <v>883840</v>
      </c>
      <c r="M800" s="18" t="s">
        <v>2404</v>
      </c>
      <c r="N800" s="16" t="s">
        <v>1691</v>
      </c>
      <c r="O800" s="18" t="s">
        <v>2405</v>
      </c>
      <c r="P800" s="18" t="s">
        <v>2406</v>
      </c>
      <c r="Q800" s="29" t="str" cm="1">
        <f t="array" ref="Q800">_xlfn.IFS(
A800="","",
AND(A800&lt;&gt;"",B800=""),"FALTA LANÇAMENTO",
AND(B800&lt;&gt;"",M800=""),"FALTA O PEDIDO",
AND(M800&lt;&gt;"",O800=""),"FALTA NF",
O800&lt;&gt;"","CONCLUÍDO")</f>
        <v>CONCLUÍDO</v>
      </c>
      <c r="R800" s="36"/>
    </row>
    <row r="801" spans="1:18" hidden="1">
      <c r="A801" s="16">
        <v>46086</v>
      </c>
      <c r="B801" s="16">
        <v>46092</v>
      </c>
      <c r="C801" s="21">
        <v>13130036</v>
      </c>
      <c r="D801" s="16" t="str">
        <f>IFERROR(VLOOKUP(Tabela5[[#This Row],[PREFIXO ]],Tabela4[#All],2,0),"CENTRO DE CUSTO")</f>
        <v>PULV AUTOPROP JOHN DEERE M4030</v>
      </c>
      <c r="E801" s="18" t="s">
        <v>17</v>
      </c>
      <c r="F801" s="21">
        <v>43360</v>
      </c>
      <c r="G801" s="22">
        <v>785.16</v>
      </c>
      <c r="H801" s="22"/>
      <c r="I801" s="22">
        <f t="shared" si="13"/>
        <v>785.16</v>
      </c>
      <c r="J801" s="18" t="s">
        <v>1265</v>
      </c>
      <c r="K801" s="18">
        <v>9797683</v>
      </c>
      <c r="L801" s="18">
        <v>881750</v>
      </c>
      <c r="M801" s="18" t="s">
        <v>2410</v>
      </c>
      <c r="N801" s="16" t="s">
        <v>1691</v>
      </c>
      <c r="O801" s="18" t="s">
        <v>2411</v>
      </c>
      <c r="P801" s="18" t="s">
        <v>1871</v>
      </c>
      <c r="Q801" s="29" t="str" cm="1">
        <f t="array" ref="Q801">_xlfn.IFS(
A801="","",
AND(A801&lt;&gt;"",B801=""),"FALTA LANÇAMENTO",
AND(B801&lt;&gt;"",M801=""),"FALTA O PEDIDO",
AND(M801&lt;&gt;"",O801=""),"FALTA NF",
O801&lt;&gt;"","CONCLUÍDO")</f>
        <v>CONCLUÍDO</v>
      </c>
      <c r="R801" s="36"/>
    </row>
    <row r="802" spans="1:18" hidden="1">
      <c r="A802" s="16">
        <v>46086</v>
      </c>
      <c r="B802" s="16">
        <v>46090</v>
      </c>
      <c r="C802" s="21">
        <v>13130035</v>
      </c>
      <c r="D802" s="16" t="str">
        <f>IFERROR(VLOOKUP(Tabela5[[#This Row],[PREFIXO ]],Tabela4[#All],2,0),"CENTRO DE CUSTO")</f>
        <v>PULV AUTOPROP JOHN DEERE M4030</v>
      </c>
      <c r="E802" s="18" t="s">
        <v>17</v>
      </c>
      <c r="F802" s="21">
        <v>42034</v>
      </c>
      <c r="G802" s="22">
        <v>465.54</v>
      </c>
      <c r="H802" s="22"/>
      <c r="I802" s="22">
        <f t="shared" si="13"/>
        <v>465.54</v>
      </c>
      <c r="J802" s="18" t="s">
        <v>1265</v>
      </c>
      <c r="K802" s="18">
        <v>9792733</v>
      </c>
      <c r="L802" s="18">
        <v>880343</v>
      </c>
      <c r="M802" s="18" t="s">
        <v>2402</v>
      </c>
      <c r="N802" s="16" t="s">
        <v>2129</v>
      </c>
      <c r="O802" s="18" t="s">
        <v>2403</v>
      </c>
      <c r="P802" s="18" t="s">
        <v>2264</v>
      </c>
      <c r="Q802" s="29" t="str" cm="1">
        <f t="array" ref="Q802">_xlfn.IFS(
A802="","",
AND(A802&lt;&gt;"",B802=""),"FALTA LANÇAMENTO",
AND(B802&lt;&gt;"",M802=""),"FALTA O PEDIDO",
AND(M802&lt;&gt;"",O802=""),"FALTA NF",
O802&lt;&gt;"","CONCLUÍDO")</f>
        <v>CONCLUÍDO</v>
      </c>
      <c r="R802" s="36"/>
    </row>
    <row r="803" spans="1:18" hidden="1">
      <c r="A803" s="16">
        <v>46086</v>
      </c>
      <c r="B803" s="16">
        <v>46099</v>
      </c>
      <c r="C803" s="21">
        <v>81521061</v>
      </c>
      <c r="D803" s="16" t="str">
        <f>IFERROR(VLOOKUP(Tabela5[[#This Row],[PREFIXO ]],Tabela4[#All],2,0),"CENTRO DE CUSTO")</f>
        <v>SEMI REBOQUE PRANCHA RODOLINEA SRCT 3E</v>
      </c>
      <c r="E803" s="18" t="s">
        <v>24</v>
      </c>
      <c r="F803" s="21">
        <v>16128</v>
      </c>
      <c r="G803" s="22">
        <v>841.5</v>
      </c>
      <c r="H803" s="22"/>
      <c r="I803" s="22">
        <f t="shared" si="13"/>
        <v>841.5</v>
      </c>
      <c r="J803" s="18" t="s">
        <v>1085</v>
      </c>
      <c r="K803" s="18">
        <v>9797692</v>
      </c>
      <c r="L803" s="18">
        <v>881764</v>
      </c>
      <c r="M803" s="18" t="s">
        <v>2412</v>
      </c>
      <c r="N803" s="16" t="s">
        <v>2201</v>
      </c>
      <c r="O803" s="18" t="s">
        <v>2413</v>
      </c>
      <c r="P803" s="18" t="s">
        <v>2007</v>
      </c>
      <c r="Q803" s="29" t="str" cm="1">
        <f t="array" ref="Q803">_xlfn.IFS(
A803="","",
AND(A803&lt;&gt;"",B803=""),"FALTA LANÇAMENTO",
AND(B803&lt;&gt;"",M803=""),"FALTA O PEDIDO",
AND(M803&lt;&gt;"",O803=""),"FALTA NF",
O803&lt;&gt;"","CONCLUÍDO")</f>
        <v>CONCLUÍDO</v>
      </c>
      <c r="R803" s="36"/>
    </row>
    <row r="804" spans="1:18" hidden="1">
      <c r="A804" s="16">
        <v>46086</v>
      </c>
      <c r="B804" s="16">
        <v>46099</v>
      </c>
      <c r="C804" s="21">
        <v>81521061</v>
      </c>
      <c r="D804" s="16" t="str">
        <f>IFERROR(VLOOKUP(Tabela5[[#This Row],[PREFIXO ]],Tabela4[#All],2,0),"CENTRO DE CUSTO")</f>
        <v>SEMI REBOQUE PRANCHA RODOLINEA SRCT 3E</v>
      </c>
      <c r="E804" s="18" t="s">
        <v>24</v>
      </c>
      <c r="F804" s="21">
        <v>153230</v>
      </c>
      <c r="G804" s="22"/>
      <c r="H804" s="22">
        <v>119.34</v>
      </c>
      <c r="I804" s="22">
        <f t="shared" si="13"/>
        <v>119.34</v>
      </c>
      <c r="J804" s="18" t="s">
        <v>1085</v>
      </c>
      <c r="K804" s="18">
        <v>9797692</v>
      </c>
      <c r="L804" s="18">
        <v>881764</v>
      </c>
      <c r="M804" s="18" t="s">
        <v>2414</v>
      </c>
      <c r="N804" s="16" t="s">
        <v>2201</v>
      </c>
      <c r="O804" s="18" t="s">
        <v>2415</v>
      </c>
      <c r="P804" s="18" t="s">
        <v>2007</v>
      </c>
      <c r="Q804" s="29" t="str" cm="1">
        <f t="array" ref="Q804">_xlfn.IFS(
A804="","",
AND(A804&lt;&gt;"",B804=""),"FALTA LANÇAMENTO",
AND(B804&lt;&gt;"",M804=""),"FALTA O PEDIDO",
AND(M804&lt;&gt;"",O804=""),"FALTA NF",
O804&lt;&gt;"","CONCLUÍDO")</f>
        <v>CONCLUÍDO</v>
      </c>
      <c r="R804" s="36"/>
    </row>
    <row r="805" spans="1:18" hidden="1">
      <c r="A805" s="16">
        <v>46086</v>
      </c>
      <c r="B805" s="16">
        <v>46090</v>
      </c>
      <c r="C805" s="21">
        <v>5005800349</v>
      </c>
      <c r="D805" s="16" t="str">
        <f>IFERROR(VLOOKUP(Tabela5[[#This Row],[PREFIXO ]],Tabela4[#All],2,0),"CENTRO DE CUSTO")</f>
        <v>CENTRO DE CUSTO</v>
      </c>
      <c r="E805" s="18" t="s">
        <v>51</v>
      </c>
      <c r="F805" s="21">
        <v>344</v>
      </c>
      <c r="G805" s="22">
        <v>35000</v>
      </c>
      <c r="H805" s="22"/>
      <c r="I805" s="22">
        <f t="shared" si="13"/>
        <v>35000</v>
      </c>
      <c r="J805" s="18" t="s">
        <v>1265</v>
      </c>
      <c r="K805" s="18">
        <v>5019789</v>
      </c>
      <c r="L805" s="18">
        <v>880355</v>
      </c>
      <c r="M805" s="18" t="s">
        <v>2416</v>
      </c>
      <c r="N805" s="16" t="s">
        <v>2129</v>
      </c>
      <c r="O805" s="18" t="s">
        <v>1258</v>
      </c>
      <c r="P805" s="18" t="s">
        <v>2129</v>
      </c>
      <c r="Q805" s="29" t="str" cm="1">
        <f t="array" ref="Q805">_xlfn.IFS(
A805="","",
AND(A805&lt;&gt;"",B805=""),"FALTA LANÇAMENTO",
AND(B805&lt;&gt;"",M805=""),"FALTA O PEDIDO",
AND(M805&lt;&gt;"",O805=""),"FALTA NF",
O805&lt;&gt;"","CONCLUÍDO")</f>
        <v>CONCLUÍDO</v>
      </c>
      <c r="R805" s="36"/>
    </row>
    <row r="806" spans="1:18" hidden="1">
      <c r="A806" s="16">
        <v>46086</v>
      </c>
      <c r="B806" s="16">
        <v>46093</v>
      </c>
      <c r="C806" s="21">
        <v>16170043</v>
      </c>
      <c r="D806" s="16" t="str">
        <f>IFERROR(VLOOKUP(Tabela5[[#This Row],[PREFIXO ]],Tabela4[#All],2,0),"CENTRO DE CUSTO")</f>
        <v>CENTRO DE CUSTO</v>
      </c>
      <c r="E806" s="18" t="s">
        <v>62</v>
      </c>
      <c r="F806" s="21">
        <v>1154</v>
      </c>
      <c r="G806" s="22">
        <v>4590</v>
      </c>
      <c r="H806" s="22">
        <v>7644.87</v>
      </c>
      <c r="I806" s="22">
        <f t="shared" si="13"/>
        <v>12234.869999999999</v>
      </c>
      <c r="J806" s="18" t="s">
        <v>1199</v>
      </c>
      <c r="K806" s="18">
        <v>9798475</v>
      </c>
      <c r="L806" s="18">
        <v>882018</v>
      </c>
      <c r="M806" s="18" t="s">
        <v>2417</v>
      </c>
      <c r="N806" s="16" t="s">
        <v>2268</v>
      </c>
      <c r="O806" s="18" t="s">
        <v>2418</v>
      </c>
      <c r="P806" s="18" t="s">
        <v>1871</v>
      </c>
      <c r="Q806" s="29" t="str" cm="1">
        <f t="array" ref="Q806">_xlfn.IFS(
A806="","",
AND(A806&lt;&gt;"",B806=""),"FALTA LANÇAMENTO",
AND(B806&lt;&gt;"",M806=""),"FALTA O PEDIDO",
AND(M806&lt;&gt;"",O806=""),"FALTA NF",
O806&lt;&gt;"","CONCLUÍDO")</f>
        <v>CONCLUÍDO</v>
      </c>
      <c r="R806" s="36"/>
    </row>
    <row r="807" spans="1:18" hidden="1">
      <c r="A807" s="16">
        <v>46086</v>
      </c>
      <c r="B807" s="16">
        <v>46091</v>
      </c>
      <c r="C807" s="21" t="s">
        <v>2419</v>
      </c>
      <c r="D807" s="16" t="str">
        <f>IFERROR(VLOOKUP(Tabela5[[#This Row],[PREFIXO ]],Tabela4[#All],2,0),"CENTRO DE CUSTO")</f>
        <v>CENTRO DE CUSTO</v>
      </c>
      <c r="E807" s="18" t="s">
        <v>62</v>
      </c>
      <c r="F807" s="21">
        <v>475</v>
      </c>
      <c r="G807" s="22">
        <v>4800</v>
      </c>
      <c r="H807" s="22"/>
      <c r="I807" s="22">
        <f t="shared" si="13"/>
        <v>4800</v>
      </c>
      <c r="J807" s="18" t="s">
        <v>1199</v>
      </c>
      <c r="K807" s="18" t="s">
        <v>2420</v>
      </c>
      <c r="L807" s="18">
        <v>882390</v>
      </c>
      <c r="M807" s="18" t="s">
        <v>2421</v>
      </c>
      <c r="N807" s="16" t="s">
        <v>2200</v>
      </c>
      <c r="O807" s="18" t="s">
        <v>2422</v>
      </c>
      <c r="P807" s="18" t="s">
        <v>1871</v>
      </c>
      <c r="Q807" s="29" t="str" cm="1">
        <f t="array" ref="Q807">_xlfn.IFS(
A807="","",
AND(A807&lt;&gt;"",B807=""),"FALTA LANÇAMENTO",
AND(B807&lt;&gt;"",M807=""),"FALTA O PEDIDO",
AND(M807&lt;&gt;"",O807=""),"FALTA NF",
O807&lt;&gt;"","CONCLUÍDO")</f>
        <v>CONCLUÍDO</v>
      </c>
      <c r="R807" s="36"/>
    </row>
    <row r="808" spans="1:18" hidden="1">
      <c r="A808" s="16">
        <v>46086</v>
      </c>
      <c r="B808" s="16">
        <v>46090</v>
      </c>
      <c r="C808" s="21" t="s">
        <v>2423</v>
      </c>
      <c r="D808" s="16" t="str">
        <f>IFERROR(VLOOKUP(Tabela5[[#This Row],[PREFIXO ]],Tabela4[#All],2,0),"CENTRO DE CUSTO")</f>
        <v>CENTRO DE CUSTO</v>
      </c>
      <c r="E808" s="18" t="s">
        <v>66</v>
      </c>
      <c r="F808" s="21">
        <v>9118</v>
      </c>
      <c r="G808" s="22">
        <v>52500</v>
      </c>
      <c r="H808" s="22"/>
      <c r="I808" s="22">
        <f t="shared" si="13"/>
        <v>52500</v>
      </c>
      <c r="J808" s="18" t="s">
        <v>1265</v>
      </c>
      <c r="K808" s="18" t="s">
        <v>2424</v>
      </c>
      <c r="L808" s="18">
        <v>880161</v>
      </c>
      <c r="M808" s="18" t="s">
        <v>2425</v>
      </c>
      <c r="N808" s="16" t="s">
        <v>1594</v>
      </c>
      <c r="O808" s="18" t="s">
        <v>2426</v>
      </c>
      <c r="P808" s="18" t="s">
        <v>2129</v>
      </c>
      <c r="Q808" s="29" t="str" cm="1">
        <f t="array" ref="Q808">_xlfn.IFS(
A808="","",
AND(A808&lt;&gt;"",B808=""),"FALTA LANÇAMENTO",
AND(B808&lt;&gt;"",M808=""),"FALTA O PEDIDO",
AND(M808&lt;&gt;"",O808=""),"FALTA NF",
O808&lt;&gt;"","CONCLUÍDO")</f>
        <v>CONCLUÍDO</v>
      </c>
      <c r="R808" s="36"/>
    </row>
    <row r="809" spans="1:18" hidden="1">
      <c r="A809" s="16">
        <v>46086</v>
      </c>
      <c r="B809" s="16">
        <v>46091</v>
      </c>
      <c r="C809" s="21">
        <v>905673</v>
      </c>
      <c r="D809" s="16" t="str">
        <f>IFERROR(VLOOKUP(Tabela5[[#This Row],[PREFIXO ]],Tabela4[#All],2,0),"CENTRO DE CUSTO")</f>
        <v>CENTRO DE CUSTO</v>
      </c>
      <c r="E809" s="18" t="s">
        <v>67</v>
      </c>
      <c r="F809" s="21">
        <v>96</v>
      </c>
      <c r="G809" s="22">
        <v>1250</v>
      </c>
      <c r="H809" s="22"/>
      <c r="I809" s="22">
        <f t="shared" si="13"/>
        <v>1250</v>
      </c>
      <c r="J809" s="18" t="s">
        <v>1199</v>
      </c>
      <c r="K809" s="18">
        <v>9795897</v>
      </c>
      <c r="L809" s="18">
        <v>882444</v>
      </c>
      <c r="M809" s="18" t="s">
        <v>2427</v>
      </c>
      <c r="N809" s="16" t="s">
        <v>2094</v>
      </c>
      <c r="O809" s="18" t="s">
        <v>2428</v>
      </c>
      <c r="P809" s="18" t="s">
        <v>2201</v>
      </c>
      <c r="Q809" s="29" t="str" cm="1">
        <f t="array" ref="Q809">_xlfn.IFS(
A809="","",
AND(A809&lt;&gt;"",B809=""),"FALTA LANÇAMENTO",
AND(B809&lt;&gt;"",M809=""),"FALTA O PEDIDO",
AND(M809&lt;&gt;"",O809=""),"FALTA NF",
O809&lt;&gt;"","CONCLUÍDO")</f>
        <v>CONCLUÍDO</v>
      </c>
      <c r="R809" s="36"/>
    </row>
    <row r="810" spans="1:18" hidden="1">
      <c r="A810" s="16">
        <v>46086</v>
      </c>
      <c r="B810" s="16">
        <v>46104</v>
      </c>
      <c r="C810" s="21">
        <v>31521032</v>
      </c>
      <c r="D810" s="16" t="str">
        <f>IFERROR(VLOOKUP(Tabela5[[#This Row],[PREFIXO ]],Tabela4[#All],2,0),"CENTRO DE CUSTO")</f>
        <v>ADUB AUTOPROP KUHN ACCURA ST 7000</v>
      </c>
      <c r="E810" s="18" t="s">
        <v>96</v>
      </c>
      <c r="F810" s="21">
        <v>15335</v>
      </c>
      <c r="G810" s="22"/>
      <c r="H810" s="22">
        <v>779.2</v>
      </c>
      <c r="I810" s="22">
        <f t="shared" si="13"/>
        <v>779.2</v>
      </c>
      <c r="J810" s="18" t="s">
        <v>1265</v>
      </c>
      <c r="K810" s="18">
        <v>9806737</v>
      </c>
      <c r="L810" s="18">
        <v>881743</v>
      </c>
      <c r="M810" s="18" t="s">
        <v>2429</v>
      </c>
      <c r="N810" s="16" t="s">
        <v>2300</v>
      </c>
      <c r="O810" s="18" t="s">
        <v>2430</v>
      </c>
      <c r="P810" s="18" t="s">
        <v>2302</v>
      </c>
      <c r="Q810" s="29" t="str" cm="1">
        <f t="array" ref="Q810">_xlfn.IFS(
A810="","",
AND(A810&lt;&gt;"",B810=""),"FALTA LANÇAMENTO",
AND(B810&lt;&gt;"",M810=""),"FALTA O PEDIDO",
AND(M810&lt;&gt;"",O810=""),"FALTA NF",
O810&lt;&gt;"","CONCLUÍDO")</f>
        <v>CONCLUÍDO</v>
      </c>
      <c r="R810" s="36"/>
    </row>
    <row r="811" spans="1:18" hidden="1">
      <c r="A811" s="16">
        <v>46086</v>
      </c>
      <c r="B811" s="16">
        <v>46104</v>
      </c>
      <c r="C811" s="21">
        <v>61521091</v>
      </c>
      <c r="D811" s="16" t="str">
        <f>IFERROR(VLOOKUP(Tabela5[[#This Row],[PREFIXO ]],Tabela4[#All],2,0),"CENTRO DE CUSTO")</f>
        <v>PA CARREGADEIRA JOHN DEERE 524 K II</v>
      </c>
      <c r="E811" s="18" t="s">
        <v>96</v>
      </c>
      <c r="F811" s="21">
        <v>15329</v>
      </c>
      <c r="G811" s="22"/>
      <c r="H811" s="22">
        <v>677.1</v>
      </c>
      <c r="I811" s="22">
        <f t="shared" si="13"/>
        <v>677.1</v>
      </c>
      <c r="J811" s="18" t="s">
        <v>1265</v>
      </c>
      <c r="K811" s="18">
        <v>9806725</v>
      </c>
      <c r="L811" s="18">
        <v>881747</v>
      </c>
      <c r="M811" s="18" t="s">
        <v>2431</v>
      </c>
      <c r="N811" s="16" t="s">
        <v>2300</v>
      </c>
      <c r="O811" s="18" t="s">
        <v>1095</v>
      </c>
      <c r="P811" s="18" t="s">
        <v>1095</v>
      </c>
      <c r="Q811" s="29" t="str" cm="1">
        <f t="array" ref="Q811">_xlfn.IFS(
A811="","",
AND(A811&lt;&gt;"",B811=""),"FALTA LANÇAMENTO",
AND(B811&lt;&gt;"",M811=""),"FALTA O PEDIDO",
AND(M811&lt;&gt;"",O811=""),"FALTA NF",
O811&lt;&gt;"","CONCLUÍDO")</f>
        <v>CONCLUÍDO</v>
      </c>
      <c r="R811" s="36"/>
    </row>
    <row r="812" spans="1:18" hidden="1">
      <c r="A812" s="16">
        <v>46086</v>
      </c>
      <c r="B812" s="16">
        <v>46104</v>
      </c>
      <c r="C812" s="21">
        <v>115210004</v>
      </c>
      <c r="D812" s="16" t="str">
        <f>IFERROR(VLOOKUP(Tabela5[[#This Row],[PREFIXO ]],Tabela4[#All],2,0),"CENTRO DE CUSTO")</f>
        <v>CENTRO DE CUSTO</v>
      </c>
      <c r="E812" s="18" t="s">
        <v>96</v>
      </c>
      <c r="F812" s="21">
        <v>15307</v>
      </c>
      <c r="G812" s="22"/>
      <c r="H812" s="22">
        <v>434.06</v>
      </c>
      <c r="I812" s="22">
        <f t="shared" si="13"/>
        <v>434.06</v>
      </c>
      <c r="J812" s="18" t="s">
        <v>1199</v>
      </c>
      <c r="K812" s="18">
        <v>9806723</v>
      </c>
      <c r="L812" s="18">
        <v>881826</v>
      </c>
      <c r="M812" s="18" t="s">
        <v>2432</v>
      </c>
      <c r="N812" s="16" t="s">
        <v>2300</v>
      </c>
      <c r="O812" s="18" t="s">
        <v>2433</v>
      </c>
      <c r="P812" s="18" t="s">
        <v>2302</v>
      </c>
      <c r="Q812" s="29" t="str" cm="1">
        <f t="array" ref="Q812">_xlfn.IFS(
A812="","",
AND(A812&lt;&gt;"",B812=""),"FALTA LANÇAMENTO",
AND(B812&lt;&gt;"",M812=""),"FALTA O PEDIDO",
AND(M812&lt;&gt;"",O812=""),"FALTA NF",
O812&lt;&gt;"","CONCLUÍDO")</f>
        <v>CONCLUÍDO</v>
      </c>
      <c r="R812" s="36"/>
    </row>
    <row r="813" spans="1:18" hidden="1">
      <c r="A813" s="16">
        <v>46086</v>
      </c>
      <c r="B813" s="16">
        <v>46104</v>
      </c>
      <c r="C813" s="21">
        <v>61521091</v>
      </c>
      <c r="D813" s="16" t="str">
        <f>IFERROR(VLOOKUP(Tabela5[[#This Row],[PREFIXO ]],Tabela4[#All],2,0),"CENTRO DE CUSTO")</f>
        <v>PA CARREGADEIRA JOHN DEERE 524 K II</v>
      </c>
      <c r="E813" s="18" t="s">
        <v>96</v>
      </c>
      <c r="F813" s="21">
        <v>4111</v>
      </c>
      <c r="G813" s="22">
        <v>432</v>
      </c>
      <c r="H813" s="22"/>
      <c r="I813" s="22">
        <f t="shared" si="13"/>
        <v>432</v>
      </c>
      <c r="J813" s="18" t="s">
        <v>1265</v>
      </c>
      <c r="K813" s="18">
        <v>9806725</v>
      </c>
      <c r="L813" s="18">
        <v>881747</v>
      </c>
      <c r="M813" s="18" t="s">
        <v>2434</v>
      </c>
      <c r="N813" s="16" t="s">
        <v>2300</v>
      </c>
      <c r="O813" s="18" t="s">
        <v>1930</v>
      </c>
      <c r="P813" s="18" t="s">
        <v>2305</v>
      </c>
      <c r="Q813" s="29" t="str" cm="1">
        <f t="array" ref="Q813">_xlfn.IFS(
A813="","",
AND(A813&lt;&gt;"",B813=""),"FALTA LANÇAMENTO",
AND(B813&lt;&gt;"",M813=""),"FALTA O PEDIDO",
AND(M813&lt;&gt;"",O813=""),"FALTA NF",
O813&lt;&gt;"","CONCLUÍDO")</f>
        <v>CONCLUÍDO</v>
      </c>
      <c r="R813" s="36"/>
    </row>
    <row r="814" spans="1:18" hidden="1">
      <c r="A814" s="16">
        <v>46086</v>
      </c>
      <c r="B814" s="16">
        <v>46104</v>
      </c>
      <c r="C814" s="21">
        <v>31521032</v>
      </c>
      <c r="D814" s="16" t="str">
        <f>IFERROR(VLOOKUP(Tabela5[[#This Row],[PREFIXO ]],Tabela4[#All],2,0),"CENTRO DE CUSTO")</f>
        <v>ADUB AUTOPROP KUHN ACCURA ST 7000</v>
      </c>
      <c r="E814" s="18" t="s">
        <v>96</v>
      </c>
      <c r="F814" s="21">
        <v>4114</v>
      </c>
      <c r="G814" s="22">
        <v>300</v>
      </c>
      <c r="H814" s="22"/>
      <c r="I814" s="22">
        <f t="shared" si="13"/>
        <v>300</v>
      </c>
      <c r="J814" s="18" t="s">
        <v>1265</v>
      </c>
      <c r="K814" s="18">
        <v>9806737</v>
      </c>
      <c r="L814" s="18">
        <v>881743</v>
      </c>
      <c r="M814" s="18" t="s">
        <v>2435</v>
      </c>
      <c r="N814" s="16" t="s">
        <v>2300</v>
      </c>
      <c r="O814" s="18" t="s">
        <v>2436</v>
      </c>
      <c r="P814" s="18" t="s">
        <v>2305</v>
      </c>
      <c r="Q814" s="29" t="str" cm="1">
        <f t="array" ref="Q814">_xlfn.IFS(
A814="","",
AND(A814&lt;&gt;"",B814=""),"FALTA LANÇAMENTO",
AND(B814&lt;&gt;"",M814=""),"FALTA O PEDIDO",
AND(M814&lt;&gt;"",O814=""),"FALTA NF",
O814&lt;&gt;"","CONCLUÍDO")</f>
        <v>CONCLUÍDO</v>
      </c>
      <c r="R814" s="36"/>
    </row>
    <row r="815" spans="1:18" hidden="1">
      <c r="A815" s="16">
        <v>46086</v>
      </c>
      <c r="B815" s="16">
        <v>46104</v>
      </c>
      <c r="C815" s="21">
        <v>115210004</v>
      </c>
      <c r="D815" s="16" t="str">
        <f>IFERROR(VLOOKUP(Tabela5[[#This Row],[PREFIXO ]],Tabela4[#All],2,0),"CENTRO DE CUSTO")</f>
        <v>CENTRO DE CUSTO</v>
      </c>
      <c r="E815" s="18" t="s">
        <v>96</v>
      </c>
      <c r="F815" s="21">
        <v>4106</v>
      </c>
      <c r="G815" s="22">
        <v>250</v>
      </c>
      <c r="H815" s="22"/>
      <c r="I815" s="22">
        <f t="shared" si="13"/>
        <v>250</v>
      </c>
      <c r="J815" s="18" t="s">
        <v>1199</v>
      </c>
      <c r="K815" s="18">
        <v>9806723</v>
      </c>
      <c r="L815" s="18">
        <v>881826</v>
      </c>
      <c r="M815" s="18" t="s">
        <v>2437</v>
      </c>
      <c r="N815" s="16" t="s">
        <v>2300</v>
      </c>
      <c r="O815" s="18" t="s">
        <v>2438</v>
      </c>
      <c r="P815" s="18" t="s">
        <v>2305</v>
      </c>
      <c r="Q815" s="29" t="str" cm="1">
        <f t="array" ref="Q815">_xlfn.IFS(
A815="","",
AND(A815&lt;&gt;"",B815=""),"FALTA LANÇAMENTO",
AND(B815&lt;&gt;"",M815=""),"FALTA O PEDIDO",
AND(M815&lt;&gt;"",O815=""),"FALTA NF",
O815&lt;&gt;"","CONCLUÍDO")</f>
        <v>CONCLUÍDO</v>
      </c>
      <c r="R815" s="36"/>
    </row>
    <row r="816" spans="1:18" hidden="1">
      <c r="A816" s="16">
        <v>46086</v>
      </c>
      <c r="B816" s="16">
        <v>46104</v>
      </c>
      <c r="C816" s="21">
        <v>1173020</v>
      </c>
      <c r="D816" s="16" t="str">
        <f>IFERROR(VLOOKUP(Tabela5[[#This Row],[PREFIXO ]],Tabela4[#All],2,0),"CENTRO DE CUSTO")</f>
        <v>TRAT PN MED N.HOLLAND 7630</v>
      </c>
      <c r="E816" s="18" t="s">
        <v>96</v>
      </c>
      <c r="F816" s="21">
        <v>4086</v>
      </c>
      <c r="G816" s="22">
        <v>108</v>
      </c>
      <c r="H816" s="22"/>
      <c r="I816" s="22">
        <f t="shared" si="13"/>
        <v>108</v>
      </c>
      <c r="J816" s="18" t="s">
        <v>1199</v>
      </c>
      <c r="K816" s="18">
        <v>9806610</v>
      </c>
      <c r="L816" s="18">
        <v>881834</v>
      </c>
      <c r="M816" s="18" t="s">
        <v>2439</v>
      </c>
      <c r="N816" s="16" t="s">
        <v>2300</v>
      </c>
      <c r="O816" s="18" t="s">
        <v>2440</v>
      </c>
      <c r="P816" s="18" t="s">
        <v>2305</v>
      </c>
      <c r="Q816" s="29" t="str" cm="1">
        <f t="array" ref="Q816">_xlfn.IFS(
A816="","",
AND(A816&lt;&gt;"",B816=""),"FALTA LANÇAMENTO",
AND(B816&lt;&gt;"",M816=""),"FALTA O PEDIDO",
AND(M816&lt;&gt;"",O816=""),"FALTA NF",
O816&lt;&gt;"","CONCLUÍDO")</f>
        <v>CONCLUÍDO</v>
      </c>
      <c r="R816" s="36"/>
    </row>
    <row r="817" spans="1:18" hidden="1">
      <c r="A817" s="16">
        <v>46086</v>
      </c>
      <c r="B817" s="16">
        <v>46104</v>
      </c>
      <c r="C817" s="21">
        <v>1173020</v>
      </c>
      <c r="D817" s="16" t="str">
        <f>IFERROR(VLOOKUP(Tabela5[[#This Row],[PREFIXO ]],Tabela4[#All],2,0),"CENTRO DE CUSTO")</f>
        <v>TRAT PN MED N.HOLLAND 7630</v>
      </c>
      <c r="E817" s="18" t="s">
        <v>96</v>
      </c>
      <c r="F817" s="21">
        <v>15263</v>
      </c>
      <c r="G817" s="22"/>
      <c r="H817" s="22">
        <v>76.2</v>
      </c>
      <c r="I817" s="22">
        <f t="shared" si="13"/>
        <v>76.2</v>
      </c>
      <c r="J817" s="18" t="s">
        <v>1199</v>
      </c>
      <c r="K817" s="18">
        <v>9806610</v>
      </c>
      <c r="L817" s="18">
        <v>881834</v>
      </c>
      <c r="M817" s="18" t="s">
        <v>2441</v>
      </c>
      <c r="N817" s="16" t="s">
        <v>2300</v>
      </c>
      <c r="O817" s="18" t="s">
        <v>2442</v>
      </c>
      <c r="P817" s="18" t="s">
        <v>2302</v>
      </c>
      <c r="Q817" s="29" t="str" cm="1">
        <f t="array" ref="Q817">_xlfn.IFS(
A817="","",
AND(A817&lt;&gt;"",B817=""),"FALTA LANÇAMENTO",
AND(B817&lt;&gt;"",M817=""),"FALTA O PEDIDO",
AND(M817&lt;&gt;"",O817=""),"FALTA NF",
O817&lt;&gt;"","CONCLUÍDO")</f>
        <v>CONCLUÍDO</v>
      </c>
      <c r="R817" s="36"/>
    </row>
    <row r="818" spans="1:18" hidden="1">
      <c r="A818" s="16">
        <v>46086</v>
      </c>
      <c r="B818" s="16">
        <v>46090</v>
      </c>
      <c r="C818" s="21">
        <v>11040017</v>
      </c>
      <c r="D818" s="16" t="str">
        <f>IFERROR(VLOOKUP(Tabela5[[#This Row],[PREFIXO ]],Tabela4[#All],2,0),"CENTRO DE CUSTO")</f>
        <v>CAV MEC EXT PES SCANIA R500</v>
      </c>
      <c r="E818" s="18" t="s">
        <v>124</v>
      </c>
      <c r="F818" s="21">
        <v>519</v>
      </c>
      <c r="G818" s="22">
        <v>3890</v>
      </c>
      <c r="H818" s="22"/>
      <c r="I818" s="22">
        <f t="shared" si="13"/>
        <v>3890</v>
      </c>
      <c r="J818" s="18" t="s">
        <v>1199</v>
      </c>
      <c r="K818" s="18">
        <v>9792830</v>
      </c>
      <c r="L818" s="18">
        <v>880393</v>
      </c>
      <c r="M818" s="18" t="s">
        <v>2443</v>
      </c>
      <c r="N818" s="16" t="s">
        <v>2129</v>
      </c>
      <c r="O818" s="18" t="s">
        <v>2444</v>
      </c>
      <c r="P818" s="18" t="s">
        <v>2445</v>
      </c>
      <c r="Q818" s="29" t="str" cm="1">
        <f t="array" ref="Q818">_xlfn.IFS(
A818="","",
AND(A818&lt;&gt;"",B818=""),"FALTA LANÇAMENTO",
AND(B818&lt;&gt;"",M818=""),"FALTA O PEDIDO",
AND(M818&lt;&gt;"",O818=""),"FALTA NF",
O818&lt;&gt;"","CONCLUÍDO")</f>
        <v>CONCLUÍDO</v>
      </c>
      <c r="R818" s="36"/>
    </row>
    <row r="819" spans="1:18" hidden="1">
      <c r="A819" s="16">
        <v>46086</v>
      </c>
      <c r="B819" s="16">
        <v>46093</v>
      </c>
      <c r="C819" s="21">
        <v>61521031</v>
      </c>
      <c r="D819" s="16" t="str">
        <f>IFERROR(VLOOKUP(Tabela5[[#This Row],[PREFIXO ]],Tabela4[#All],2,0),"CENTRO DE CUSTO")</f>
        <v>CAV MEC PES MERC BENZ ACTRO 2651</v>
      </c>
      <c r="E819" s="18" t="s">
        <v>124</v>
      </c>
      <c r="F819" s="21">
        <v>517</v>
      </c>
      <c r="G819" s="22">
        <v>2480</v>
      </c>
      <c r="H819" s="22">
        <v>1160</v>
      </c>
      <c r="I819" s="22">
        <f t="shared" si="13"/>
        <v>3640</v>
      </c>
      <c r="J819" s="18" t="s">
        <v>1199</v>
      </c>
      <c r="K819" s="18">
        <v>9797684</v>
      </c>
      <c r="L819" s="18">
        <v>881752</v>
      </c>
      <c r="M819" s="18" t="s">
        <v>2446</v>
      </c>
      <c r="N819" s="16" t="s">
        <v>2268</v>
      </c>
      <c r="O819" s="18" t="s">
        <v>2447</v>
      </c>
      <c r="P819" s="18" t="s">
        <v>2257</v>
      </c>
      <c r="Q819" s="29" t="str" cm="1">
        <f t="array" ref="Q819">_xlfn.IFS(
A819="","",
AND(A819&lt;&gt;"",B819=""),"FALTA LANÇAMENTO",
AND(B819&lt;&gt;"",M819=""),"FALTA O PEDIDO",
AND(M819&lt;&gt;"",O819=""),"FALTA NF",
O819&lt;&gt;"","CONCLUÍDO")</f>
        <v>CONCLUÍDO</v>
      </c>
      <c r="R819" s="36"/>
    </row>
    <row r="820" spans="1:18" hidden="1">
      <c r="A820" s="16">
        <v>46086</v>
      </c>
      <c r="B820" s="16">
        <v>46090</v>
      </c>
      <c r="C820" s="21">
        <v>11040024</v>
      </c>
      <c r="D820" s="16" t="str">
        <f>IFERROR(VLOOKUP(Tabela5[[#This Row],[PREFIXO ]],Tabela4[#All],2,0),"CENTRO DE CUSTO")</f>
        <v>CAV MEC EXT PES SCANIA R500</v>
      </c>
      <c r="E820" s="18" t="s">
        <v>124</v>
      </c>
      <c r="F820" s="21">
        <v>516</v>
      </c>
      <c r="G820" s="22">
        <v>2280</v>
      </c>
      <c r="H820" s="22"/>
      <c r="I820" s="22">
        <f t="shared" si="13"/>
        <v>2280</v>
      </c>
      <c r="J820" s="18" t="s">
        <v>1199</v>
      </c>
      <c r="K820" s="18">
        <v>9792736</v>
      </c>
      <c r="L820" s="18">
        <v>880393</v>
      </c>
      <c r="M820" s="18" t="s">
        <v>2443</v>
      </c>
      <c r="N820" s="16" t="s">
        <v>2129</v>
      </c>
      <c r="O820" s="18" t="s">
        <v>2444</v>
      </c>
      <c r="P820" s="18" t="s">
        <v>2445</v>
      </c>
      <c r="Q820" s="29" t="str" cm="1">
        <f t="array" ref="Q820">_xlfn.IFS(
A820="","",
AND(A820&lt;&gt;"",B820=""),"FALTA LANÇAMENTO",
AND(B820&lt;&gt;"",M820=""),"FALTA O PEDIDO",
AND(M820&lt;&gt;"",O820=""),"FALTA NF",
O820&lt;&gt;"","CONCLUÍDO")</f>
        <v>CONCLUÍDO</v>
      </c>
      <c r="R820" s="36"/>
    </row>
    <row r="821" spans="1:18" hidden="1">
      <c r="A821" s="16">
        <v>46086</v>
      </c>
      <c r="B821" s="16">
        <v>46090</v>
      </c>
      <c r="C821" s="21">
        <v>41521070</v>
      </c>
      <c r="D821" s="16" t="str">
        <f>IFERROR(VLOOKUP(Tabela5[[#This Row],[PREFIXO ]],Tabela4[#All],2,0),"CENTRO DE CUSTO")</f>
        <v>MICROONIBUS SPRINTER 417 CDI K42B</v>
      </c>
      <c r="E821" s="18" t="s">
        <v>124</v>
      </c>
      <c r="F821" s="21">
        <v>515</v>
      </c>
      <c r="G821" s="22">
        <v>2188.8000000000002</v>
      </c>
      <c r="H821" s="22"/>
      <c r="I821" s="22">
        <f t="shared" si="13"/>
        <v>2188.8000000000002</v>
      </c>
      <c r="J821" s="18" t="s">
        <v>1199</v>
      </c>
      <c r="K821" s="18">
        <v>9792831</v>
      </c>
      <c r="L821" s="18">
        <v>880393</v>
      </c>
      <c r="M821" s="18" t="s">
        <v>2443</v>
      </c>
      <c r="N821" s="16" t="s">
        <v>2129</v>
      </c>
      <c r="O821" s="18" t="s">
        <v>2444</v>
      </c>
      <c r="P821" s="18" t="s">
        <v>2445</v>
      </c>
      <c r="Q821" s="29" t="str" cm="1">
        <f t="array" ref="Q821">_xlfn.IFS(
A821="","",
AND(A821&lt;&gt;"",B821=""),"FALTA LANÇAMENTO",
AND(B821&lt;&gt;"",M821=""),"FALTA O PEDIDO",
AND(M821&lt;&gt;"",O821=""),"FALTA NF",
O821&lt;&gt;"","CONCLUÍDO")</f>
        <v>CONCLUÍDO</v>
      </c>
      <c r="R821" s="36"/>
    </row>
    <row r="822" spans="1:18" hidden="1">
      <c r="A822" s="16">
        <v>46086</v>
      </c>
      <c r="B822" s="16">
        <v>46090</v>
      </c>
      <c r="C822" s="21">
        <v>11040045</v>
      </c>
      <c r="D822" s="16" t="str">
        <f>IFERROR(VLOOKUP(Tabela5[[#This Row],[PREFIXO ]],Tabela4[#All],2,0),"CENTRO DE CUSTO")</f>
        <v>CENTRO DE CUSTO</v>
      </c>
      <c r="E822" s="18" t="s">
        <v>124</v>
      </c>
      <c r="F822" s="21">
        <v>518</v>
      </c>
      <c r="G822" s="22">
        <v>2160</v>
      </c>
      <c r="H822" s="22"/>
      <c r="I822" s="22">
        <f t="shared" si="13"/>
        <v>2160</v>
      </c>
      <c r="J822" s="18" t="s">
        <v>1199</v>
      </c>
      <c r="K822" s="18">
        <v>9792737</v>
      </c>
      <c r="L822" s="18">
        <v>880393</v>
      </c>
      <c r="M822" s="18" t="s">
        <v>2443</v>
      </c>
      <c r="N822" s="16" t="s">
        <v>2129</v>
      </c>
      <c r="O822" s="18" t="s">
        <v>2444</v>
      </c>
      <c r="P822" s="18" t="s">
        <v>2445</v>
      </c>
      <c r="Q822" s="29" t="str" cm="1">
        <f t="array" ref="Q822">_xlfn.IFS(
A822="","",
AND(A822&lt;&gt;"",B822=""),"FALTA LANÇAMENTO",
AND(B822&lt;&gt;"",M822=""),"FALTA O PEDIDO",
AND(M822&lt;&gt;"",O822=""),"FALTA NF",
O822&lt;&gt;"","CONCLUÍDO")</f>
        <v>CONCLUÍDO</v>
      </c>
      <c r="R822" s="36"/>
    </row>
    <row r="823" spans="1:18" hidden="1">
      <c r="A823" s="16">
        <v>46086</v>
      </c>
      <c r="B823" s="16">
        <v>46091</v>
      </c>
      <c r="C823" s="21">
        <v>51521043</v>
      </c>
      <c r="D823" s="16" t="str">
        <f>IFERROR(VLOOKUP(Tabela5[[#This Row],[PREFIXO ]],Tabela4[#All],2,0),"CENTRO DE CUSTO")</f>
        <v>COLHED ALGODÃO JOHN DEERE CP 690</v>
      </c>
      <c r="E823" s="18" t="s">
        <v>70</v>
      </c>
      <c r="F823" s="21">
        <v>22885</v>
      </c>
      <c r="G823" s="22">
        <v>5880</v>
      </c>
      <c r="H823" s="22">
        <v>15136</v>
      </c>
      <c r="I823" s="22">
        <f t="shared" si="13"/>
        <v>21016</v>
      </c>
      <c r="J823" s="18" t="s">
        <v>1113</v>
      </c>
      <c r="K823" s="18">
        <v>9795999</v>
      </c>
      <c r="L823" s="18">
        <v>882878</v>
      </c>
      <c r="M823" s="18" t="s">
        <v>2448</v>
      </c>
      <c r="N823" s="16" t="s">
        <v>2200</v>
      </c>
      <c r="O823" s="18" t="s">
        <v>2449</v>
      </c>
      <c r="P823" s="18" t="s">
        <v>2450</v>
      </c>
      <c r="Q823" s="29" t="str" cm="1">
        <f t="array" ref="Q823">_xlfn.IFS(
A823="","",
AND(A823&lt;&gt;"",B823=""),"FALTA LANÇAMENTO",
AND(B823&lt;&gt;"",M823=""),"FALTA O PEDIDO",
AND(M823&lt;&gt;"",O823=""),"FALTA NF",
O823&lt;&gt;"","CONCLUÍDO")</f>
        <v>CONCLUÍDO</v>
      </c>
      <c r="R823" s="36"/>
    </row>
    <row r="824" spans="1:18" hidden="1">
      <c r="A824" s="16">
        <v>46086</v>
      </c>
      <c r="B824" s="16">
        <v>46090</v>
      </c>
      <c r="C824" s="21">
        <v>51519058</v>
      </c>
      <c r="D824" s="16" t="str">
        <f>IFERROR(VLOOKUP(Tabela5[[#This Row],[PREFIXO ]],Tabela4[#All],2,0),"CENTRO DE CUSTO")</f>
        <v>CENTRO DE CUSTO</v>
      </c>
      <c r="E824" s="18" t="s">
        <v>70</v>
      </c>
      <c r="F824" s="21">
        <v>22915</v>
      </c>
      <c r="G824" s="22">
        <v>18048</v>
      </c>
      <c r="H824" s="22"/>
      <c r="I824" s="22">
        <f t="shared" si="13"/>
        <v>18048</v>
      </c>
      <c r="J824" s="18" t="s">
        <v>1113</v>
      </c>
      <c r="K824" s="18">
        <v>9792835</v>
      </c>
      <c r="L824" s="18">
        <v>880386</v>
      </c>
      <c r="M824" s="18" t="s">
        <v>2451</v>
      </c>
      <c r="N824" s="16" t="s">
        <v>2129</v>
      </c>
      <c r="O824" s="18" t="s">
        <v>2452</v>
      </c>
      <c r="P824" s="18" t="s">
        <v>2453</v>
      </c>
      <c r="Q824" s="29" t="str" cm="1">
        <f t="array" ref="Q824">_xlfn.IFS(
A824="","",
AND(A824&lt;&gt;"",B824=""),"FALTA LANÇAMENTO",
AND(B824&lt;&gt;"",M824=""),"FALTA O PEDIDO",
AND(M824&lt;&gt;"",O824=""),"FALTA NF",
O824&lt;&gt;"","CONCLUÍDO")</f>
        <v>CONCLUÍDO</v>
      </c>
      <c r="R824" s="36"/>
    </row>
    <row r="825" spans="1:18" hidden="1">
      <c r="A825" s="16">
        <v>46086</v>
      </c>
      <c r="B825" s="16">
        <v>46091</v>
      </c>
      <c r="C825" s="21">
        <v>51521062</v>
      </c>
      <c r="D825" s="16" t="str">
        <f>IFERROR(VLOOKUP(Tabela5[[#This Row],[PREFIXO ]],Tabela4[#All],2,0),"CENTRO DE CUSTO")</f>
        <v>COLHED ALGODÃO JOHN DEERE CP 690</v>
      </c>
      <c r="E825" s="18" t="s">
        <v>70</v>
      </c>
      <c r="F825" s="21">
        <v>22886</v>
      </c>
      <c r="G825" s="22">
        <v>5040</v>
      </c>
      <c r="H825" s="22">
        <v>11520</v>
      </c>
      <c r="I825" s="22">
        <f t="shared" si="13"/>
        <v>16560</v>
      </c>
      <c r="J825" s="18" t="s">
        <v>1113</v>
      </c>
      <c r="K825" s="18">
        <v>9796221</v>
      </c>
      <c r="L825" s="18">
        <v>882936</v>
      </c>
      <c r="M825" s="18" t="s">
        <v>2454</v>
      </c>
      <c r="N825" s="16" t="s">
        <v>2200</v>
      </c>
      <c r="O825" s="18" t="s">
        <v>2455</v>
      </c>
      <c r="P825" s="18" t="s">
        <v>2456</v>
      </c>
      <c r="Q825" s="29" t="str" cm="1">
        <f t="array" ref="Q825">_xlfn.IFS(
A825="","",
AND(A825&lt;&gt;"",B825=""),"FALTA LANÇAMENTO",
AND(B825&lt;&gt;"",M825=""),"FALTA O PEDIDO",
AND(M825&lt;&gt;"",O825=""),"FALTA NF",
O825&lt;&gt;"","CONCLUÍDO")</f>
        <v>CONCLUÍDO</v>
      </c>
      <c r="R825" s="36"/>
    </row>
    <row r="826" spans="1:18" hidden="1">
      <c r="A826" s="16">
        <v>46086</v>
      </c>
      <c r="B826" s="16">
        <v>46091</v>
      </c>
      <c r="C826" s="21" t="s">
        <v>2457</v>
      </c>
      <c r="D826" s="16" t="str">
        <f>IFERROR(VLOOKUP(Tabela5[[#This Row],[PREFIXO ]],Tabela4[#All],2,0),"CENTRO DE CUSTO")</f>
        <v>CENTRO DE CUSTO</v>
      </c>
      <c r="E826" s="18" t="s">
        <v>70</v>
      </c>
      <c r="F826" s="21">
        <v>22901</v>
      </c>
      <c r="G826" s="22">
        <v>9660</v>
      </c>
      <c r="H826" s="22"/>
      <c r="I826" s="22">
        <f t="shared" si="13"/>
        <v>9660</v>
      </c>
      <c r="J826" s="18" t="s">
        <v>1113</v>
      </c>
      <c r="K826" s="18" t="s">
        <v>2458</v>
      </c>
      <c r="L826" s="18">
        <v>882467</v>
      </c>
      <c r="M826" s="18" t="s">
        <v>2459</v>
      </c>
      <c r="N826" s="16" t="s">
        <v>2200</v>
      </c>
      <c r="O826" s="18" t="s">
        <v>2460</v>
      </c>
      <c r="P826" s="18" t="s">
        <v>1871</v>
      </c>
      <c r="Q826" s="29" t="str" cm="1">
        <f t="array" ref="Q826">_xlfn.IFS(
A826="","",
AND(A826&lt;&gt;"",B826=""),"FALTA LANÇAMENTO",
AND(B826&lt;&gt;"",M826=""),"FALTA O PEDIDO",
AND(M826&lt;&gt;"",O826=""),"FALTA NF",
O826&lt;&gt;"","CONCLUÍDO")</f>
        <v>CONCLUÍDO</v>
      </c>
      <c r="R826" s="36"/>
    </row>
    <row r="827" spans="1:18" hidden="1">
      <c r="A827" s="16">
        <v>46086</v>
      </c>
      <c r="B827" s="16">
        <v>46090</v>
      </c>
      <c r="C827" s="21">
        <v>51521071</v>
      </c>
      <c r="D827" s="16" t="str">
        <f>IFERROR(VLOOKUP(Tabela5[[#This Row],[PREFIXO ]],Tabela4[#All],2,0),"CENTRO DE CUSTO")</f>
        <v>COLHED ALGODÃO JOHN DEERE CP 690</v>
      </c>
      <c r="E827" s="18" t="s">
        <v>70</v>
      </c>
      <c r="F827" s="21">
        <v>22925</v>
      </c>
      <c r="G827" s="22">
        <v>6460</v>
      </c>
      <c r="H827" s="22"/>
      <c r="I827" s="22">
        <f t="shared" si="13"/>
        <v>6460</v>
      </c>
      <c r="J827" s="18" t="s">
        <v>1113</v>
      </c>
      <c r="K827" s="18">
        <v>9792837</v>
      </c>
      <c r="L827" s="18">
        <v>880386</v>
      </c>
      <c r="M827" s="18" t="s">
        <v>2451</v>
      </c>
      <c r="N827" s="16" t="s">
        <v>2129</v>
      </c>
      <c r="O827" s="18" t="s">
        <v>2452</v>
      </c>
      <c r="P827" s="18" t="s">
        <v>2453</v>
      </c>
      <c r="Q827" s="29" t="str" cm="1">
        <f t="array" ref="Q827">_xlfn.IFS(
A827="","",
AND(A827&lt;&gt;"",B827=""),"FALTA LANÇAMENTO",
AND(B827&lt;&gt;"",M827=""),"FALTA O PEDIDO",
AND(M827&lt;&gt;"",O827=""),"FALTA NF",
O827&lt;&gt;"","CONCLUÍDO")</f>
        <v>CONCLUÍDO</v>
      </c>
      <c r="R827" s="36"/>
    </row>
    <row r="828" spans="1:18" hidden="1">
      <c r="A828" s="16">
        <v>46086</v>
      </c>
      <c r="B828" s="16">
        <v>46090</v>
      </c>
      <c r="C828" s="21">
        <v>51521044</v>
      </c>
      <c r="D828" s="16" t="str">
        <f>IFERROR(VLOOKUP(Tabela5[[#This Row],[PREFIXO ]],Tabela4[#All],2,0),"CENTRO DE CUSTO")</f>
        <v>COLHED ALGODÃO JOHN DEERE CP 690</v>
      </c>
      <c r="E828" s="18" t="s">
        <v>70</v>
      </c>
      <c r="F828" s="21">
        <v>22916</v>
      </c>
      <c r="G828" s="22">
        <v>6460</v>
      </c>
      <c r="H828" s="22"/>
      <c r="I828" s="22">
        <f t="shared" si="13"/>
        <v>6460</v>
      </c>
      <c r="J828" s="18" t="s">
        <v>1113</v>
      </c>
      <c r="K828" s="18">
        <v>9792839</v>
      </c>
      <c r="L828" s="18">
        <v>880386</v>
      </c>
      <c r="M828" s="18" t="s">
        <v>2451</v>
      </c>
      <c r="N828" s="16" t="s">
        <v>2129</v>
      </c>
      <c r="O828" s="18" t="s">
        <v>2452</v>
      </c>
      <c r="P828" s="18" t="s">
        <v>2453</v>
      </c>
      <c r="Q828" s="29" t="str" cm="1">
        <f t="array" ref="Q828">_xlfn.IFS(
A828="","",
AND(A828&lt;&gt;"",B828=""),"FALTA LANÇAMENTO",
AND(B828&lt;&gt;"",M828=""),"FALTA O PEDIDO",
AND(M828&lt;&gt;"",O828=""),"FALTA NF",
O828&lt;&gt;"","CONCLUÍDO")</f>
        <v>CONCLUÍDO</v>
      </c>
      <c r="R828" s="36"/>
    </row>
    <row r="829" spans="1:18" hidden="1">
      <c r="A829" s="16">
        <v>46086</v>
      </c>
      <c r="B829" s="16">
        <v>46093</v>
      </c>
      <c r="C829" s="21">
        <v>31521015</v>
      </c>
      <c r="D829" s="16" t="str">
        <f>IFERROR(VLOOKUP(Tabela5[[#This Row],[PREFIXO ]],Tabela4[#All],2,0),"CENTRO DE CUSTO")</f>
        <v>PULV AUTOPROP JACTO UNIPORT 3030</v>
      </c>
      <c r="E829" s="18" t="s">
        <v>179</v>
      </c>
      <c r="F829" s="21">
        <v>2375</v>
      </c>
      <c r="G829" s="22">
        <v>2744.92</v>
      </c>
      <c r="H829" s="22"/>
      <c r="I829" s="22">
        <f t="shared" si="13"/>
        <v>2744.92</v>
      </c>
      <c r="J829" s="18" t="s">
        <v>1265</v>
      </c>
      <c r="K829" s="18">
        <v>9798470</v>
      </c>
      <c r="L829" s="18">
        <v>881815</v>
      </c>
      <c r="M829" s="18" t="s">
        <v>2461</v>
      </c>
      <c r="N829" s="16" t="s">
        <v>2268</v>
      </c>
      <c r="O829" s="18" t="s">
        <v>2462</v>
      </c>
      <c r="P829" s="18" t="s">
        <v>2257</v>
      </c>
      <c r="Q829" s="29" t="str" cm="1">
        <f t="array" ref="Q829">_xlfn.IFS(
A829="","",
AND(A829&lt;&gt;"",B829=""),"FALTA LANÇAMENTO",
AND(B829&lt;&gt;"",M829=""),"FALTA O PEDIDO",
AND(M829&lt;&gt;"",O829=""),"FALTA NF",
O829&lt;&gt;"","CONCLUÍDO")</f>
        <v>CONCLUÍDO</v>
      </c>
      <c r="R829" s="36"/>
    </row>
    <row r="830" spans="1:18" hidden="1">
      <c r="A830" s="16">
        <v>46086</v>
      </c>
      <c r="B830" s="16">
        <v>46093</v>
      </c>
      <c r="C830" s="21">
        <v>31521016</v>
      </c>
      <c r="D830" s="16" t="str">
        <f>IFERROR(VLOOKUP(Tabela5[[#This Row],[PREFIXO ]],Tabela4[#All],2,0),"CENTRO DE CUSTO")</f>
        <v>PULV AUTOPROP JACTO UNIPORT 3030</v>
      </c>
      <c r="E830" s="18" t="s">
        <v>179</v>
      </c>
      <c r="F830" s="21">
        <v>2415</v>
      </c>
      <c r="G830" s="22">
        <v>100</v>
      </c>
      <c r="H830" s="22">
        <v>2644.92</v>
      </c>
      <c r="I830" s="22">
        <f t="shared" si="13"/>
        <v>2744.92</v>
      </c>
      <c r="J830" s="18" t="s">
        <v>1265</v>
      </c>
      <c r="K830" s="18">
        <v>798471</v>
      </c>
      <c r="L830" s="18">
        <v>881819</v>
      </c>
      <c r="M830" s="18" t="s">
        <v>2463</v>
      </c>
      <c r="N830" s="16" t="s">
        <v>2268</v>
      </c>
      <c r="O830" s="18" t="s">
        <v>2464</v>
      </c>
      <c r="P830" s="18" t="s">
        <v>2257</v>
      </c>
      <c r="Q830" s="29" t="str" cm="1">
        <f t="array" ref="Q830">_xlfn.IFS(
A830="","",
AND(A830&lt;&gt;"",B830=""),"FALTA LANÇAMENTO",
AND(B830&lt;&gt;"",M830=""),"FALTA O PEDIDO",
AND(M830&lt;&gt;"",O830=""),"FALTA NF",
O830&lt;&gt;"","CONCLUÍDO")</f>
        <v>CONCLUÍDO</v>
      </c>
      <c r="R830" s="36"/>
    </row>
    <row r="831" spans="1:18" hidden="1">
      <c r="A831" s="16">
        <v>46086</v>
      </c>
      <c r="B831" s="16">
        <v>46091</v>
      </c>
      <c r="C831" s="21">
        <v>500580325</v>
      </c>
      <c r="D831" s="16" t="str">
        <f>IFERROR(VLOOKUP(Tabela5[[#This Row],[PREFIXO ]],Tabela4[#All],2,0),"CENTRO DE CUSTO")</f>
        <v>Colheitad. Alg Auto</v>
      </c>
      <c r="E831" s="18" t="s">
        <v>308</v>
      </c>
      <c r="F831" s="21" t="s">
        <v>2175</v>
      </c>
      <c r="G831" s="22">
        <v>8910</v>
      </c>
      <c r="H831" s="22"/>
      <c r="I831" s="22">
        <f t="shared" si="13"/>
        <v>8910</v>
      </c>
      <c r="J831" s="18" t="s">
        <v>1113</v>
      </c>
      <c r="K831" s="18">
        <v>5019829</v>
      </c>
      <c r="L831" s="18">
        <v>882331</v>
      </c>
      <c r="M831" s="18" t="s">
        <v>2465</v>
      </c>
      <c r="N831" s="16" t="s">
        <v>2200</v>
      </c>
      <c r="O831" s="18" t="s">
        <v>2466</v>
      </c>
      <c r="P831" s="18" t="s">
        <v>2200</v>
      </c>
      <c r="Q831" s="29" t="str" cm="1">
        <f t="array" ref="Q831">_xlfn.IFS(
A831="","",
AND(A831&lt;&gt;"",B831=""),"FALTA LANÇAMENTO",
AND(B831&lt;&gt;"",M831=""),"FALTA O PEDIDO",
AND(M831&lt;&gt;"",O831=""),"FALTA NF",
O831&lt;&gt;"","CONCLUÍDO")</f>
        <v>CONCLUÍDO</v>
      </c>
      <c r="R831" s="36"/>
    </row>
    <row r="832" spans="1:18" hidden="1">
      <c r="A832" s="16">
        <v>46086</v>
      </c>
      <c r="B832" s="16">
        <v>46092</v>
      </c>
      <c r="C832" s="21">
        <v>61521083</v>
      </c>
      <c r="D832" s="16" t="str">
        <f>IFERROR(VLOOKUP(Tabela5[[#This Row],[PREFIXO ]],Tabela4[#All],2,0),"CENTRO DE CUSTO")</f>
        <v>CAM COMBOIO VOLVO VM 330</v>
      </c>
      <c r="E832" s="18" t="s">
        <v>351</v>
      </c>
      <c r="F832" s="21" t="s">
        <v>1134</v>
      </c>
      <c r="G832" s="22">
        <v>15550</v>
      </c>
      <c r="H832" s="22"/>
      <c r="I832" s="22">
        <f t="shared" ref="I832:I895" si="14">G832+H832</f>
        <v>15550</v>
      </c>
      <c r="J832" s="18" t="s">
        <v>2467</v>
      </c>
      <c r="K832" s="18">
        <v>9792834</v>
      </c>
      <c r="L832" s="18">
        <v>882967</v>
      </c>
      <c r="M832" s="18" t="s">
        <v>2468</v>
      </c>
      <c r="N832" s="16" t="s">
        <v>1691</v>
      </c>
      <c r="O832" s="18" t="s">
        <v>2175</v>
      </c>
      <c r="P832" s="18" t="s">
        <v>2007</v>
      </c>
      <c r="Q832" s="29" t="str" cm="1">
        <f t="array" ref="Q832">_xlfn.IFS(
A832="","",
AND(A832&lt;&gt;"",B832=""),"FALTA LANÇAMENTO",
AND(B832&lt;&gt;"",M832=""),"FALTA O PEDIDO",
AND(M832&lt;&gt;"",O832=""),"FALTA NF",
O832&lt;&gt;"","CONCLUÍDO")</f>
        <v>CONCLUÍDO</v>
      </c>
      <c r="R832" s="36"/>
    </row>
    <row r="833" spans="1:18" hidden="1">
      <c r="A833" s="16">
        <v>46086</v>
      </c>
      <c r="B833" s="16">
        <v>46093</v>
      </c>
      <c r="C833" s="21">
        <v>31521037</v>
      </c>
      <c r="D833" s="16" t="str">
        <f>IFERROR(VLOOKUP(Tabela5[[#This Row],[PREFIXO ]],Tabela4[#All],2,0),"CENTRO DE CUSTO")</f>
        <v>ADUB AUTOPROP KUHN ACCURA ST 7000</v>
      </c>
      <c r="E833" s="18" t="s">
        <v>71</v>
      </c>
      <c r="F833" s="21">
        <v>7723</v>
      </c>
      <c r="G833" s="22">
        <v>1607.5</v>
      </c>
      <c r="H833" s="22">
        <v>558.80999999999995</v>
      </c>
      <c r="I833" s="22">
        <f t="shared" si="14"/>
        <v>2166.31</v>
      </c>
      <c r="J833" s="18" t="s">
        <v>1265</v>
      </c>
      <c r="K833" s="18">
        <v>9798465</v>
      </c>
      <c r="L833" s="18">
        <v>881795</v>
      </c>
      <c r="M833" s="18" t="s">
        <v>2469</v>
      </c>
      <c r="N833" s="16" t="s">
        <v>2268</v>
      </c>
      <c r="O833" s="18" t="s">
        <v>2470</v>
      </c>
      <c r="P833" s="18" t="s">
        <v>2471</v>
      </c>
      <c r="Q833" s="29" t="str" cm="1">
        <f t="array" ref="Q833">_xlfn.IFS(
A833="","",
AND(A833&lt;&gt;"",B833=""),"FALTA LANÇAMENTO",
AND(B833&lt;&gt;"",M833=""),"FALTA O PEDIDO",
AND(M833&lt;&gt;"",O833=""),"FALTA NF",
O833&lt;&gt;"","CONCLUÍDO")</f>
        <v>CONCLUÍDO</v>
      </c>
      <c r="R833" s="36"/>
    </row>
    <row r="834" spans="1:18" hidden="1">
      <c r="A834" s="16">
        <v>46086</v>
      </c>
      <c r="B834" s="16">
        <v>46093</v>
      </c>
      <c r="C834" s="21">
        <v>31521032</v>
      </c>
      <c r="D834" s="16" t="str">
        <f>IFERROR(VLOOKUP(Tabela5[[#This Row],[PREFIXO ]],Tabela4[#All],2,0),"CENTRO DE CUSTO")</f>
        <v>ADUB AUTOPROP KUHN ACCURA ST 7000</v>
      </c>
      <c r="E834" s="18" t="s">
        <v>71</v>
      </c>
      <c r="F834" s="21">
        <v>7722</v>
      </c>
      <c r="G834" s="22">
        <v>1120</v>
      </c>
      <c r="H834" s="22">
        <v>269.83999999999997</v>
      </c>
      <c r="I834" s="22">
        <f t="shared" si="14"/>
        <v>1389.84</v>
      </c>
      <c r="J834" s="18" t="s">
        <v>1265</v>
      </c>
      <c r="K834" s="18">
        <v>9798468</v>
      </c>
      <c r="L834" s="18">
        <v>881806</v>
      </c>
      <c r="M834" s="18" t="s">
        <v>2472</v>
      </c>
      <c r="N834" s="16" t="s">
        <v>1691</v>
      </c>
      <c r="O834" s="18" t="s">
        <v>2473</v>
      </c>
      <c r="P834" s="18" t="s">
        <v>2471</v>
      </c>
      <c r="Q834" s="29" t="str" cm="1">
        <f t="array" ref="Q834">_xlfn.IFS(
A834="","",
AND(A834&lt;&gt;"",B834=""),"FALTA LANÇAMENTO",
AND(B834&lt;&gt;"",M834=""),"FALTA O PEDIDO",
AND(M834&lt;&gt;"",O834=""),"FALTA NF",
O834&lt;&gt;"","CONCLUÍDO")</f>
        <v>CONCLUÍDO</v>
      </c>
      <c r="R834" s="36"/>
    </row>
    <row r="835" spans="1:18" hidden="1">
      <c r="A835" s="16">
        <v>46086</v>
      </c>
      <c r="B835" s="16">
        <v>46093</v>
      </c>
      <c r="C835" s="21">
        <v>61521011</v>
      </c>
      <c r="D835" s="16" t="str">
        <f>IFERROR(VLOOKUP(Tabela5[[#This Row],[PREFIXO ]],Tabela4[#All],2,0),"CENTRO DE CUSTO")</f>
        <v>CAM COMBOIO MERC BENZ ATRON 2729</v>
      </c>
      <c r="E835" s="18" t="s">
        <v>327</v>
      </c>
      <c r="F835" s="21">
        <v>1117</v>
      </c>
      <c r="G835" s="22">
        <v>12210</v>
      </c>
      <c r="H835" s="22">
        <v>780</v>
      </c>
      <c r="I835" s="22">
        <f t="shared" si="14"/>
        <v>12990</v>
      </c>
      <c r="J835" s="18" t="s">
        <v>1199</v>
      </c>
      <c r="K835" s="18">
        <v>9797688</v>
      </c>
      <c r="L835" s="18">
        <v>881762</v>
      </c>
      <c r="M835" s="18" t="s">
        <v>2474</v>
      </c>
      <c r="N835" s="16" t="s">
        <v>2268</v>
      </c>
      <c r="O835" s="18" t="s">
        <v>2475</v>
      </c>
      <c r="P835" s="18" t="s">
        <v>2476</v>
      </c>
      <c r="Q835" s="29" t="str" cm="1">
        <f t="array" ref="Q835">_xlfn.IFS(
A835="","",
AND(A835&lt;&gt;"",B835=""),"FALTA LANÇAMENTO",
AND(B835&lt;&gt;"",M835=""),"FALTA O PEDIDO",
AND(M835&lt;&gt;"",O835=""),"FALTA NF",
O835&lt;&gt;"","CONCLUÍDO")</f>
        <v>CONCLUÍDO</v>
      </c>
      <c r="R835" s="36"/>
    </row>
    <row r="836" spans="1:18" hidden="1">
      <c r="A836" s="16">
        <v>46086</v>
      </c>
      <c r="B836" s="16">
        <v>46090</v>
      </c>
      <c r="C836" s="21">
        <v>11521006</v>
      </c>
      <c r="D836" s="16" t="str">
        <f>IFERROR(VLOOKUP(Tabela5[[#This Row],[PREFIXO ]],Tabela4[#All],2,0),"CENTRO DE CUSTO")</f>
        <v>TRAT PN EXT PES CASE STEIGER 620</v>
      </c>
      <c r="E836" s="18" t="s">
        <v>148</v>
      </c>
      <c r="F836" s="21">
        <v>68</v>
      </c>
      <c r="G836" s="22">
        <v>4100</v>
      </c>
      <c r="H836" s="22"/>
      <c r="I836" s="22">
        <f t="shared" si="14"/>
        <v>4100</v>
      </c>
      <c r="J836" s="18" t="s">
        <v>1199</v>
      </c>
      <c r="K836" s="18">
        <v>9792881</v>
      </c>
      <c r="L836" s="18">
        <v>880331</v>
      </c>
      <c r="M836" s="18" t="s">
        <v>2477</v>
      </c>
      <c r="N836" s="16" t="s">
        <v>2129</v>
      </c>
      <c r="O836" s="18" t="s">
        <v>2478</v>
      </c>
      <c r="P836" s="18" t="s">
        <v>2129</v>
      </c>
      <c r="Q836" s="29" t="str" cm="1">
        <f t="array" ref="Q836">_xlfn.IFS(
A836="","",
AND(A836&lt;&gt;"",B836=""),"FALTA LANÇAMENTO",
AND(B836&lt;&gt;"",M836=""),"FALTA O PEDIDO",
AND(M836&lt;&gt;"",O836=""),"FALTA NF",
O836&lt;&gt;"","CONCLUÍDO")</f>
        <v>CONCLUÍDO</v>
      </c>
      <c r="R836" s="36"/>
    </row>
    <row r="837" spans="1:18" hidden="1">
      <c r="A837" s="16">
        <v>46086</v>
      </c>
      <c r="B837" s="16">
        <v>46090</v>
      </c>
      <c r="C837" s="21">
        <v>1173020</v>
      </c>
      <c r="D837" s="16" t="str">
        <f>IFERROR(VLOOKUP(Tabela5[[#This Row],[PREFIXO ]],Tabela4[#All],2,0),"CENTRO DE CUSTO")</f>
        <v>TRAT PN MED N.HOLLAND 7630</v>
      </c>
      <c r="E837" s="18" t="s">
        <v>148</v>
      </c>
      <c r="F837" s="21">
        <v>65</v>
      </c>
      <c r="G837" s="22">
        <v>850</v>
      </c>
      <c r="H837" s="22"/>
      <c r="I837" s="22">
        <f t="shared" si="14"/>
        <v>850</v>
      </c>
      <c r="J837" s="18" t="s">
        <v>1199</v>
      </c>
      <c r="K837" s="18">
        <v>9792882</v>
      </c>
      <c r="L837" s="18">
        <v>880331</v>
      </c>
      <c r="M837" s="18" t="s">
        <v>2477</v>
      </c>
      <c r="N837" s="16" t="s">
        <v>2129</v>
      </c>
      <c r="O837" s="18" t="s">
        <v>2478</v>
      </c>
      <c r="P837" s="18" t="s">
        <v>2129</v>
      </c>
      <c r="Q837" s="29" t="str" cm="1">
        <f t="array" ref="Q837">_xlfn.IFS(
A837="","",
AND(A837&lt;&gt;"",B837=""),"FALTA LANÇAMENTO",
AND(B837&lt;&gt;"",M837=""),"FALTA O PEDIDO",
AND(M837&lt;&gt;"",O837=""),"FALTA NF",
O837&lt;&gt;"","CONCLUÍDO")</f>
        <v>CONCLUÍDO</v>
      </c>
      <c r="R837" s="36"/>
    </row>
    <row r="838" spans="1:18" hidden="1">
      <c r="A838" s="16">
        <v>46086</v>
      </c>
      <c r="B838" s="16">
        <v>46087</v>
      </c>
      <c r="C838" s="21">
        <v>500580579</v>
      </c>
      <c r="D838" s="16" t="str">
        <f>IFERROR(VLOOKUP(Tabela5[[#This Row],[PREFIXO ]],Tabela4[#All],2,0),"CENTRO DE CUSTO")</f>
        <v>Pátio de Vendas</v>
      </c>
      <c r="E838" s="18" t="s">
        <v>224</v>
      </c>
      <c r="F838" s="21">
        <v>1989</v>
      </c>
      <c r="G838" s="22">
        <v>2550</v>
      </c>
      <c r="H838" s="22"/>
      <c r="I838" s="22">
        <f t="shared" si="14"/>
        <v>2550</v>
      </c>
      <c r="J838" s="18" t="s">
        <v>1251</v>
      </c>
      <c r="K838" s="18">
        <v>5019785</v>
      </c>
      <c r="L838" s="18" t="s">
        <v>1095</v>
      </c>
      <c r="M838" s="18" t="s">
        <v>1095</v>
      </c>
      <c r="N838" s="16" t="s">
        <v>1095</v>
      </c>
      <c r="O838" s="18" t="s">
        <v>1095</v>
      </c>
      <c r="P838" s="18" t="s">
        <v>1095</v>
      </c>
      <c r="Q838" s="29" t="str" cm="1">
        <f t="array" ref="Q838">_xlfn.IFS(
A838="","",
AND(A838&lt;&gt;"",B838=""),"FALTA LANÇAMENTO",
AND(B838&lt;&gt;"",M838=""),"FALTA O PEDIDO",
AND(M838&lt;&gt;"",O838=""),"FALTA NF",
O838&lt;&gt;"","CONCLUÍDO")</f>
        <v>CONCLUÍDO</v>
      </c>
      <c r="R838" s="36"/>
    </row>
    <row r="839" spans="1:18" hidden="1">
      <c r="A839" s="16">
        <v>46086</v>
      </c>
      <c r="B839" s="16">
        <v>46090</v>
      </c>
      <c r="C839" s="21">
        <v>12010022</v>
      </c>
      <c r="D839" s="16" t="str">
        <f>IFERROR(VLOOKUP(Tabela5[[#This Row],[PREFIXO ]],Tabela4[#All],2,0),"CENTRO DE CUSTO")</f>
        <v>CENTRO DE CUSTO</v>
      </c>
      <c r="E839" s="18" t="s">
        <v>227</v>
      </c>
      <c r="F839" s="21">
        <v>220204</v>
      </c>
      <c r="G839" s="22"/>
      <c r="H839" s="22">
        <v>3367.75</v>
      </c>
      <c r="I839" s="22">
        <f t="shared" si="14"/>
        <v>3367.75</v>
      </c>
      <c r="J839" s="18" t="s">
        <v>1085</v>
      </c>
      <c r="K839" s="18">
        <v>9792884</v>
      </c>
      <c r="L839" s="18" t="s">
        <v>1095</v>
      </c>
      <c r="M839" s="18" t="s">
        <v>1095</v>
      </c>
      <c r="N839" s="16" t="s">
        <v>1095</v>
      </c>
      <c r="O839" s="18" t="s">
        <v>1095</v>
      </c>
      <c r="P839" s="18" t="s">
        <v>1095</v>
      </c>
      <c r="Q839" s="29" t="str" cm="1">
        <f t="array" ref="Q839">_xlfn.IFS(
A839="","",
AND(A839&lt;&gt;"",B839=""),"FALTA LANÇAMENTO",
AND(B839&lt;&gt;"",M839=""),"FALTA O PEDIDO",
AND(M839&lt;&gt;"",O839=""),"FALTA NF",
O839&lt;&gt;"","CONCLUÍDO")</f>
        <v>CONCLUÍDO</v>
      </c>
      <c r="R839" s="36"/>
    </row>
    <row r="840" spans="1:18" hidden="1">
      <c r="A840" s="16">
        <v>46086</v>
      </c>
      <c r="B840" s="16">
        <v>46090</v>
      </c>
      <c r="C840" s="21">
        <v>61521008</v>
      </c>
      <c r="D840" s="16" t="str">
        <f>IFERROR(VLOOKUP(Tabela5[[#This Row],[PREFIXO ]],Tabela4[#All],2,0),"CENTRO DE CUSTO")</f>
        <v>CAV MEC PES MERC BENZ AXOR 2644</v>
      </c>
      <c r="E840" s="18" t="s">
        <v>227</v>
      </c>
      <c r="F840" s="21">
        <v>220213</v>
      </c>
      <c r="G840" s="22">
        <v>2350</v>
      </c>
      <c r="H840" s="22"/>
      <c r="I840" s="22">
        <f t="shared" si="14"/>
        <v>2350</v>
      </c>
      <c r="J840" s="18" t="s">
        <v>1085</v>
      </c>
      <c r="K840" s="18">
        <v>9792883</v>
      </c>
      <c r="L840" s="18">
        <v>880381</v>
      </c>
      <c r="M840" s="18" t="s">
        <v>2479</v>
      </c>
      <c r="N840" s="16" t="s">
        <v>2129</v>
      </c>
      <c r="O840" s="18" t="s">
        <v>2480</v>
      </c>
      <c r="P840" s="18" t="s">
        <v>2200</v>
      </c>
      <c r="Q840" s="29" t="str" cm="1">
        <f t="array" ref="Q840">_xlfn.IFS(
A840="","",
AND(A840&lt;&gt;"",B840=""),"FALTA LANÇAMENTO",
AND(B840&lt;&gt;"",M840=""),"FALTA O PEDIDO",
AND(M840&lt;&gt;"",O840=""),"FALTA NF",
O840&lt;&gt;"","CONCLUÍDO")</f>
        <v>CONCLUÍDO</v>
      </c>
      <c r="R840" s="36"/>
    </row>
    <row r="841" spans="1:18" hidden="1">
      <c r="A841" s="16">
        <v>46086</v>
      </c>
      <c r="B841" s="16">
        <v>46093</v>
      </c>
      <c r="C841" s="21">
        <v>41521042</v>
      </c>
      <c r="D841" s="16" t="str">
        <f>IFERROR(VLOOKUP(Tabela5[[#This Row],[PREFIXO ]],Tabela4[#All],2,0),"CENTRO DE CUSTO")</f>
        <v>UTILITARIO CITROEN JUMPY AMB</v>
      </c>
      <c r="E841" s="18" t="s">
        <v>356</v>
      </c>
      <c r="F841" s="21">
        <v>7225</v>
      </c>
      <c r="G841" s="22">
        <v>30</v>
      </c>
      <c r="H841" s="22">
        <v>450</v>
      </c>
      <c r="I841" s="22">
        <f t="shared" si="14"/>
        <v>480</v>
      </c>
      <c r="J841" s="18" t="s">
        <v>1199</v>
      </c>
      <c r="K841" s="18">
        <v>9797686</v>
      </c>
      <c r="L841" s="18">
        <v>881758</v>
      </c>
      <c r="M841" s="18" t="s">
        <v>2481</v>
      </c>
      <c r="N841" s="16" t="s">
        <v>1691</v>
      </c>
      <c r="O841" s="18" t="s">
        <v>1095</v>
      </c>
      <c r="P841" s="18" t="s">
        <v>1095</v>
      </c>
      <c r="Q841" s="29" t="str" cm="1">
        <f t="array" ref="Q841">_xlfn.IFS(
A841="","",
AND(A841&lt;&gt;"",B841=""),"FALTA LANÇAMENTO",
AND(B841&lt;&gt;"",M841=""),"FALTA O PEDIDO",
AND(M841&lt;&gt;"",O841=""),"FALTA NF",
O841&lt;&gt;"","CONCLUÍDO")</f>
        <v>CONCLUÍDO</v>
      </c>
      <c r="R841" s="36"/>
    </row>
    <row r="842" spans="1:18" hidden="1">
      <c r="A842" s="16">
        <v>46086</v>
      </c>
      <c r="B842" s="16">
        <v>46092</v>
      </c>
      <c r="C842" s="21">
        <v>11070004</v>
      </c>
      <c r="D842" s="16" t="str">
        <f>IFERROR(VLOOKUP(Tabela5[[#This Row],[PREFIXO ]],Tabela4[#All],2,0),"CENTRO DE CUSTO")</f>
        <v>CENTRO DE CUSTO</v>
      </c>
      <c r="E842" s="18" t="s">
        <v>110</v>
      </c>
      <c r="F842" s="21">
        <v>8447</v>
      </c>
      <c r="G842" s="22">
        <v>208</v>
      </c>
      <c r="H842" s="22">
        <v>6521.44</v>
      </c>
      <c r="I842" s="22">
        <f t="shared" si="14"/>
        <v>6729.44</v>
      </c>
      <c r="J842" s="18" t="s">
        <v>1113</v>
      </c>
      <c r="K842" s="18">
        <v>9797596</v>
      </c>
      <c r="L842" s="18">
        <v>882031</v>
      </c>
      <c r="M842" s="18" t="s">
        <v>2482</v>
      </c>
      <c r="N842" s="16" t="s">
        <v>1691</v>
      </c>
      <c r="O842" s="18" t="s">
        <v>2483</v>
      </c>
      <c r="P842" s="18" t="s">
        <v>2278</v>
      </c>
      <c r="Q842" s="29" t="str" cm="1">
        <f t="array" ref="Q842">_xlfn.IFS(
A842="","",
AND(A842&lt;&gt;"",B842=""),"FALTA LANÇAMENTO",
AND(B842&lt;&gt;"",M842=""),"FALTA O PEDIDO",
AND(M842&lt;&gt;"",O842=""),"FALTA NF",
O842&lt;&gt;"","CONCLUÍDO")</f>
        <v>CONCLUÍDO</v>
      </c>
      <c r="R842" s="36"/>
    </row>
    <row r="843" spans="1:18" hidden="1">
      <c r="A843" s="16">
        <v>46086</v>
      </c>
      <c r="B843" s="16">
        <v>46090</v>
      </c>
      <c r="C843" s="21" t="s">
        <v>1134</v>
      </c>
      <c r="D843" s="16" t="str">
        <f>IFERROR(VLOOKUP(Tabela5[[#This Row],[PREFIXO ]],Tabela4[#All],2,0),"CENTRO DE CUSTO")</f>
        <v>CENTRO DE CUSTO</v>
      </c>
      <c r="E843" s="18" t="s">
        <v>162</v>
      </c>
      <c r="F843" s="21">
        <v>177035</v>
      </c>
      <c r="G843" s="22">
        <v>7520</v>
      </c>
      <c r="H843" s="22">
        <v>20587.61</v>
      </c>
      <c r="I843" s="22">
        <f t="shared" si="14"/>
        <v>28107.61</v>
      </c>
      <c r="J843" s="18" t="s">
        <v>1113</v>
      </c>
      <c r="K843" s="18" t="s">
        <v>1095</v>
      </c>
      <c r="L843" s="18" t="s">
        <v>1095</v>
      </c>
      <c r="M843" s="18" t="s">
        <v>1095</v>
      </c>
      <c r="N843" s="16" t="s">
        <v>1095</v>
      </c>
      <c r="O843" s="18" t="s">
        <v>1095</v>
      </c>
      <c r="P843" s="18" t="s">
        <v>1095</v>
      </c>
      <c r="Q843" s="29" t="str" cm="1">
        <f t="array" ref="Q843">_xlfn.IFS(
A843="","",
AND(A843&lt;&gt;"",B843=""),"FALTA LANÇAMENTO",
AND(B843&lt;&gt;"",M843=""),"FALTA O PEDIDO",
AND(M843&lt;&gt;"",O843=""),"FALTA NF",
O843&lt;&gt;"","CONCLUÍDO")</f>
        <v>CONCLUÍDO</v>
      </c>
      <c r="R843" s="36"/>
    </row>
    <row r="844" spans="1:18" hidden="1">
      <c r="A844" s="16">
        <v>46086</v>
      </c>
      <c r="B844" s="16">
        <v>46091</v>
      </c>
      <c r="C844" s="21">
        <v>500580220</v>
      </c>
      <c r="D844" s="16" t="str">
        <f>IFERROR(VLOOKUP(Tabela5[[#This Row],[PREFIXO ]],Tabela4[#All],2,0),"CENTRO DE CUSTO")</f>
        <v>Implementos</v>
      </c>
      <c r="E844" s="18" t="s">
        <v>246</v>
      </c>
      <c r="F844" s="21" t="s">
        <v>1134</v>
      </c>
      <c r="G844" s="22">
        <v>180</v>
      </c>
      <c r="H844" s="22"/>
      <c r="I844" s="22">
        <f t="shared" si="14"/>
        <v>180</v>
      </c>
      <c r="J844" s="18" t="s">
        <v>1199</v>
      </c>
      <c r="K844" s="18">
        <v>5019830</v>
      </c>
      <c r="L844" s="18" t="s">
        <v>1095</v>
      </c>
      <c r="M844" s="18" t="s">
        <v>1095</v>
      </c>
      <c r="N844" s="16" t="s">
        <v>1095</v>
      </c>
      <c r="O844" s="18" t="s">
        <v>1095</v>
      </c>
      <c r="P844" s="18" t="s">
        <v>1095</v>
      </c>
      <c r="Q844" s="29" t="str" cm="1">
        <f t="array" ref="Q844">_xlfn.IFS(
A844="","",
AND(A844&lt;&gt;"",B844=""),"FALTA LANÇAMENTO",
AND(B844&lt;&gt;"",M844=""),"FALTA O PEDIDO",
AND(M844&lt;&gt;"",O844=""),"FALTA NF",
O844&lt;&gt;"","CONCLUÍDO")</f>
        <v>CONCLUÍDO</v>
      </c>
      <c r="R844" s="36"/>
    </row>
    <row r="845" spans="1:18" hidden="1">
      <c r="A845" s="16">
        <v>46086</v>
      </c>
      <c r="B845" s="16">
        <v>46092</v>
      </c>
      <c r="C845" s="21" t="s">
        <v>2484</v>
      </c>
      <c r="D845" s="16" t="str">
        <f>IFERROR(VLOOKUP(Tabela5[[#This Row],[PREFIXO ]],Tabela4[#All],2,0),"CENTRO DE CUSTO")</f>
        <v>CENTRO DE CUSTO</v>
      </c>
      <c r="E845" s="18" t="s">
        <v>249</v>
      </c>
      <c r="F845" s="21">
        <v>227</v>
      </c>
      <c r="G845" s="22">
        <v>38760</v>
      </c>
      <c r="H845" s="22"/>
      <c r="I845" s="22">
        <f t="shared" si="14"/>
        <v>38760</v>
      </c>
      <c r="J845" s="18" t="s">
        <v>1199</v>
      </c>
      <c r="K845" s="18" t="s">
        <v>1134</v>
      </c>
      <c r="L845" s="18" t="s">
        <v>1134</v>
      </c>
      <c r="M845" s="18" t="s">
        <v>1095</v>
      </c>
      <c r="N845" s="16" t="s">
        <v>1095</v>
      </c>
      <c r="O845" s="18" t="s">
        <v>1095</v>
      </c>
      <c r="P845" s="18" t="s">
        <v>1095</v>
      </c>
      <c r="Q845" s="29" t="str" cm="1">
        <f t="array" ref="Q845">_xlfn.IFS(
A845="","",
AND(A845&lt;&gt;"",B845=""),"FALTA LANÇAMENTO",
AND(B845&lt;&gt;"",M845=""),"FALTA O PEDIDO",
AND(M845&lt;&gt;"",O845=""),"FALTA NF",
O845&lt;&gt;"","CONCLUÍDO")</f>
        <v>CONCLUÍDO</v>
      </c>
      <c r="R845" s="36"/>
    </row>
    <row r="846" spans="1:18" hidden="1">
      <c r="A846" s="16">
        <v>46086</v>
      </c>
      <c r="B846" s="16">
        <v>46091</v>
      </c>
      <c r="C846" s="21" t="s">
        <v>2485</v>
      </c>
      <c r="D846" s="16" t="str">
        <f>IFERROR(VLOOKUP(Tabela5[[#This Row],[PREFIXO ]],Tabela4[#All],2,0),"CENTRO DE CUSTO")</f>
        <v>CENTRO DE CUSTO</v>
      </c>
      <c r="E846" s="18" t="s">
        <v>249</v>
      </c>
      <c r="F846" s="21">
        <v>226</v>
      </c>
      <c r="G846" s="22">
        <v>12600</v>
      </c>
      <c r="H846" s="22"/>
      <c r="I846" s="22">
        <f t="shared" si="14"/>
        <v>12600</v>
      </c>
      <c r="J846" s="18" t="s">
        <v>1199</v>
      </c>
      <c r="K846" s="18" t="s">
        <v>1134</v>
      </c>
      <c r="L846" s="18" t="s">
        <v>1134</v>
      </c>
      <c r="M846" s="18" t="s">
        <v>1095</v>
      </c>
      <c r="N846" s="16" t="s">
        <v>1095</v>
      </c>
      <c r="O846" s="18" t="s">
        <v>1095</v>
      </c>
      <c r="P846" s="18" t="s">
        <v>1095</v>
      </c>
      <c r="Q846" s="29" t="str" cm="1">
        <f t="array" ref="Q846">_xlfn.IFS(
A846="","",
AND(A846&lt;&gt;"",B846=""),"FALTA LANÇAMENTO",
AND(B846&lt;&gt;"",M846=""),"FALTA O PEDIDO",
AND(M846&lt;&gt;"",O846=""),"FALTA NF",
O846&lt;&gt;"","CONCLUÍDO")</f>
        <v>CONCLUÍDO</v>
      </c>
      <c r="R846" s="36"/>
    </row>
    <row r="847" spans="1:18" hidden="1">
      <c r="A847" s="16">
        <v>46091</v>
      </c>
      <c r="B847" s="16">
        <v>46091</v>
      </c>
      <c r="C847" s="21">
        <v>11521004</v>
      </c>
      <c r="D847" s="16" t="str">
        <f>IFERROR(VLOOKUP(Tabela5[[#This Row],[PREFIXO ]],Tabela4[#All],2,0),"CENTRO DE CUSTO")</f>
        <v>TRAT PN EXT PES CASE STEIGER 620</v>
      </c>
      <c r="E847" s="18" t="s">
        <v>359</v>
      </c>
      <c r="F847" s="21" t="s">
        <v>2171</v>
      </c>
      <c r="G847" s="22">
        <v>18912.5</v>
      </c>
      <c r="H847" s="22"/>
      <c r="I847" s="22">
        <f t="shared" si="14"/>
        <v>18912.5</v>
      </c>
      <c r="J847" s="18" t="s">
        <v>1199</v>
      </c>
      <c r="K847" s="18">
        <v>9794955</v>
      </c>
      <c r="L847" s="18">
        <v>881419</v>
      </c>
      <c r="M847" s="18" t="s">
        <v>2486</v>
      </c>
      <c r="N847" s="16" t="s">
        <v>2129</v>
      </c>
      <c r="O847" s="18" t="s">
        <v>2487</v>
      </c>
      <c r="P847" s="18" t="s">
        <v>2094</v>
      </c>
      <c r="Q847" s="29" t="str" cm="1">
        <f t="array" ref="Q847">_xlfn.IFS(
A847="","",
AND(A847&lt;&gt;"",B847=""),"FALTA LANÇAMENTO",
AND(B847&lt;&gt;"",M847=""),"FALTA O PEDIDO",
AND(M847&lt;&gt;"",O847=""),"FALTA NF",
O847&lt;&gt;"","CONCLUÍDO")</f>
        <v>CONCLUÍDO</v>
      </c>
      <c r="R847" s="36"/>
    </row>
    <row r="848" spans="1:18" hidden="1">
      <c r="A848" s="16">
        <v>46091</v>
      </c>
      <c r="B848" s="16">
        <v>46091</v>
      </c>
      <c r="C848" s="21">
        <v>11521005</v>
      </c>
      <c r="D848" s="16" t="str">
        <f>IFERROR(VLOOKUP(Tabela5[[#This Row],[PREFIXO ]],Tabela4[#All],2,0),"CENTRO DE CUSTO")</f>
        <v>TRAT PN EXT PES CASE STEIGER 620</v>
      </c>
      <c r="E848" s="18" t="s">
        <v>359</v>
      </c>
      <c r="F848" s="21" t="s">
        <v>2165</v>
      </c>
      <c r="G848" s="22">
        <v>18912.5</v>
      </c>
      <c r="H848" s="22"/>
      <c r="I848" s="22">
        <f t="shared" si="14"/>
        <v>18912.5</v>
      </c>
      <c r="J848" s="18" t="s">
        <v>1199</v>
      </c>
      <c r="K848" s="18">
        <v>9794918</v>
      </c>
      <c r="L848" s="18">
        <v>881446</v>
      </c>
      <c r="M848" s="18" t="s">
        <v>2488</v>
      </c>
      <c r="N848" s="16" t="s">
        <v>2094</v>
      </c>
      <c r="O848" s="18" t="s">
        <v>2489</v>
      </c>
      <c r="P848" s="18" t="s">
        <v>2094</v>
      </c>
      <c r="Q848" s="29" t="str" cm="1">
        <f t="array" ref="Q848">_xlfn.IFS(
A848="","",
AND(A848&lt;&gt;"",B848=""),"FALTA LANÇAMENTO",
AND(B848&lt;&gt;"",M848=""),"FALTA O PEDIDO",
AND(M848&lt;&gt;"",O848=""),"FALTA NF",
O848&lt;&gt;"","CONCLUÍDO")</f>
        <v>CONCLUÍDO</v>
      </c>
      <c r="R848" s="36"/>
    </row>
    <row r="849" spans="1:18" hidden="1">
      <c r="A849" s="16">
        <v>46091</v>
      </c>
      <c r="B849" s="16">
        <v>46091</v>
      </c>
      <c r="C849" s="21">
        <v>13100003</v>
      </c>
      <c r="D849" s="16" t="str">
        <f>IFERROR(VLOOKUP(Tabela5[[#This Row],[PREFIXO ]],Tabela4[#All],2,0),"CENTRO DE CUSTO")</f>
        <v>TRAT PN PES JOHN DEERE 8400R</v>
      </c>
      <c r="E849" s="18" t="s">
        <v>359</v>
      </c>
      <c r="F849" s="21" t="s">
        <v>1309</v>
      </c>
      <c r="G849" s="22">
        <v>12512.5</v>
      </c>
      <c r="H849" s="22"/>
      <c r="I849" s="22">
        <f t="shared" si="14"/>
        <v>12512.5</v>
      </c>
      <c r="J849" s="18" t="s">
        <v>1199</v>
      </c>
      <c r="K849" s="18">
        <v>9794906</v>
      </c>
      <c r="L849" s="18">
        <v>881342</v>
      </c>
      <c r="M849" s="18" t="s">
        <v>2490</v>
      </c>
      <c r="N849" s="16" t="s">
        <v>2129</v>
      </c>
      <c r="O849" s="18" t="s">
        <v>2491</v>
      </c>
      <c r="P849" s="18" t="s">
        <v>2231</v>
      </c>
      <c r="Q849" s="29" t="str" cm="1">
        <f t="array" ref="Q849">_xlfn.IFS(
A849="","",
AND(A849&lt;&gt;"",B849=""),"FALTA LANÇAMENTO",
AND(B849&lt;&gt;"",M849=""),"FALTA O PEDIDO",
AND(M849&lt;&gt;"",O849=""),"FALTA NF",
O849&lt;&gt;"","CONCLUÍDO")</f>
        <v>CONCLUÍDO</v>
      </c>
      <c r="R849" s="36"/>
    </row>
    <row r="850" spans="1:18" hidden="1">
      <c r="A850" s="16">
        <v>46091</v>
      </c>
      <c r="B850" s="16">
        <v>46091</v>
      </c>
      <c r="C850" s="21">
        <v>43080001</v>
      </c>
      <c r="D850" s="16" t="str">
        <f>IFERROR(VLOOKUP(Tabela5[[#This Row],[PREFIXO ]],Tabela4[#All],2,0),"CENTRO DE CUSTO")</f>
        <v>TRAT PN LEVE CASE FARMALL 80</v>
      </c>
      <c r="E850" s="18" t="s">
        <v>359</v>
      </c>
      <c r="F850" s="21" t="s">
        <v>2169</v>
      </c>
      <c r="G850" s="22">
        <v>1464.84</v>
      </c>
      <c r="H850" s="22"/>
      <c r="I850" s="22">
        <f t="shared" si="14"/>
        <v>1464.84</v>
      </c>
      <c r="J850" s="18" t="s">
        <v>1199</v>
      </c>
      <c r="K850" s="18">
        <v>9795843</v>
      </c>
      <c r="L850" s="18">
        <v>882051</v>
      </c>
      <c r="M850" s="18" t="s">
        <v>2492</v>
      </c>
      <c r="N850" s="16" t="s">
        <v>2200</v>
      </c>
      <c r="O850" s="18" t="s">
        <v>1334</v>
      </c>
      <c r="P850" s="18" t="s">
        <v>1691</v>
      </c>
      <c r="Q850" s="29" t="str" cm="1">
        <f t="array" ref="Q850">_xlfn.IFS(
A850="","",
AND(A850&lt;&gt;"",B850=""),"FALTA LANÇAMENTO",
AND(B850&lt;&gt;"",M850=""),"FALTA O PEDIDO",
AND(M850&lt;&gt;"",O850=""),"FALTA NF",
O850&lt;&gt;"","CONCLUÍDO")</f>
        <v>CONCLUÍDO</v>
      </c>
      <c r="R850" s="36"/>
    </row>
    <row r="851" spans="1:18" hidden="1">
      <c r="A851" s="16">
        <v>46091</v>
      </c>
      <c r="B851" s="16">
        <v>46091</v>
      </c>
      <c r="C851" s="21">
        <v>15014010</v>
      </c>
      <c r="D851" s="16" t="str">
        <f>IFERROR(VLOOKUP(Tabela5[[#This Row],[PREFIXO ]],Tabela4[#All],2,0),"CENTRO DE CUSTO")</f>
        <v>TRAT PN EXT PES JOHN DEERE 9520R</v>
      </c>
      <c r="E851" s="18" t="s">
        <v>359</v>
      </c>
      <c r="F851" s="21" t="s">
        <v>2175</v>
      </c>
      <c r="G851" s="22">
        <v>1420.67</v>
      </c>
      <c r="H851" s="22"/>
      <c r="I851" s="22">
        <f t="shared" si="14"/>
        <v>1420.67</v>
      </c>
      <c r="J851" s="18" t="s">
        <v>1199</v>
      </c>
      <c r="K851" s="18">
        <v>9795841</v>
      </c>
      <c r="L851" s="18">
        <v>882051</v>
      </c>
      <c r="M851" s="18" t="s">
        <v>2492</v>
      </c>
      <c r="N851" s="16" t="s">
        <v>2200</v>
      </c>
      <c r="O851" s="18" t="s">
        <v>1334</v>
      </c>
      <c r="P851" s="18" t="s">
        <v>1691</v>
      </c>
      <c r="Q851" s="29" t="str" cm="1">
        <f t="array" ref="Q851">_xlfn.IFS(
A851="","",
AND(A851&lt;&gt;"",B851=""),"FALTA LANÇAMENTO",
AND(B851&lt;&gt;"",M851=""),"FALTA O PEDIDO",
AND(M851&lt;&gt;"",O851=""),"FALTA NF",
O851&lt;&gt;"","CONCLUÍDO")</f>
        <v>CONCLUÍDO</v>
      </c>
      <c r="R851" s="36"/>
    </row>
    <row r="852" spans="1:18" hidden="1">
      <c r="A852" s="16">
        <v>46091</v>
      </c>
      <c r="B852" s="16">
        <v>46091</v>
      </c>
      <c r="C852" s="21">
        <v>11521004</v>
      </c>
      <c r="D852" s="16" t="str">
        <f>IFERROR(VLOOKUP(Tabela5[[#This Row],[PREFIXO ]],Tabela4[#All],2,0),"CENTRO DE CUSTO")</f>
        <v>TRAT PN EXT PES CASE STEIGER 620</v>
      </c>
      <c r="E852" s="18" t="s">
        <v>359</v>
      </c>
      <c r="F852" s="21" t="s">
        <v>1311</v>
      </c>
      <c r="G852" s="22">
        <v>1253.7</v>
      </c>
      <c r="H852" s="22"/>
      <c r="I852" s="22">
        <f t="shared" si="14"/>
        <v>1253.7</v>
      </c>
      <c r="J852" s="18" t="s">
        <v>1199</v>
      </c>
      <c r="K852" s="18">
        <v>9795819</v>
      </c>
      <c r="L852" s="18">
        <v>882051</v>
      </c>
      <c r="M852" s="18" t="s">
        <v>2492</v>
      </c>
      <c r="N852" s="16" t="s">
        <v>2200</v>
      </c>
      <c r="O852" s="18" t="s">
        <v>1334</v>
      </c>
      <c r="P852" s="18" t="s">
        <v>1691</v>
      </c>
      <c r="Q852" s="29" t="str" cm="1">
        <f t="array" ref="Q852">_xlfn.IFS(
A852="","",
AND(A852&lt;&gt;"",B852=""),"FALTA LANÇAMENTO",
AND(B852&lt;&gt;"",M852=""),"FALTA O PEDIDO",
AND(M852&lt;&gt;"",O852=""),"FALTA NF",
O852&lt;&gt;"","CONCLUÍDO")</f>
        <v>CONCLUÍDO</v>
      </c>
      <c r="R852" s="36"/>
    </row>
    <row r="853" spans="1:18" hidden="1">
      <c r="A853" s="16">
        <v>46091</v>
      </c>
      <c r="B853" s="16">
        <v>46091</v>
      </c>
      <c r="C853" s="21">
        <v>11521020</v>
      </c>
      <c r="D853" s="16" t="str">
        <f>IFERROR(VLOOKUP(Tabela5[[#This Row],[PREFIXO ]],Tabela4[#All],2,0),"CENTRO DE CUSTO")</f>
        <v>TRAT PN MED CASE PUMA 140</v>
      </c>
      <c r="E853" s="18" t="s">
        <v>359</v>
      </c>
      <c r="F853" s="21" t="s">
        <v>2167</v>
      </c>
      <c r="G853" s="22">
        <v>1239.3900000000001</v>
      </c>
      <c r="H853" s="22"/>
      <c r="I853" s="22">
        <f t="shared" si="14"/>
        <v>1239.3900000000001</v>
      </c>
      <c r="J853" s="18" t="s">
        <v>1199</v>
      </c>
      <c r="K853" s="18">
        <v>9795844</v>
      </c>
      <c r="L853" s="18">
        <v>882051</v>
      </c>
      <c r="M853" s="18" t="s">
        <v>2492</v>
      </c>
      <c r="N853" s="16" t="s">
        <v>2200</v>
      </c>
      <c r="O853" s="18" t="s">
        <v>1334</v>
      </c>
      <c r="P853" s="18" t="s">
        <v>1691</v>
      </c>
      <c r="Q853" s="29" t="str" cm="1">
        <f t="array" ref="Q853">_xlfn.IFS(
A853="","",
AND(A853&lt;&gt;"",B853=""),"FALTA LANÇAMENTO",
AND(B853&lt;&gt;"",M853=""),"FALTA O PEDIDO",
AND(M853&lt;&gt;"",O853=""),"FALTA NF",
O853&lt;&gt;"","CONCLUÍDO")</f>
        <v>CONCLUÍDO</v>
      </c>
      <c r="R853" s="36"/>
    </row>
    <row r="854" spans="1:18" hidden="1">
      <c r="A854" s="16">
        <v>46091</v>
      </c>
      <c r="B854" s="16">
        <v>46091</v>
      </c>
      <c r="C854" s="21">
        <v>11521027</v>
      </c>
      <c r="D854" s="16" t="str">
        <f>IFERROR(VLOOKUP(Tabela5[[#This Row],[PREFIXO ]],Tabela4[#All],2,0),"CENTRO DE CUSTO")</f>
        <v>TRAT PN MED CASE PUMA 140</v>
      </c>
      <c r="E854" s="18" t="s">
        <v>359</v>
      </c>
      <c r="F854" s="21" t="s">
        <v>2493</v>
      </c>
      <c r="G854" s="22">
        <v>915</v>
      </c>
      <c r="H854" s="22"/>
      <c r="I854" s="22">
        <f t="shared" si="14"/>
        <v>915</v>
      </c>
      <c r="J854" s="18" t="s">
        <v>1199</v>
      </c>
      <c r="K854" s="18">
        <v>9795842</v>
      </c>
      <c r="L854" s="18">
        <v>882051</v>
      </c>
      <c r="M854" s="18" t="s">
        <v>2492</v>
      </c>
      <c r="N854" s="16" t="s">
        <v>2200</v>
      </c>
      <c r="O854" s="18" t="s">
        <v>1334</v>
      </c>
      <c r="P854" s="18" t="s">
        <v>1691</v>
      </c>
      <c r="Q854" s="29" t="str" cm="1">
        <f t="array" ref="Q854">_xlfn.IFS(
A854="","",
AND(A854&lt;&gt;"",B854=""),"FALTA LANÇAMENTO",
AND(B854&lt;&gt;"",M854=""),"FALTA O PEDIDO",
AND(M854&lt;&gt;"",O854=""),"FALTA NF",
O854&lt;&gt;"","CONCLUÍDO")</f>
        <v>CONCLUÍDO</v>
      </c>
      <c r="R854" s="36"/>
    </row>
    <row r="855" spans="1:18" hidden="1">
      <c r="A855" s="16">
        <v>46091</v>
      </c>
      <c r="B855" s="16">
        <v>46091</v>
      </c>
      <c r="C855" s="21">
        <v>61519048</v>
      </c>
      <c r="D855" s="16" t="str">
        <f>IFERROR(VLOOKUP(Tabela5[[#This Row],[PREFIXO ]],Tabela4[#All],2,0),"CENTRO DE CUSTO")</f>
        <v>CENTRO DE CUSTO</v>
      </c>
      <c r="E855" s="18" t="s">
        <v>121</v>
      </c>
      <c r="F855" s="21">
        <v>63</v>
      </c>
      <c r="G855" s="22">
        <v>465.51</v>
      </c>
      <c r="H855" s="22">
        <v>870.59</v>
      </c>
      <c r="I855" s="22">
        <f t="shared" si="14"/>
        <v>1336.1</v>
      </c>
      <c r="J855" s="18" t="s">
        <v>1199</v>
      </c>
      <c r="K855" s="18">
        <v>9795927</v>
      </c>
      <c r="L855" s="18">
        <v>882597</v>
      </c>
      <c r="M855" s="18" t="s">
        <v>2494</v>
      </c>
      <c r="N855" s="16" t="s">
        <v>2094</v>
      </c>
      <c r="O855" s="18" t="s">
        <v>2495</v>
      </c>
      <c r="P855" s="18" t="s">
        <v>2329</v>
      </c>
      <c r="Q855" s="29" t="str" cm="1">
        <f t="array" ref="Q855">_xlfn.IFS(
A855="","",
AND(A855&lt;&gt;"",B855=""),"FALTA LANÇAMENTO",
AND(B855&lt;&gt;"",M855=""),"FALTA O PEDIDO",
AND(M855&lt;&gt;"",O855=""),"FALTA NF",
O855&lt;&gt;"","CONCLUÍDO")</f>
        <v>CONCLUÍDO</v>
      </c>
      <c r="R855" s="36"/>
    </row>
    <row r="856" spans="1:18" hidden="1">
      <c r="A856" s="16">
        <v>46091</v>
      </c>
      <c r="B856" s="16">
        <v>46091</v>
      </c>
      <c r="C856" s="21">
        <v>61519048</v>
      </c>
      <c r="D856" s="16" t="str">
        <f>IFERROR(VLOOKUP(Tabela5[[#This Row],[PREFIXO ]],Tabela4[#All],2,0),"CENTRO DE CUSTO")</f>
        <v>CENTRO DE CUSTO</v>
      </c>
      <c r="E856" s="18" t="s">
        <v>121</v>
      </c>
      <c r="F856" s="21">
        <v>62</v>
      </c>
      <c r="G856" s="22">
        <v>380</v>
      </c>
      <c r="H856" s="22">
        <v>294.83999999999997</v>
      </c>
      <c r="I856" s="22">
        <f t="shared" si="14"/>
        <v>674.83999999999992</v>
      </c>
      <c r="J856" s="18" t="s">
        <v>1199</v>
      </c>
      <c r="K856" s="18">
        <v>9795927</v>
      </c>
      <c r="L856" s="18">
        <v>882561</v>
      </c>
      <c r="M856" s="18" t="s">
        <v>2496</v>
      </c>
      <c r="N856" s="16" t="s">
        <v>2094</v>
      </c>
      <c r="O856" s="18" t="s">
        <v>2497</v>
      </c>
      <c r="P856" s="18" t="s">
        <v>2329</v>
      </c>
      <c r="Q856" s="29" t="str" cm="1">
        <f t="array" ref="Q856">_xlfn.IFS(
A856="","",
AND(A856&lt;&gt;"",B856=""),"FALTA LANÇAMENTO",
AND(B856&lt;&gt;"",M856=""),"FALTA O PEDIDO",
AND(M856&lt;&gt;"",O856=""),"FALTA NF",
O856&lt;&gt;"","CONCLUÍDO")</f>
        <v>CONCLUÍDO</v>
      </c>
      <c r="R856" s="36"/>
    </row>
    <row r="857" spans="1:18" hidden="1">
      <c r="A857" s="16">
        <v>46091</v>
      </c>
      <c r="B857" s="16">
        <v>46091</v>
      </c>
      <c r="C857" s="21">
        <v>22080047</v>
      </c>
      <c r="D857" s="16" t="str">
        <f>IFERROR(VLOOKUP(Tabela5[[#This Row],[PREFIXO ]],Tabela4[#All],2,0),"CENTRO DE CUSTO")</f>
        <v>CENTRO DE CUSTO</v>
      </c>
      <c r="E857" s="18" t="s">
        <v>360</v>
      </c>
      <c r="F857" s="21">
        <v>16631</v>
      </c>
      <c r="G857" s="22">
        <v>645</v>
      </c>
      <c r="H857" s="22">
        <v>2574</v>
      </c>
      <c r="I857" s="22">
        <f t="shared" si="14"/>
        <v>3219</v>
      </c>
      <c r="J857" s="18" t="s">
        <v>1199</v>
      </c>
      <c r="K857" s="18">
        <v>9796102</v>
      </c>
      <c r="L857" s="18">
        <v>882650</v>
      </c>
      <c r="M857" s="18" t="s">
        <v>2498</v>
      </c>
      <c r="N857" s="16" t="s">
        <v>2200</v>
      </c>
      <c r="O857" s="18" t="s">
        <v>2499</v>
      </c>
      <c r="P857" s="18" t="s">
        <v>2264</v>
      </c>
      <c r="Q857" s="29" t="str" cm="1">
        <f t="array" ref="Q857">_xlfn.IFS(
A857="","",
AND(A857&lt;&gt;"",B857=""),"FALTA LANÇAMENTO",
AND(B857&lt;&gt;"",M857=""),"FALTA O PEDIDO",
AND(M857&lt;&gt;"",O857=""),"FALTA NF",
O857&lt;&gt;"","CONCLUÍDO")</f>
        <v>CONCLUÍDO</v>
      </c>
      <c r="R857" s="36"/>
    </row>
    <row r="858" spans="1:18" hidden="1">
      <c r="A858" s="16">
        <v>46091</v>
      </c>
      <c r="B858" s="16">
        <v>46091</v>
      </c>
      <c r="C858" s="21">
        <v>500580090</v>
      </c>
      <c r="D858" s="16" t="str">
        <f>IFERROR(VLOOKUP(Tabela5[[#This Row],[PREFIXO ]],Tabela4[#All],2,0),"CENTRO DE CUSTO")</f>
        <v>Plantadeiras</v>
      </c>
      <c r="E858" s="18" t="s">
        <v>312</v>
      </c>
      <c r="F858" s="21" t="s">
        <v>1555</v>
      </c>
      <c r="G858" s="22">
        <v>3880</v>
      </c>
      <c r="H858" s="22"/>
      <c r="I858" s="22">
        <f t="shared" si="14"/>
        <v>3880</v>
      </c>
      <c r="J858" s="18" t="s">
        <v>1199</v>
      </c>
      <c r="K858" s="18">
        <v>5019833</v>
      </c>
      <c r="L858" s="18">
        <v>882503</v>
      </c>
      <c r="M858" s="18" t="s">
        <v>2500</v>
      </c>
      <c r="N858" s="16" t="s">
        <v>2200</v>
      </c>
      <c r="O858" s="18" t="s">
        <v>1763</v>
      </c>
      <c r="P858" s="18" t="s">
        <v>1871</v>
      </c>
      <c r="Q858" s="29" t="str" cm="1">
        <f t="array" ref="Q858">_xlfn.IFS(
A858="","",
AND(A858&lt;&gt;"",B858=""),"FALTA LANÇAMENTO",
AND(B858&lt;&gt;"",M858=""),"FALTA O PEDIDO",
AND(M858&lt;&gt;"",O858=""),"FALTA NF",
O858&lt;&gt;"","CONCLUÍDO")</f>
        <v>CONCLUÍDO</v>
      </c>
      <c r="R858" s="36"/>
    </row>
    <row r="859" spans="1:18" hidden="1">
      <c r="A859" s="16">
        <v>46094</v>
      </c>
      <c r="B859" s="16">
        <v>46100</v>
      </c>
      <c r="C859" s="21">
        <v>35005016</v>
      </c>
      <c r="D859" s="16" t="str">
        <f>IFERROR(VLOOKUP(Tabela5[[#This Row],[PREFIXO ]],Tabela4[#All],2,0),"CENTRO DE CUSTO")</f>
        <v>PULV AUTOPROP JACTO UNIPORT 3030</v>
      </c>
      <c r="E859" s="18" t="s">
        <v>11</v>
      </c>
      <c r="F859" s="21">
        <v>373</v>
      </c>
      <c r="G859" s="22">
        <v>5110</v>
      </c>
      <c r="H859" s="22"/>
      <c r="I859" s="22">
        <f t="shared" si="14"/>
        <v>5110</v>
      </c>
      <c r="J859" s="18" t="s">
        <v>1080</v>
      </c>
      <c r="K859" s="18">
        <v>9803897</v>
      </c>
      <c r="L859" s="18">
        <v>890857</v>
      </c>
      <c r="M859" s="18" t="s">
        <v>2501</v>
      </c>
      <c r="N859" s="16" t="s">
        <v>2502</v>
      </c>
      <c r="O859" s="18" t="s">
        <v>2503</v>
      </c>
      <c r="P859" s="18" t="s">
        <v>2300</v>
      </c>
      <c r="Q859" s="29" t="str" cm="1">
        <f t="array" ref="Q859">_xlfn.IFS(
A859="","",
AND(A859&lt;&gt;"",B859=""),"FALTA LANÇAMENTO",
AND(B859&lt;&gt;"",M859=""),"FALTA O PEDIDO",
AND(M859&lt;&gt;"",O859=""),"FALTA NF",
O859&lt;&gt;"","CONCLUÍDO")</f>
        <v>CONCLUÍDO</v>
      </c>
      <c r="R859" s="36"/>
    </row>
    <row r="860" spans="1:18" hidden="1">
      <c r="A860" s="16">
        <v>46094</v>
      </c>
      <c r="B860" s="16">
        <v>46100</v>
      </c>
      <c r="C860" s="21">
        <v>18010001</v>
      </c>
      <c r="D860" s="16" t="str">
        <f>IFERROR(VLOOKUP(Tabela5[[#This Row],[PREFIXO ]],Tabela4[#All],2,0),"CENTRO DE CUSTO")</f>
        <v>AVIAO APLIC AGR AIR TRACT AT-802A</v>
      </c>
      <c r="E860" s="18" t="s">
        <v>13</v>
      </c>
      <c r="F860" s="21" t="s">
        <v>2504</v>
      </c>
      <c r="G860" s="22">
        <v>18900</v>
      </c>
      <c r="H860" s="22"/>
      <c r="I860" s="22">
        <f t="shared" si="14"/>
        <v>18900</v>
      </c>
      <c r="J860" s="18" t="s">
        <v>1251</v>
      </c>
      <c r="K860" s="18">
        <v>9803899</v>
      </c>
      <c r="L860" s="18">
        <v>891061</v>
      </c>
      <c r="M860" s="18" t="s">
        <v>2505</v>
      </c>
      <c r="N860" s="16" t="s">
        <v>2502</v>
      </c>
      <c r="O860" s="18" t="s">
        <v>2506</v>
      </c>
      <c r="P860" s="18" t="s">
        <v>2507</v>
      </c>
      <c r="Q860" s="29" t="str" cm="1">
        <f t="array" ref="Q860">_xlfn.IFS(
A860="","",
AND(A860&lt;&gt;"",B860=""),"FALTA LANÇAMENTO",
AND(B860&lt;&gt;"",M860=""),"FALTA O PEDIDO",
AND(M860&lt;&gt;"",O860=""),"FALTA NF",
O860&lt;&gt;"","CONCLUÍDO")</f>
        <v>CONCLUÍDO</v>
      </c>
      <c r="R860" s="36"/>
    </row>
    <row r="861" spans="1:18" hidden="1">
      <c r="A861" s="16">
        <v>46094</v>
      </c>
      <c r="B861" s="16">
        <v>46100</v>
      </c>
      <c r="C861" s="21">
        <v>18010002</v>
      </c>
      <c r="D861" s="16" t="str">
        <f>IFERROR(VLOOKUP(Tabela5[[#This Row],[PREFIXO ]],Tabela4[#All],2,0),"CENTRO DE CUSTO")</f>
        <v>AVIAO APLIC AGR AIR TRACT AT-802A</v>
      </c>
      <c r="E861" s="18" t="s">
        <v>13</v>
      </c>
      <c r="F861" s="21" t="s">
        <v>2508</v>
      </c>
      <c r="G861" s="22">
        <v>11000</v>
      </c>
      <c r="H861" s="22"/>
      <c r="I861" s="22">
        <f t="shared" si="14"/>
        <v>11000</v>
      </c>
      <c r="J861" s="18" t="s">
        <v>1251</v>
      </c>
      <c r="K861" s="18">
        <v>9803920</v>
      </c>
      <c r="L861" s="18">
        <v>891061</v>
      </c>
      <c r="M861" s="18" t="s">
        <v>2505</v>
      </c>
      <c r="N861" s="16" t="s">
        <v>2502</v>
      </c>
      <c r="O861" s="18" t="s">
        <v>2506</v>
      </c>
      <c r="P861" s="18" t="s">
        <v>2507</v>
      </c>
      <c r="Q861" s="29" t="str" cm="1">
        <f t="array" ref="Q861">_xlfn.IFS(
A861="","",
AND(A861&lt;&gt;"",B861=""),"FALTA LANÇAMENTO",
AND(B861&lt;&gt;"",M861=""),"FALTA O PEDIDO",
AND(M861&lt;&gt;"",O861=""),"FALTA NF",
O861&lt;&gt;"","CONCLUÍDO")</f>
        <v>CONCLUÍDO</v>
      </c>
      <c r="R861" s="36"/>
    </row>
    <row r="862" spans="1:18" hidden="1">
      <c r="A862" s="16">
        <v>46094</v>
      </c>
      <c r="B862" s="16">
        <v>46099</v>
      </c>
      <c r="C862" s="21">
        <v>1310005</v>
      </c>
      <c r="D862" s="16" t="str">
        <f>IFERROR(VLOOKUP(Tabela5[[#This Row],[PREFIXO ]],Tabela4[#All],2,0),"CENTRO DE CUSTO")</f>
        <v>CENTRO DE CUSTO</v>
      </c>
      <c r="E862" s="18" t="s">
        <v>17</v>
      </c>
      <c r="F862" s="21">
        <v>43507</v>
      </c>
      <c r="G862" s="22">
        <v>3818.72</v>
      </c>
      <c r="H862" s="22">
        <v>6738.1</v>
      </c>
      <c r="I862" s="22">
        <f t="shared" si="14"/>
        <v>10556.82</v>
      </c>
      <c r="J862" s="18" t="s">
        <v>1199</v>
      </c>
      <c r="K862" s="18">
        <v>9802461</v>
      </c>
      <c r="L862" s="18">
        <v>889052</v>
      </c>
      <c r="M862" s="18" t="s">
        <v>2509</v>
      </c>
      <c r="N862" s="16" t="s">
        <v>2201</v>
      </c>
      <c r="O862" s="18" t="s">
        <v>2510</v>
      </c>
      <c r="P862" s="18" t="s">
        <v>2511</v>
      </c>
      <c r="Q862" s="29" t="str" cm="1">
        <f t="array" ref="Q862">_xlfn.IFS(
A862="","",
AND(A862&lt;&gt;"",B862=""),"FALTA LANÇAMENTO",
AND(B862&lt;&gt;"",M862=""),"FALTA O PEDIDO",
AND(M862&lt;&gt;"",O862=""),"FALTA NF",
O862&lt;&gt;"","CONCLUÍDO")</f>
        <v>CONCLUÍDO</v>
      </c>
      <c r="R862" s="36"/>
    </row>
    <row r="863" spans="1:18" hidden="1">
      <c r="A863" s="16">
        <v>46094</v>
      </c>
      <c r="B863" s="16">
        <v>46099</v>
      </c>
      <c r="C863" s="21">
        <v>13100006</v>
      </c>
      <c r="D863" s="16" t="str">
        <f>IFERROR(VLOOKUP(Tabela5[[#This Row],[PREFIXO ]],Tabela4[#All],2,0),"CENTRO DE CUSTO")</f>
        <v>TRAT PN PES JOHN DEERE 8400R</v>
      </c>
      <c r="E863" s="18" t="s">
        <v>17</v>
      </c>
      <c r="F863" s="21">
        <v>43627</v>
      </c>
      <c r="G863" s="22">
        <v>1714.77</v>
      </c>
      <c r="H863" s="22">
        <v>201.74</v>
      </c>
      <c r="I863" s="22">
        <f t="shared" si="14"/>
        <v>1916.51</v>
      </c>
      <c r="J863" s="18" t="s">
        <v>1199</v>
      </c>
      <c r="K863" s="18">
        <v>9802462</v>
      </c>
      <c r="L863" s="18">
        <v>889306</v>
      </c>
      <c r="M863" s="18" t="s">
        <v>2512</v>
      </c>
      <c r="N863" s="16" t="s">
        <v>2201</v>
      </c>
      <c r="O863" s="18" t="s">
        <v>2513</v>
      </c>
      <c r="P863" s="18" t="s">
        <v>2511</v>
      </c>
      <c r="Q863" s="29" t="str" cm="1">
        <f t="array" ref="Q863">_xlfn.IFS(
A863="","",
AND(A863&lt;&gt;"",B863=""),"FALTA LANÇAMENTO",
AND(B863&lt;&gt;"",M863=""),"FALTA O PEDIDO",
AND(M863&lt;&gt;"",O863=""),"FALTA NF",
O863&lt;&gt;"","CONCLUÍDO")</f>
        <v>CONCLUÍDO</v>
      </c>
      <c r="R863" s="36"/>
    </row>
    <row r="864" spans="1:18" hidden="1">
      <c r="A864" s="16">
        <v>46094</v>
      </c>
      <c r="B864" s="16">
        <v>46099</v>
      </c>
      <c r="C864" s="21">
        <v>13100005</v>
      </c>
      <c r="D864" s="16" t="str">
        <f>IFERROR(VLOOKUP(Tabela5[[#This Row],[PREFIXO ]],Tabela4[#All],2,0),"CENTRO DE CUSTO")</f>
        <v>TRAT PN PES JOHN DEERE 8400R</v>
      </c>
      <c r="E864" s="18" t="s">
        <v>17</v>
      </c>
      <c r="F864" s="21">
        <v>43311</v>
      </c>
      <c r="G864" s="22">
        <v>447</v>
      </c>
      <c r="H864" s="22"/>
      <c r="I864" s="22">
        <f t="shared" si="14"/>
        <v>447</v>
      </c>
      <c r="J864" s="18" t="s">
        <v>1199</v>
      </c>
      <c r="K864" s="18">
        <v>9802464</v>
      </c>
      <c r="L864" s="18">
        <v>889328</v>
      </c>
      <c r="M864" s="18" t="s">
        <v>2514</v>
      </c>
      <c r="N864" s="16" t="s">
        <v>2201</v>
      </c>
      <c r="O864" s="18" t="s">
        <v>2515</v>
      </c>
      <c r="P864" s="18" t="s">
        <v>2007</v>
      </c>
      <c r="Q864" s="29" t="str" cm="1">
        <f t="array" ref="Q864">_xlfn.IFS(
A864="","",
AND(A864&lt;&gt;"",B864=""),"FALTA LANÇAMENTO",
AND(B864&lt;&gt;"",M864=""),"FALTA O PEDIDO",
AND(M864&lt;&gt;"",O864=""),"FALTA NF",
O864&lt;&gt;"","CONCLUÍDO")</f>
        <v>CONCLUÍDO</v>
      </c>
      <c r="R864" s="36"/>
    </row>
    <row r="865" spans="1:18" hidden="1">
      <c r="A865" s="16">
        <v>46094</v>
      </c>
      <c r="B865" s="16">
        <v>46104</v>
      </c>
      <c r="C865" s="21">
        <v>61521081</v>
      </c>
      <c r="D865" s="16" t="str">
        <f>IFERROR(VLOOKUP(Tabela5[[#This Row],[PREFIXO ]],Tabela4[#All],2,0),"CENTRO DE CUSTO")</f>
        <v>CAV MEC EXT PES VOLVO FH 540</v>
      </c>
      <c r="E865" s="18" t="s">
        <v>29</v>
      </c>
      <c r="F865" s="21">
        <v>55123</v>
      </c>
      <c r="G865" s="22">
        <v>3910</v>
      </c>
      <c r="H865" s="22">
        <v>3833.38</v>
      </c>
      <c r="I865" s="22">
        <f t="shared" si="14"/>
        <v>7743.38</v>
      </c>
      <c r="J865" s="18" t="s">
        <v>1199</v>
      </c>
      <c r="K865" s="18">
        <v>9807140</v>
      </c>
      <c r="L865" s="18">
        <v>891463</v>
      </c>
      <c r="M865" s="18" t="s">
        <v>2516</v>
      </c>
      <c r="N865" s="16" t="s">
        <v>2300</v>
      </c>
      <c r="O865" s="18" t="s">
        <v>2517</v>
      </c>
      <c r="P865" s="18" t="s">
        <v>1420</v>
      </c>
      <c r="Q865" s="29" t="str" cm="1">
        <f t="array" ref="Q865">_xlfn.IFS(
A865="","",
AND(A865&lt;&gt;"",B865=""),"FALTA LANÇAMENTO",
AND(B865&lt;&gt;"",M865=""),"FALTA O PEDIDO",
AND(M865&lt;&gt;"",O865=""),"FALTA NF",
O865&lt;&gt;"","CONCLUÍDO")</f>
        <v>CONCLUÍDO</v>
      </c>
      <c r="R865" s="36"/>
    </row>
    <row r="866" spans="1:18" hidden="1">
      <c r="A866" s="16">
        <v>46094</v>
      </c>
      <c r="B866" s="16">
        <v>46094</v>
      </c>
      <c r="C866" s="21">
        <v>61521061</v>
      </c>
      <c r="D866" s="16" t="str">
        <f>IFERROR(VLOOKUP(Tabela5[[#This Row],[PREFIXO ]],Tabela4[#All],2,0),"CENTRO DE CUSTO")</f>
        <v>ONIB RODOVIÁRIO MERC BENZ MARCOPOLO TORI</v>
      </c>
      <c r="E866" s="18" t="s">
        <v>29</v>
      </c>
      <c r="F866" s="21">
        <v>55161</v>
      </c>
      <c r="G866" s="22">
        <v>340</v>
      </c>
      <c r="H866" s="22">
        <v>4403.8999999999996</v>
      </c>
      <c r="I866" s="22">
        <f t="shared" si="14"/>
        <v>4743.8999999999996</v>
      </c>
      <c r="J866" s="18" t="s">
        <v>1199</v>
      </c>
      <c r="K866" s="18">
        <v>9798990</v>
      </c>
      <c r="L866" s="18">
        <v>886013</v>
      </c>
      <c r="M866" s="18" t="s">
        <v>2518</v>
      </c>
      <c r="N866" s="16" t="s">
        <v>2519</v>
      </c>
      <c r="O866" s="18" t="s">
        <v>2520</v>
      </c>
      <c r="P866" s="18" t="s">
        <v>1873</v>
      </c>
      <c r="Q866" s="29" t="str" cm="1">
        <f t="array" ref="Q866">_xlfn.IFS(
A866="","",
AND(A866&lt;&gt;"",B866=""),"FALTA LANÇAMENTO",
AND(B866&lt;&gt;"",M866=""),"FALTA O PEDIDO",
AND(M866&lt;&gt;"",O866=""),"FALTA NF",
O866&lt;&gt;"","CONCLUÍDO")</f>
        <v>CONCLUÍDO</v>
      </c>
      <c r="R866" s="36"/>
    </row>
    <row r="867" spans="1:18" hidden="1">
      <c r="A867" s="16">
        <v>46094</v>
      </c>
      <c r="B867" s="16">
        <v>46101</v>
      </c>
      <c r="C867" s="21">
        <v>61521101</v>
      </c>
      <c r="D867" s="16" t="str">
        <f>IFERROR(VLOOKUP(Tabela5[[#This Row],[PREFIXO ]],Tabela4[#All],2,0),"CENTRO DE CUSTO")</f>
        <v>CAM ROLL ON/OFF VOLVO VM 330</v>
      </c>
      <c r="E867" s="18" t="s">
        <v>29</v>
      </c>
      <c r="F867" s="21">
        <v>55152</v>
      </c>
      <c r="G867" s="22">
        <v>1719</v>
      </c>
      <c r="H867" s="22">
        <v>2100.92</v>
      </c>
      <c r="I867" s="22">
        <f t="shared" si="14"/>
        <v>3819.92</v>
      </c>
      <c r="J867" s="18" t="s">
        <v>1199</v>
      </c>
      <c r="K867" s="18">
        <v>9803928</v>
      </c>
      <c r="L867" s="18">
        <v>890932</v>
      </c>
      <c r="M867" s="18" t="s">
        <v>2521</v>
      </c>
      <c r="N867" s="16" t="s">
        <v>2502</v>
      </c>
      <c r="O867" s="18" t="s">
        <v>2522</v>
      </c>
      <c r="P867" s="18" t="s">
        <v>2523</v>
      </c>
      <c r="Q867" s="29" t="str" cm="1">
        <f t="array" ref="Q867">_xlfn.IFS(
A867="","",
AND(A867&lt;&gt;"",B867=""),"FALTA LANÇAMENTO",
AND(B867&lt;&gt;"",M867=""),"FALTA O PEDIDO",
AND(M867&lt;&gt;"",O867=""),"FALTA NF",
O867&lt;&gt;"","CONCLUÍDO")</f>
        <v>CONCLUÍDO</v>
      </c>
      <c r="R867" s="36"/>
    </row>
    <row r="868" spans="1:18" hidden="1">
      <c r="A868" s="16">
        <v>46094</v>
      </c>
      <c r="B868" s="16">
        <v>46101</v>
      </c>
      <c r="C868" s="21" t="s">
        <v>2524</v>
      </c>
      <c r="D868" s="16" t="str">
        <f>IFERROR(VLOOKUP(Tabela5[[#This Row],[PREFIXO ]],Tabela4[#All],2,0),"CENTRO DE CUSTO")</f>
        <v>CENTRO DE CUSTO</v>
      </c>
      <c r="E868" s="18" t="s">
        <v>29</v>
      </c>
      <c r="F868" s="21">
        <v>55129</v>
      </c>
      <c r="G868" s="22">
        <v>180</v>
      </c>
      <c r="H868" s="22">
        <v>2951.6</v>
      </c>
      <c r="I868" s="22">
        <f t="shared" si="14"/>
        <v>3131.6</v>
      </c>
      <c r="J868" s="18" t="s">
        <v>1199</v>
      </c>
      <c r="K868" s="18">
        <v>9803932</v>
      </c>
      <c r="L868" s="18">
        <v>890945</v>
      </c>
      <c r="M868" s="18" t="s">
        <v>2525</v>
      </c>
      <c r="N868" s="16" t="s">
        <v>2502</v>
      </c>
      <c r="O868" s="18" t="s">
        <v>2526</v>
      </c>
      <c r="P868" s="18" t="s">
        <v>2523</v>
      </c>
      <c r="Q868" s="29" t="str" cm="1">
        <f t="array" ref="Q868">_xlfn.IFS(
A868="","",
AND(A868&lt;&gt;"",B868=""),"FALTA LANÇAMENTO",
AND(B868&lt;&gt;"",M868=""),"FALTA O PEDIDO",
AND(M868&lt;&gt;"",O868=""),"FALTA NF",
O868&lt;&gt;"","CONCLUÍDO")</f>
        <v>CONCLUÍDO</v>
      </c>
      <c r="R868" s="36"/>
    </row>
    <row r="869" spans="1:18" hidden="1">
      <c r="A869" s="16">
        <v>46094</v>
      </c>
      <c r="B869" s="16">
        <v>46094</v>
      </c>
      <c r="C869" s="21">
        <v>61521030</v>
      </c>
      <c r="D869" s="16" t="str">
        <f>IFERROR(VLOOKUP(Tabela5[[#This Row],[PREFIXO ]],Tabela4[#All],2,0),"CENTRO DE CUSTO")</f>
        <v>CAV MEC PES MERC BENZ ACTRO 2651</v>
      </c>
      <c r="E869" s="18" t="s">
        <v>29</v>
      </c>
      <c r="F869" s="21">
        <v>55187</v>
      </c>
      <c r="G869" s="22">
        <v>610</v>
      </c>
      <c r="H869" s="22">
        <v>1234.22</v>
      </c>
      <c r="I869" s="22">
        <f t="shared" si="14"/>
        <v>1844.22</v>
      </c>
      <c r="J869" s="18" t="s">
        <v>1199</v>
      </c>
      <c r="K869" s="18">
        <v>9798834</v>
      </c>
      <c r="L869" s="18">
        <v>885962</v>
      </c>
      <c r="M869" s="18" t="s">
        <v>2527</v>
      </c>
      <c r="N869" s="16" t="s">
        <v>2268</v>
      </c>
      <c r="O869" s="18" t="s">
        <v>2528</v>
      </c>
      <c r="P869" s="18" t="s">
        <v>2257</v>
      </c>
      <c r="Q869" s="29" t="str" cm="1">
        <f t="array" ref="Q869">_xlfn.IFS(
A869="","",
AND(A869&lt;&gt;"",B869=""),"FALTA LANÇAMENTO",
AND(B869&lt;&gt;"",M869=""),"FALTA O PEDIDO",
AND(M869&lt;&gt;"",O869=""),"FALTA NF",
O869&lt;&gt;"","CONCLUÍDO")</f>
        <v>CONCLUÍDO</v>
      </c>
      <c r="R869" s="36"/>
    </row>
    <row r="870" spans="1:18" hidden="1">
      <c r="A870" s="16">
        <v>46094</v>
      </c>
      <c r="B870" s="16">
        <v>46094</v>
      </c>
      <c r="C870" s="21">
        <v>61521076</v>
      </c>
      <c r="D870" s="16" t="str">
        <f>IFERROR(VLOOKUP(Tabela5[[#This Row],[PREFIXO ]],Tabela4[#All],2,0),"CENTRO DE CUSTO")</f>
        <v>CAM CARGA SECA MERC BENZ ACCELO 815</v>
      </c>
      <c r="E870" s="18" t="s">
        <v>29</v>
      </c>
      <c r="F870" s="21">
        <v>55208</v>
      </c>
      <c r="G870" s="22">
        <v>485</v>
      </c>
      <c r="H870" s="22">
        <v>645.78</v>
      </c>
      <c r="I870" s="22">
        <f t="shared" si="14"/>
        <v>1130.78</v>
      </c>
      <c r="J870" s="18" t="s">
        <v>1199</v>
      </c>
      <c r="K870" s="18">
        <v>9798980</v>
      </c>
      <c r="L870" s="18">
        <v>886040</v>
      </c>
      <c r="M870" s="18" t="s">
        <v>2529</v>
      </c>
      <c r="N870" s="16" t="s">
        <v>2268</v>
      </c>
      <c r="O870" s="18" t="s">
        <v>2530</v>
      </c>
      <c r="P870" s="18" t="s">
        <v>1873</v>
      </c>
      <c r="Q870" s="29" t="str" cm="1">
        <f t="array" ref="Q870">_xlfn.IFS(
A870="","",
AND(A870&lt;&gt;"",B870=""),"FALTA LANÇAMENTO",
AND(B870&lt;&gt;"",M870=""),"FALTA O PEDIDO",
AND(M870&lt;&gt;"",O870=""),"FALTA NF",
O870&lt;&gt;"","CONCLUÍDO")</f>
        <v>CONCLUÍDO</v>
      </c>
      <c r="R870" s="36"/>
    </row>
    <row r="871" spans="1:18" hidden="1">
      <c r="A871" s="16">
        <v>46094</v>
      </c>
      <c r="B871" s="16">
        <v>46101</v>
      </c>
      <c r="C871" s="21">
        <v>11040017</v>
      </c>
      <c r="D871" s="16" t="str">
        <f>IFERROR(VLOOKUP(Tabela5[[#This Row],[PREFIXO ]],Tabela4[#All],2,0),"CENTRO DE CUSTO")</f>
        <v>CAV MEC EXT PES SCANIA R500</v>
      </c>
      <c r="E871" s="18" t="s">
        <v>29</v>
      </c>
      <c r="F871" s="21">
        <v>55146</v>
      </c>
      <c r="G871" s="22">
        <v>672</v>
      </c>
      <c r="H871" s="22">
        <v>458.72</v>
      </c>
      <c r="I871" s="22">
        <f t="shared" si="14"/>
        <v>1130.72</v>
      </c>
      <c r="J871" s="18" t="s">
        <v>1199</v>
      </c>
      <c r="K871" s="18">
        <v>9803930</v>
      </c>
      <c r="L871" s="18">
        <v>890937</v>
      </c>
      <c r="M871" s="18" t="s">
        <v>2531</v>
      </c>
      <c r="N871" s="16" t="s">
        <v>2502</v>
      </c>
      <c r="O871" s="18" t="s">
        <v>2532</v>
      </c>
      <c r="P871" s="18" t="s">
        <v>2278</v>
      </c>
      <c r="Q871" s="29" t="str" cm="1">
        <f t="array" ref="Q871">_xlfn.IFS(
A871="","",
AND(A871&lt;&gt;"",B871=""),"FALTA LANÇAMENTO",
AND(B871&lt;&gt;"",M871=""),"FALTA O PEDIDO",
AND(M871&lt;&gt;"",O871=""),"FALTA NF",
O871&lt;&gt;"","CONCLUÍDO")</f>
        <v>CONCLUÍDO</v>
      </c>
      <c r="R871" s="36"/>
    </row>
    <row r="872" spans="1:18" hidden="1">
      <c r="A872" s="16">
        <v>46094</v>
      </c>
      <c r="B872" s="16">
        <v>46094</v>
      </c>
      <c r="C872" s="21">
        <v>12060003</v>
      </c>
      <c r="D872" s="16" t="str">
        <f>IFERROR(VLOOKUP(Tabela5[[#This Row],[PREFIXO ]],Tabela4[#All],2,0),"CENTRO DE CUSTO")</f>
        <v>ONIB RODOVIÁRIO MARCOPOLO NEOBUS MEGA</v>
      </c>
      <c r="E872" s="18" t="s">
        <v>29</v>
      </c>
      <c r="F872" s="21">
        <v>55226</v>
      </c>
      <c r="G872" s="22">
        <v>260</v>
      </c>
      <c r="H872" s="22">
        <v>688.08</v>
      </c>
      <c r="I872" s="22">
        <f t="shared" si="14"/>
        <v>948.08</v>
      </c>
      <c r="J872" s="18" t="s">
        <v>1199</v>
      </c>
      <c r="K872" s="18">
        <v>9798957</v>
      </c>
      <c r="L872" s="18">
        <v>885991</v>
      </c>
      <c r="M872" s="18" t="s">
        <v>2533</v>
      </c>
      <c r="N872" s="16" t="s">
        <v>2268</v>
      </c>
      <c r="O872" s="18" t="s">
        <v>2534</v>
      </c>
      <c r="P872" s="18" t="s">
        <v>2257</v>
      </c>
      <c r="Q872" s="29" t="str" cm="1">
        <f t="array" ref="Q872">_xlfn.IFS(
A872="","",
AND(A872&lt;&gt;"",B872=""),"FALTA LANÇAMENTO",
AND(B872&lt;&gt;"",M872=""),"FALTA O PEDIDO",
AND(M872&lt;&gt;"",O872=""),"FALTA NF",
O872&lt;&gt;"","CONCLUÍDO")</f>
        <v>CONCLUÍDO</v>
      </c>
      <c r="R872" s="36"/>
    </row>
    <row r="873" spans="1:18" hidden="1">
      <c r="A873" s="16">
        <v>46094</v>
      </c>
      <c r="B873" s="16">
        <v>46094</v>
      </c>
      <c r="C873" s="21">
        <v>16170045</v>
      </c>
      <c r="D873" s="16" t="str">
        <f>IFERROR(VLOOKUP(Tabela5[[#This Row],[PREFIXO ]],Tabela4[#All],2,0),"CENTRO DE CUSTO")</f>
        <v>CENTRO DE CUSTO</v>
      </c>
      <c r="E873" s="18" t="s">
        <v>29</v>
      </c>
      <c r="F873" s="21">
        <v>55218</v>
      </c>
      <c r="G873" s="22">
        <v>215</v>
      </c>
      <c r="H873" s="22">
        <v>559.04</v>
      </c>
      <c r="I873" s="22">
        <f t="shared" si="14"/>
        <v>774.04</v>
      </c>
      <c r="J873" s="18" t="s">
        <v>1199</v>
      </c>
      <c r="K873" s="18">
        <v>9798984</v>
      </c>
      <c r="L873" s="18">
        <v>886056</v>
      </c>
      <c r="M873" s="18" t="s">
        <v>2535</v>
      </c>
      <c r="N873" s="16" t="s">
        <v>2268</v>
      </c>
      <c r="O873" s="18" t="s">
        <v>2536</v>
      </c>
      <c r="P873" s="18" t="s">
        <v>1873</v>
      </c>
      <c r="Q873" s="29" t="str" cm="1">
        <f t="array" ref="Q873">_xlfn.IFS(
A873="","",
AND(A873&lt;&gt;"",B873=""),"FALTA LANÇAMENTO",
AND(B873&lt;&gt;"",M873=""),"FALTA O PEDIDO",
AND(M873&lt;&gt;"",O873=""),"FALTA NF",
O873&lt;&gt;"","CONCLUÍDO")</f>
        <v>CONCLUÍDO</v>
      </c>
      <c r="R873" s="36"/>
    </row>
    <row r="874" spans="1:18" hidden="1">
      <c r="A874" s="16">
        <v>46094</v>
      </c>
      <c r="B874" s="16">
        <v>46114</v>
      </c>
      <c r="C874" s="21">
        <v>18010001</v>
      </c>
      <c r="D874" s="16" t="str">
        <f>IFERROR(VLOOKUP(Tabela5[[#This Row],[PREFIXO ]],Tabela4[#All],2,0),"CENTRO DE CUSTO")</f>
        <v>AVIAO APLIC AGR AIR TRACT AT-802A</v>
      </c>
      <c r="E874" s="18" t="s">
        <v>115</v>
      </c>
      <c r="F874" s="21">
        <v>3204</v>
      </c>
      <c r="G874" s="22">
        <v>4376.8599999999997</v>
      </c>
      <c r="H874" s="22"/>
      <c r="I874" s="22">
        <f t="shared" si="14"/>
        <v>4376.8599999999997</v>
      </c>
      <c r="J874" s="18" t="s">
        <v>1199</v>
      </c>
      <c r="K874" s="18">
        <v>9813723</v>
      </c>
      <c r="L874" s="18">
        <v>898765</v>
      </c>
      <c r="M874" s="18" t="s">
        <v>2537</v>
      </c>
      <c r="N874" s="16" t="s">
        <v>2538</v>
      </c>
      <c r="O874" s="18" t="s">
        <v>2539</v>
      </c>
      <c r="P874" s="18" t="s">
        <v>2540</v>
      </c>
      <c r="Q874" s="29" t="str" cm="1">
        <f t="array" ref="Q874">_xlfn.IFS(
A874="","",
AND(A874&lt;&gt;"",B874=""),"FALTA LANÇAMENTO",
AND(B874&lt;&gt;"",M874=""),"FALTA O PEDIDO",
AND(M874&lt;&gt;"",O874=""),"FALTA NF",
O874&lt;&gt;"","CONCLUÍDO")</f>
        <v>CONCLUÍDO</v>
      </c>
      <c r="R874" s="36"/>
    </row>
    <row r="875" spans="1:18" hidden="1">
      <c r="A875" s="16">
        <v>46094</v>
      </c>
      <c r="B875" s="16">
        <v>46114</v>
      </c>
      <c r="C875" s="21">
        <v>18010002</v>
      </c>
      <c r="D875" s="16" t="str">
        <f>IFERROR(VLOOKUP(Tabela5[[#This Row],[PREFIXO ]],Tabela4[#All],2,0),"CENTRO DE CUSTO")</f>
        <v>AVIAO APLIC AGR AIR TRACT AT-802A</v>
      </c>
      <c r="E875" s="18" t="s">
        <v>115</v>
      </c>
      <c r="F875" s="21">
        <v>3203</v>
      </c>
      <c r="G875" s="22">
        <v>3507.71</v>
      </c>
      <c r="H875" s="22"/>
      <c r="I875" s="22">
        <f t="shared" si="14"/>
        <v>3507.71</v>
      </c>
      <c r="J875" s="18" t="s">
        <v>1199</v>
      </c>
      <c r="K875" s="18">
        <v>9813722</v>
      </c>
      <c r="L875" s="18">
        <v>898765</v>
      </c>
      <c r="M875" s="18" t="s">
        <v>2537</v>
      </c>
      <c r="N875" s="16" t="s">
        <v>2538</v>
      </c>
      <c r="O875" s="18" t="s">
        <v>2539</v>
      </c>
      <c r="P875" s="18" t="s">
        <v>2540</v>
      </c>
      <c r="Q875" s="29" t="str" cm="1">
        <f t="array" ref="Q875">_xlfn.IFS(
A875="","",
AND(A875&lt;&gt;"",B875=""),"FALTA LANÇAMENTO",
AND(B875&lt;&gt;"",M875=""),"FALTA O PEDIDO",
AND(M875&lt;&gt;"",O875=""),"FALTA NF",
O875&lt;&gt;"","CONCLUÍDO")</f>
        <v>CONCLUÍDO</v>
      </c>
      <c r="R875" s="36"/>
    </row>
    <row r="876" spans="1:18" hidden="1">
      <c r="A876" s="16">
        <v>46094</v>
      </c>
      <c r="B876" s="16">
        <v>46099</v>
      </c>
      <c r="C876" s="21" t="s">
        <v>1134</v>
      </c>
      <c r="D876" s="16" t="str">
        <f>IFERROR(VLOOKUP(Tabela5[[#This Row],[PREFIXO ]],Tabela4[#All],2,0),"CENTRO DE CUSTO")</f>
        <v>CENTRO DE CUSTO</v>
      </c>
      <c r="E876" s="18" t="s">
        <v>109</v>
      </c>
      <c r="F876" s="21" t="s">
        <v>1134</v>
      </c>
      <c r="G876" s="22">
        <v>940</v>
      </c>
      <c r="H876" s="22"/>
      <c r="I876" s="22">
        <f t="shared" si="14"/>
        <v>940</v>
      </c>
      <c r="J876" s="18" t="s">
        <v>1482</v>
      </c>
      <c r="K876" s="18" t="s">
        <v>1134</v>
      </c>
      <c r="L876" s="18" t="s">
        <v>1095</v>
      </c>
      <c r="M876" s="18" t="s">
        <v>1095</v>
      </c>
      <c r="N876" s="16" t="s">
        <v>1095</v>
      </c>
      <c r="O876" s="18" t="s">
        <v>1095</v>
      </c>
      <c r="P876" s="18" t="s">
        <v>1095</v>
      </c>
      <c r="Q876" s="29" t="str" cm="1">
        <f t="array" ref="Q876">_xlfn.IFS(
A876="","",
AND(A876&lt;&gt;"",B876=""),"FALTA LANÇAMENTO",
AND(B876&lt;&gt;"",M876=""),"FALTA O PEDIDO",
AND(M876&lt;&gt;"",O876=""),"FALTA NF",
O876&lt;&gt;"","CONCLUÍDO")</f>
        <v>CONCLUÍDO</v>
      </c>
      <c r="R876" s="36"/>
    </row>
    <row r="877" spans="1:18" hidden="1">
      <c r="A877" s="16">
        <v>46094</v>
      </c>
      <c r="B877" s="16">
        <v>46094</v>
      </c>
      <c r="C877" s="21">
        <v>500580070</v>
      </c>
      <c r="D877" s="16" t="str">
        <f>IFERROR(VLOOKUP(Tabela5[[#This Row],[PREFIXO ]],Tabela4[#All],2,0),"CENTRO DE CUSTO")</f>
        <v>Posto Abast./Lubrif.</v>
      </c>
      <c r="E877" s="18" t="s">
        <v>55</v>
      </c>
      <c r="F877" s="21">
        <v>20262302</v>
      </c>
      <c r="G877" s="22">
        <v>390</v>
      </c>
      <c r="H877" s="22"/>
      <c r="I877" s="22">
        <f t="shared" si="14"/>
        <v>390</v>
      </c>
      <c r="J877" s="18" t="s">
        <v>1199</v>
      </c>
      <c r="K877" s="18" t="s">
        <v>1134</v>
      </c>
      <c r="L877" s="18" t="s">
        <v>1095</v>
      </c>
      <c r="M877" s="18" t="s">
        <v>1095</v>
      </c>
      <c r="N877" s="16" t="s">
        <v>1095</v>
      </c>
      <c r="O877" s="18" t="s">
        <v>1095</v>
      </c>
      <c r="P877" s="18" t="s">
        <v>1095</v>
      </c>
      <c r="Q877" s="29" t="str" cm="1">
        <f t="array" ref="Q877">_xlfn.IFS(
A877="","",
AND(A877&lt;&gt;"",B877=""),"FALTA LANÇAMENTO",
AND(B877&lt;&gt;"",M877=""),"FALTA O PEDIDO",
AND(M877&lt;&gt;"",O877=""),"FALTA NF",
O877&lt;&gt;"","CONCLUÍDO")</f>
        <v>CONCLUÍDO</v>
      </c>
      <c r="R877" s="36"/>
    </row>
    <row r="878" spans="1:18" hidden="1">
      <c r="A878" s="16">
        <v>46094</v>
      </c>
      <c r="B878" s="16">
        <v>46094</v>
      </c>
      <c r="C878" s="21">
        <v>500580044</v>
      </c>
      <c r="D878" s="16" t="str">
        <f>IFERROR(VLOOKUP(Tabela5[[#This Row],[PREFIXO ]],Tabela4[#All],2,0),"CENTRO DE CUSTO")</f>
        <v>Mist./Dep. de Adubos</v>
      </c>
      <c r="E878" s="18" t="s">
        <v>59</v>
      </c>
      <c r="F878" s="21">
        <v>6641</v>
      </c>
      <c r="G878" s="22">
        <v>11152.58</v>
      </c>
      <c r="H878" s="22"/>
      <c r="I878" s="22">
        <f t="shared" si="14"/>
        <v>11152.58</v>
      </c>
      <c r="J878" s="18" t="s">
        <v>1257</v>
      </c>
      <c r="K878" s="18" t="s">
        <v>1134</v>
      </c>
      <c r="L878" s="18" t="s">
        <v>1095</v>
      </c>
      <c r="M878" s="18" t="s">
        <v>1095</v>
      </c>
      <c r="N878" s="16" t="s">
        <v>1095</v>
      </c>
      <c r="O878" s="18" t="s">
        <v>1095</v>
      </c>
      <c r="P878" s="18" t="s">
        <v>1095</v>
      </c>
      <c r="Q878" s="29" t="str" cm="1">
        <f t="array" ref="Q878">_xlfn.IFS(
A878="","",
AND(A878&lt;&gt;"",B878=""),"FALTA LANÇAMENTO",
AND(B878&lt;&gt;"",M878=""),"FALTA O PEDIDO",
AND(M878&lt;&gt;"",O878=""),"FALTA NF",
O878&lt;&gt;"","CONCLUÍDO")</f>
        <v>CONCLUÍDO</v>
      </c>
      <c r="R878" s="36"/>
    </row>
    <row r="879" spans="1:18" hidden="1">
      <c r="A879" s="16">
        <v>46094</v>
      </c>
      <c r="B879" s="16">
        <v>46100</v>
      </c>
      <c r="C879" s="21">
        <v>500580069</v>
      </c>
      <c r="D879" s="16" t="str">
        <f>IFERROR(VLOOKUP(Tabela5[[#This Row],[PREFIXO ]],Tabela4[#All],2,0),"CENTRO DE CUSTO")</f>
        <v>Oficina Mecânica</v>
      </c>
      <c r="E879" s="18" t="s">
        <v>62</v>
      </c>
      <c r="F879" s="21">
        <v>1170</v>
      </c>
      <c r="G879" s="22">
        <v>900</v>
      </c>
      <c r="H879" s="22"/>
      <c r="I879" s="22">
        <f t="shared" si="14"/>
        <v>900</v>
      </c>
      <c r="J879" s="18" t="s">
        <v>1265</v>
      </c>
      <c r="K879" s="18"/>
      <c r="L879" s="18" t="s">
        <v>1095</v>
      </c>
      <c r="M879" s="18" t="s">
        <v>1095</v>
      </c>
      <c r="N879" s="16" t="s">
        <v>1095</v>
      </c>
      <c r="O879" s="18" t="s">
        <v>1095</v>
      </c>
      <c r="P879" s="18" t="s">
        <v>1095</v>
      </c>
      <c r="Q879" s="29" t="str" cm="1">
        <f t="array" ref="Q879">_xlfn.IFS(
A879="","",
AND(A879&lt;&gt;"",B879=""),"FALTA LANÇAMENTO",
AND(B879&lt;&gt;"",M879=""),"FALTA O PEDIDO",
AND(M879&lt;&gt;"",O879=""),"FALTA NF",
O879&lt;&gt;"","CONCLUÍDO")</f>
        <v>CONCLUÍDO</v>
      </c>
      <c r="R879" s="36"/>
    </row>
    <row r="880" spans="1:18" hidden="1">
      <c r="A880" s="16">
        <v>46094</v>
      </c>
      <c r="B880" s="16">
        <v>46139</v>
      </c>
      <c r="C880" s="21">
        <v>1173005</v>
      </c>
      <c r="D880" s="16" t="str">
        <f>IFERROR(VLOOKUP(Tabela5[[#This Row],[PREFIXO ]],Tabela4[#All],2,0),"CENTRO DE CUSTO")</f>
        <v>TRAT PN LEVE M FERGUSON MF 275</v>
      </c>
      <c r="E880" s="18" t="s">
        <v>96</v>
      </c>
      <c r="F880" s="21">
        <v>15336</v>
      </c>
      <c r="G880" s="22"/>
      <c r="H880" s="22">
        <v>3795.89</v>
      </c>
      <c r="I880" s="22">
        <f t="shared" si="14"/>
        <v>3795.89</v>
      </c>
      <c r="J880" s="18" t="s">
        <v>1199</v>
      </c>
      <c r="K880" s="18">
        <v>9838893</v>
      </c>
      <c r="L880" s="18">
        <v>917792</v>
      </c>
      <c r="M880" s="18" t="s">
        <v>2541</v>
      </c>
      <c r="N880" s="16" t="s">
        <v>2542</v>
      </c>
      <c r="O880" s="18" t="s">
        <v>2543</v>
      </c>
      <c r="P880" s="18" t="s">
        <v>2544</v>
      </c>
      <c r="Q880" s="29" t="str" cm="1">
        <f t="array" ref="Q880">_xlfn.IFS(
A880="","",
AND(A880&lt;&gt;"",B880=""),"FALTA LANÇAMENTO",
AND(B880&lt;&gt;"",M880=""),"FALTA O PEDIDO",
AND(M880&lt;&gt;"",O880=""),"FALTA NF",
O880&lt;&gt;"","CONCLUÍDO")</f>
        <v>CONCLUÍDO</v>
      </c>
      <c r="R880" s="36"/>
    </row>
    <row r="881" spans="1:18" hidden="1">
      <c r="A881" s="16">
        <v>46094</v>
      </c>
      <c r="B881" s="16">
        <v>46104</v>
      </c>
      <c r="C881" s="21">
        <v>15420002</v>
      </c>
      <c r="D881" s="16" t="str">
        <f>IFERROR(VLOOKUP(Tabela5[[#This Row],[PREFIXO ]],Tabela4[#All],2,0),"CENTRO DE CUSTO")</f>
        <v>CENTRO DE CUSTO</v>
      </c>
      <c r="E881" s="18" t="s">
        <v>96</v>
      </c>
      <c r="F881" s="21">
        <v>15344</v>
      </c>
      <c r="G881" s="22"/>
      <c r="H881" s="22">
        <v>2746.7</v>
      </c>
      <c r="I881" s="22">
        <f t="shared" si="14"/>
        <v>2746.7</v>
      </c>
      <c r="J881" s="18" t="s">
        <v>1199</v>
      </c>
      <c r="K881" s="18">
        <v>9807146</v>
      </c>
      <c r="L881" s="18">
        <v>893174</v>
      </c>
      <c r="M881" s="18" t="s">
        <v>2545</v>
      </c>
      <c r="N881" s="16" t="s">
        <v>2300</v>
      </c>
      <c r="O881" s="18" t="s">
        <v>2546</v>
      </c>
      <c r="P881" s="18" t="s">
        <v>2302</v>
      </c>
      <c r="Q881" s="29" t="str" cm="1">
        <f t="array" ref="Q881">_xlfn.IFS(
A881="","",
AND(A881&lt;&gt;"",B881=""),"FALTA LANÇAMENTO",
AND(B881&lt;&gt;"",M881=""),"FALTA O PEDIDO",
AND(M881&lt;&gt;"",O881=""),"FALTA NF",
O881&lt;&gt;"","CONCLUÍDO")</f>
        <v>CONCLUÍDO</v>
      </c>
      <c r="R881" s="36"/>
    </row>
    <row r="882" spans="1:18" hidden="1">
      <c r="A882" s="16">
        <v>46094</v>
      </c>
      <c r="B882" s="16">
        <v>46104</v>
      </c>
      <c r="C882" s="21">
        <v>81521426</v>
      </c>
      <c r="D882" s="16" t="str">
        <f>IFERROR(VLOOKUP(Tabela5[[#This Row],[PREFIXO ]],Tabela4[#All],2,0),"CENTRO DE CUSTO")</f>
        <v>CENTRO DE CUSTO</v>
      </c>
      <c r="E882" s="18" t="s">
        <v>96</v>
      </c>
      <c r="F882" s="21">
        <v>15345</v>
      </c>
      <c r="G882" s="22"/>
      <c r="H882" s="22">
        <v>2746.7</v>
      </c>
      <c r="I882" s="22">
        <f t="shared" si="14"/>
        <v>2746.7</v>
      </c>
      <c r="J882" s="18" t="s">
        <v>1199</v>
      </c>
      <c r="K882" s="18">
        <v>9807150</v>
      </c>
      <c r="L882" s="18">
        <v>893194</v>
      </c>
      <c r="M882" s="18" t="s">
        <v>2547</v>
      </c>
      <c r="N882" s="16" t="s">
        <v>2300</v>
      </c>
      <c r="O882" s="18" t="s">
        <v>2548</v>
      </c>
      <c r="P882" s="18" t="s">
        <v>2302</v>
      </c>
      <c r="Q882" s="29" t="str" cm="1">
        <f t="array" ref="Q882">_xlfn.IFS(
A882="","",
AND(A882&lt;&gt;"",B882=""),"FALTA LANÇAMENTO",
AND(B882&lt;&gt;"",M882=""),"FALTA O PEDIDO",
AND(M882&lt;&gt;"",O882=""),"FALTA NF",
O882&lt;&gt;"","CONCLUÍDO")</f>
        <v>CONCLUÍDO</v>
      </c>
      <c r="R882" s="36"/>
    </row>
    <row r="883" spans="1:18" hidden="1">
      <c r="A883" s="16">
        <v>46094</v>
      </c>
      <c r="B883" s="16">
        <v>46104</v>
      </c>
      <c r="C883" s="21">
        <v>81521430</v>
      </c>
      <c r="D883" s="16" t="str">
        <f>IFERROR(VLOOKUP(Tabela5[[#This Row],[PREFIXO ]],Tabela4[#All],2,0),"CENTRO DE CUSTO")</f>
        <v>CENTRO DE CUSTO</v>
      </c>
      <c r="E883" s="18" t="s">
        <v>96</v>
      </c>
      <c r="F883" s="21">
        <v>15346</v>
      </c>
      <c r="G883" s="22"/>
      <c r="H883" s="22">
        <v>2746.7</v>
      </c>
      <c r="I883" s="22">
        <f t="shared" si="14"/>
        <v>2746.7</v>
      </c>
      <c r="J883" s="18" t="s">
        <v>1199</v>
      </c>
      <c r="K883" s="18">
        <v>9807206</v>
      </c>
      <c r="L883" s="18">
        <v>893252</v>
      </c>
      <c r="M883" s="18" t="s">
        <v>2549</v>
      </c>
      <c r="N883" s="16" t="s">
        <v>2300</v>
      </c>
      <c r="O883" s="18" t="s">
        <v>2550</v>
      </c>
      <c r="P883" s="18" t="s">
        <v>2302</v>
      </c>
      <c r="Q883" s="29" t="str" cm="1">
        <f t="array" ref="Q883">_xlfn.IFS(
A883="","",
AND(A883&lt;&gt;"",B883=""),"FALTA LANÇAMENTO",
AND(B883&lt;&gt;"",M883=""),"FALTA O PEDIDO",
AND(M883&lt;&gt;"",O883=""),"FALTA NF",
O883&lt;&gt;"","CONCLUÍDO")</f>
        <v>CONCLUÍDO</v>
      </c>
      <c r="R883" s="36"/>
    </row>
    <row r="884" spans="1:18" hidden="1">
      <c r="A884" s="16">
        <v>46094</v>
      </c>
      <c r="B884" s="16">
        <v>46104</v>
      </c>
      <c r="C884" s="21">
        <v>81521424</v>
      </c>
      <c r="D884" s="16" t="str">
        <f>IFERROR(VLOOKUP(Tabela5[[#This Row],[PREFIXO ]],Tabela4[#All],2,0),"CENTRO DE CUSTO")</f>
        <v>CENTRO DE CUSTO</v>
      </c>
      <c r="E884" s="18" t="s">
        <v>96</v>
      </c>
      <c r="F884" s="21">
        <v>15347</v>
      </c>
      <c r="G884" s="22"/>
      <c r="H884" s="22">
        <v>2746.7</v>
      </c>
      <c r="I884" s="22">
        <f t="shared" si="14"/>
        <v>2746.7</v>
      </c>
      <c r="J884" s="18" t="s">
        <v>1199</v>
      </c>
      <c r="K884" s="18">
        <v>9807143</v>
      </c>
      <c r="L884" s="18">
        <v>891973</v>
      </c>
      <c r="M884" s="18" t="s">
        <v>2551</v>
      </c>
      <c r="N884" s="16" t="s">
        <v>2300</v>
      </c>
      <c r="O884" s="18" t="s">
        <v>2552</v>
      </c>
      <c r="P884" s="18" t="s">
        <v>2302</v>
      </c>
      <c r="Q884" s="29" t="str" cm="1">
        <f t="array" ref="Q884">_xlfn.IFS(
A884="","",
AND(A884&lt;&gt;"",B884=""),"FALTA LANÇAMENTO",
AND(B884&lt;&gt;"",M884=""),"FALTA O PEDIDO",
AND(M884&lt;&gt;"",O884=""),"FALTA NF",
O884&lt;&gt;"","CONCLUÍDO")</f>
        <v>CONCLUÍDO</v>
      </c>
      <c r="R884" s="36"/>
    </row>
    <row r="885" spans="1:18" hidden="1">
      <c r="A885" s="16">
        <v>46094</v>
      </c>
      <c r="B885" s="16">
        <v>46126</v>
      </c>
      <c r="C885" s="21">
        <v>61521008</v>
      </c>
      <c r="D885" s="16" t="str">
        <f>IFERROR(VLOOKUP(Tabela5[[#This Row],[PREFIXO ]],Tabela4[#All],2,0),"CENTRO DE CUSTO")</f>
        <v>CAV MEC PES MERC BENZ AXOR 2644</v>
      </c>
      <c r="E885" s="18" t="s">
        <v>96</v>
      </c>
      <c r="F885" s="21">
        <v>15363</v>
      </c>
      <c r="G885" s="22"/>
      <c r="H885" s="22">
        <v>1708.11</v>
      </c>
      <c r="I885" s="22">
        <f t="shared" si="14"/>
        <v>1708.11</v>
      </c>
      <c r="J885" s="18" t="s">
        <v>1199</v>
      </c>
      <c r="K885" s="18">
        <v>9815714</v>
      </c>
      <c r="L885" s="18">
        <v>912402</v>
      </c>
      <c r="M885" s="18" t="s">
        <v>2553</v>
      </c>
      <c r="N885" s="16" t="s">
        <v>2554</v>
      </c>
      <c r="O885" s="18" t="s">
        <v>2555</v>
      </c>
      <c r="P885" s="18" t="s">
        <v>2556</v>
      </c>
      <c r="Q885" s="29" t="str" cm="1">
        <f t="array" ref="Q885">_xlfn.IFS(
A885="","",
AND(A885&lt;&gt;"",B885=""),"FALTA LANÇAMENTO",
AND(B885&lt;&gt;"",M885=""),"FALTA O PEDIDO",
AND(M885&lt;&gt;"",O885=""),"FALTA NF",
O885&lt;&gt;"","CONCLUÍDO")</f>
        <v>CONCLUÍDO</v>
      </c>
      <c r="R885" s="36"/>
    </row>
    <row r="886" spans="1:18" hidden="1">
      <c r="A886" s="16">
        <v>46094</v>
      </c>
      <c r="B886" s="16">
        <v>46129</v>
      </c>
      <c r="C886" s="21">
        <v>61521008</v>
      </c>
      <c r="D886" s="16" t="str">
        <f>IFERROR(VLOOKUP(Tabela5[[#This Row],[PREFIXO ]],Tabela4[#All],2,0),"CENTRO DE CUSTO")</f>
        <v>CAV MEC PES MERC BENZ AXOR 2644</v>
      </c>
      <c r="E886" s="18" t="s">
        <v>96</v>
      </c>
      <c r="F886" s="21">
        <v>4125</v>
      </c>
      <c r="G886" s="22">
        <v>360</v>
      </c>
      <c r="H886" s="22"/>
      <c r="I886" s="22">
        <f t="shared" si="14"/>
        <v>360</v>
      </c>
      <c r="J886" s="18" t="s">
        <v>1199</v>
      </c>
      <c r="K886" s="18">
        <v>9815714</v>
      </c>
      <c r="L886" s="18">
        <v>912412</v>
      </c>
      <c r="M886" s="18" t="s">
        <v>2557</v>
      </c>
      <c r="N886" s="16" t="s">
        <v>2554</v>
      </c>
      <c r="O886" s="18" t="s">
        <v>2558</v>
      </c>
      <c r="P886" s="18" t="s">
        <v>1526</v>
      </c>
      <c r="Q886" s="29" t="str" cm="1">
        <f t="array" ref="Q886">_xlfn.IFS(
A886="","",
AND(A886&lt;&gt;"",B886=""),"FALTA LANÇAMENTO",
AND(B886&lt;&gt;"",M886=""),"FALTA O PEDIDO",
AND(M886&lt;&gt;"",O886=""),"FALTA NF",
O886&lt;&gt;"","CONCLUÍDO")</f>
        <v>CONCLUÍDO</v>
      </c>
      <c r="R886" s="36"/>
    </row>
    <row r="887" spans="1:18" hidden="1">
      <c r="A887" s="16">
        <v>46094</v>
      </c>
      <c r="B887" s="16">
        <v>46104</v>
      </c>
      <c r="C887" s="21">
        <v>15420002</v>
      </c>
      <c r="D887" s="16" t="str">
        <f>IFERROR(VLOOKUP(Tabela5[[#This Row],[PREFIXO ]],Tabela4[#All],2,0),"CENTRO DE CUSTO")</f>
        <v>CENTRO DE CUSTO</v>
      </c>
      <c r="E887" s="18" t="s">
        <v>96</v>
      </c>
      <c r="F887" s="21">
        <v>4117</v>
      </c>
      <c r="G887" s="22">
        <v>360</v>
      </c>
      <c r="H887" s="22"/>
      <c r="I887" s="22">
        <f t="shared" si="14"/>
        <v>360</v>
      </c>
      <c r="J887" s="18" t="s">
        <v>1199</v>
      </c>
      <c r="K887" s="18">
        <v>9807146</v>
      </c>
      <c r="L887" s="18">
        <v>893174</v>
      </c>
      <c r="M887" s="18" t="s">
        <v>2559</v>
      </c>
      <c r="N887" s="16" t="s">
        <v>2300</v>
      </c>
      <c r="O887" s="18" t="s">
        <v>2560</v>
      </c>
      <c r="P887" s="18" t="s">
        <v>2305</v>
      </c>
      <c r="Q887" s="29" t="str" cm="1">
        <f t="array" ref="Q887">_xlfn.IFS(
A887="","",
AND(A887&lt;&gt;"",B887=""),"FALTA LANÇAMENTO",
AND(B887&lt;&gt;"",M887=""),"FALTA O PEDIDO",
AND(M887&lt;&gt;"",O887=""),"FALTA NF",
O887&lt;&gt;"","CONCLUÍDO")</f>
        <v>CONCLUÍDO</v>
      </c>
      <c r="R887" s="36"/>
    </row>
    <row r="888" spans="1:18" hidden="1">
      <c r="A888" s="16">
        <v>46094</v>
      </c>
      <c r="B888" s="16">
        <v>46104</v>
      </c>
      <c r="C888" s="21">
        <v>81521426</v>
      </c>
      <c r="D888" s="16" t="str">
        <f>IFERROR(VLOOKUP(Tabela5[[#This Row],[PREFIXO ]],Tabela4[#All],2,0),"CENTRO DE CUSTO")</f>
        <v>CENTRO DE CUSTO</v>
      </c>
      <c r="E888" s="18" t="s">
        <v>96</v>
      </c>
      <c r="F888" s="21">
        <v>4118</v>
      </c>
      <c r="G888" s="22">
        <v>360</v>
      </c>
      <c r="H888" s="22"/>
      <c r="I888" s="22">
        <f t="shared" si="14"/>
        <v>360</v>
      </c>
      <c r="J888" s="18" t="s">
        <v>1199</v>
      </c>
      <c r="K888" s="18">
        <v>9807150</v>
      </c>
      <c r="L888" s="18">
        <v>893194</v>
      </c>
      <c r="M888" s="18" t="s">
        <v>2561</v>
      </c>
      <c r="N888" s="16" t="s">
        <v>2300</v>
      </c>
      <c r="O888" s="18" t="s">
        <v>2562</v>
      </c>
      <c r="P888" s="18" t="s">
        <v>2305</v>
      </c>
      <c r="Q888" s="29" t="str" cm="1">
        <f t="array" ref="Q888">_xlfn.IFS(
A888="","",
AND(A888&lt;&gt;"",B888=""),"FALTA LANÇAMENTO",
AND(B888&lt;&gt;"",M888=""),"FALTA O PEDIDO",
AND(M888&lt;&gt;"",O888=""),"FALTA NF",
O888&lt;&gt;"","CONCLUÍDO")</f>
        <v>CONCLUÍDO</v>
      </c>
      <c r="R888" s="36"/>
    </row>
    <row r="889" spans="1:18" hidden="1">
      <c r="A889" s="16">
        <v>46094</v>
      </c>
      <c r="B889" s="16">
        <v>46104</v>
      </c>
      <c r="C889" s="21">
        <v>81521430</v>
      </c>
      <c r="D889" s="16" t="str">
        <f>IFERROR(VLOOKUP(Tabela5[[#This Row],[PREFIXO ]],Tabela4[#All],2,0),"CENTRO DE CUSTO")</f>
        <v>CENTRO DE CUSTO</v>
      </c>
      <c r="E889" s="18" t="s">
        <v>96</v>
      </c>
      <c r="F889" s="21">
        <v>4119</v>
      </c>
      <c r="G889" s="22">
        <v>360</v>
      </c>
      <c r="H889" s="22"/>
      <c r="I889" s="22">
        <f t="shared" si="14"/>
        <v>360</v>
      </c>
      <c r="J889" s="18" t="s">
        <v>1199</v>
      </c>
      <c r="K889" s="18">
        <v>9807206</v>
      </c>
      <c r="L889" s="18">
        <v>893252</v>
      </c>
      <c r="M889" s="18" t="s">
        <v>2563</v>
      </c>
      <c r="N889" s="16" t="s">
        <v>2300</v>
      </c>
      <c r="O889" s="18" t="s">
        <v>2564</v>
      </c>
      <c r="P889" s="18" t="s">
        <v>2305</v>
      </c>
      <c r="Q889" s="29" t="str" cm="1">
        <f t="array" ref="Q889">_xlfn.IFS(
A889="","",
AND(A889&lt;&gt;"",B889=""),"FALTA LANÇAMENTO",
AND(B889&lt;&gt;"",M889=""),"FALTA O PEDIDO",
AND(M889&lt;&gt;"",O889=""),"FALTA NF",
O889&lt;&gt;"","CONCLUÍDO")</f>
        <v>CONCLUÍDO</v>
      </c>
      <c r="R889" s="36"/>
    </row>
    <row r="890" spans="1:18" hidden="1">
      <c r="A890" s="16">
        <v>46094</v>
      </c>
      <c r="B890" s="16">
        <v>46104</v>
      </c>
      <c r="C890" s="21">
        <v>81521424</v>
      </c>
      <c r="D890" s="16" t="str">
        <f>IFERROR(VLOOKUP(Tabela5[[#This Row],[PREFIXO ]],Tabela4[#All],2,0),"CENTRO DE CUSTO")</f>
        <v>CENTRO DE CUSTO</v>
      </c>
      <c r="E890" s="18" t="s">
        <v>96</v>
      </c>
      <c r="F890" s="21">
        <v>4120</v>
      </c>
      <c r="G890" s="22">
        <v>360</v>
      </c>
      <c r="H890" s="22"/>
      <c r="I890" s="22">
        <f t="shared" si="14"/>
        <v>360</v>
      </c>
      <c r="J890" s="18" t="s">
        <v>1199</v>
      </c>
      <c r="K890" s="18">
        <v>9807143</v>
      </c>
      <c r="L890" s="18">
        <v>891973</v>
      </c>
      <c r="M890" s="18" t="s">
        <v>2565</v>
      </c>
      <c r="N890" s="16" t="s">
        <v>2300</v>
      </c>
      <c r="O890" s="18" t="s">
        <v>2566</v>
      </c>
      <c r="P890" s="18" t="s">
        <v>2305</v>
      </c>
      <c r="Q890" s="29" t="str" cm="1">
        <f t="array" ref="Q890">_xlfn.IFS(
A890="","",
AND(A890&lt;&gt;"",B890=""),"FALTA LANÇAMENTO",
AND(B890&lt;&gt;"",M890=""),"FALTA O PEDIDO",
AND(M890&lt;&gt;"",O890=""),"FALTA NF",
O890&lt;&gt;"","CONCLUÍDO")</f>
        <v>CONCLUÍDO</v>
      </c>
      <c r="R890" s="36"/>
    </row>
    <row r="891" spans="1:18" hidden="1">
      <c r="A891" s="16">
        <v>46094</v>
      </c>
      <c r="B891" s="16">
        <v>46139</v>
      </c>
      <c r="C891" s="21">
        <v>1173005</v>
      </c>
      <c r="D891" s="16" t="str">
        <f>IFERROR(VLOOKUP(Tabela5[[#This Row],[PREFIXO ]],Tabela4[#All],2,0),"CENTRO DE CUSTO")</f>
        <v>TRAT PN LEVE M FERGUSON MF 275</v>
      </c>
      <c r="E891" s="18" t="s">
        <v>96</v>
      </c>
      <c r="F891" s="21">
        <v>4115</v>
      </c>
      <c r="G891" s="22">
        <v>300</v>
      </c>
      <c r="H891" s="22"/>
      <c r="I891" s="22">
        <f t="shared" si="14"/>
        <v>300</v>
      </c>
      <c r="J891" s="18" t="s">
        <v>1199</v>
      </c>
      <c r="K891" s="18">
        <v>9838893</v>
      </c>
      <c r="L891" s="18">
        <v>917792</v>
      </c>
      <c r="M891" s="18" t="s">
        <v>2567</v>
      </c>
      <c r="N891" s="16" t="s">
        <v>2542</v>
      </c>
      <c r="O891" s="18" t="s">
        <v>2568</v>
      </c>
      <c r="P891" s="18" t="s">
        <v>2544</v>
      </c>
      <c r="Q891" s="29" t="str" cm="1">
        <f t="array" ref="Q891">_xlfn.IFS(
A891="","",
AND(A891&lt;&gt;"",B891=""),"FALTA LANÇAMENTO",
AND(B891&lt;&gt;"",M891=""),"FALTA O PEDIDO",
AND(M891&lt;&gt;"",O891=""),"FALTA NF",
O891&lt;&gt;"","CONCLUÍDO")</f>
        <v>CONCLUÍDO</v>
      </c>
      <c r="R891" s="36"/>
    </row>
    <row r="892" spans="1:18" hidden="1">
      <c r="A892" s="16">
        <v>46094</v>
      </c>
      <c r="B892" s="16">
        <v>46100</v>
      </c>
      <c r="C892" s="21">
        <v>61521012</v>
      </c>
      <c r="D892" s="16" t="str">
        <f>IFERROR(VLOOKUP(Tabela5[[#This Row],[PREFIXO ]],Tabela4[#All],2,0),"CENTRO DE CUSTO")</f>
        <v>CAM COMBOIO MERC BENZ ATRON 2729</v>
      </c>
      <c r="E892" s="18" t="s">
        <v>124</v>
      </c>
      <c r="F892" s="21">
        <v>469</v>
      </c>
      <c r="G892" s="22">
        <v>2265.6</v>
      </c>
      <c r="H892" s="22"/>
      <c r="I892" s="22">
        <f t="shared" si="14"/>
        <v>2265.6</v>
      </c>
      <c r="J892" s="18" t="s">
        <v>1199</v>
      </c>
      <c r="K892" s="18">
        <v>9803921</v>
      </c>
      <c r="L892" s="18">
        <v>890873</v>
      </c>
      <c r="M892" s="18" t="s">
        <v>2569</v>
      </c>
      <c r="N892" s="16" t="s">
        <v>2007</v>
      </c>
      <c r="O892" s="18" t="s">
        <v>2053</v>
      </c>
      <c r="P892" s="18" t="s">
        <v>2502</v>
      </c>
      <c r="Q892" s="29" t="str" cm="1">
        <f t="array" ref="Q892">_xlfn.IFS(
A892="","",
AND(A892&lt;&gt;"",B892=""),"FALTA LANÇAMENTO",
AND(B892&lt;&gt;"",M892=""),"FALTA O PEDIDO",
AND(M892&lt;&gt;"",O892=""),"FALTA NF",
O892&lt;&gt;"","CONCLUÍDO")</f>
        <v>CONCLUÍDO</v>
      </c>
      <c r="R892" s="36"/>
    </row>
    <row r="893" spans="1:18" hidden="1">
      <c r="A893" s="16">
        <v>46094</v>
      </c>
      <c r="B893" s="16">
        <v>46120</v>
      </c>
      <c r="C893" s="21">
        <v>8173187</v>
      </c>
      <c r="D893" s="16" t="str">
        <f>IFERROR(VLOOKUP(Tabela5[[#This Row],[PREFIXO ]],Tabela4[#All],2,0),"CENTRO DE CUSTO")</f>
        <v>PLANT GRÃOS JOHN DEERE 9200 PI 11 LINHAS</v>
      </c>
      <c r="E893" s="18" t="s">
        <v>178</v>
      </c>
      <c r="F893" s="21">
        <v>17435</v>
      </c>
      <c r="G893" s="22">
        <v>4108</v>
      </c>
      <c r="H893" s="22">
        <v>22121.55</v>
      </c>
      <c r="I893" s="22">
        <f t="shared" si="14"/>
        <v>26229.55</v>
      </c>
      <c r="J893" s="18" t="s">
        <v>1199</v>
      </c>
      <c r="K893" s="18">
        <v>9814604</v>
      </c>
      <c r="L893" s="18">
        <v>891429</v>
      </c>
      <c r="M893" s="18" t="s">
        <v>1095</v>
      </c>
      <c r="N893" s="16" t="s">
        <v>1095</v>
      </c>
      <c r="O893" s="18" t="s">
        <v>1095</v>
      </c>
      <c r="P893" s="18" t="s">
        <v>1095</v>
      </c>
      <c r="Q893" s="29" t="str" cm="1">
        <f t="array" ref="Q893">_xlfn.IFS(
A893="","",
AND(A893&lt;&gt;"",B893=""),"FALTA LANÇAMENTO",
AND(B893&lt;&gt;"",M893=""),"FALTA O PEDIDO",
AND(M893&lt;&gt;"",O893=""),"FALTA NF",
O893&lt;&gt;"","CONCLUÍDO")</f>
        <v>CONCLUÍDO</v>
      </c>
      <c r="R893" s="36"/>
    </row>
    <row r="894" spans="1:18" hidden="1">
      <c r="A894" s="16">
        <v>46094</v>
      </c>
      <c r="B894" s="16">
        <v>46100</v>
      </c>
      <c r="C894" s="21">
        <v>13100006</v>
      </c>
      <c r="D894" s="16" t="str">
        <f>IFERROR(VLOOKUP(Tabela5[[#This Row],[PREFIXO ]],Tabela4[#All],2,0),"CENTRO DE CUSTO")</f>
        <v>TRAT PN PES JOHN DEERE 8400R</v>
      </c>
      <c r="E894" s="18" t="s">
        <v>308</v>
      </c>
      <c r="F894" s="21" t="s">
        <v>1306</v>
      </c>
      <c r="G894" s="22">
        <v>10408</v>
      </c>
      <c r="H894" s="22"/>
      <c r="I894" s="22">
        <f t="shared" si="14"/>
        <v>10408</v>
      </c>
      <c r="J894" s="18" t="s">
        <v>1113</v>
      </c>
      <c r="K894" s="18">
        <v>5019896</v>
      </c>
      <c r="L894" s="18">
        <v>890887</v>
      </c>
      <c r="M894" s="18" t="s">
        <v>2570</v>
      </c>
      <c r="N894" s="16" t="s">
        <v>2007</v>
      </c>
      <c r="O894" s="18" t="s">
        <v>1777</v>
      </c>
      <c r="P894" s="18" t="s">
        <v>2007</v>
      </c>
      <c r="Q894" s="29" t="str" cm="1">
        <f t="array" ref="Q894">_xlfn.IFS(
A894="","",
AND(A894&lt;&gt;"",B894=""),"FALTA LANÇAMENTO",
AND(B894&lt;&gt;"",M894=""),"FALTA O PEDIDO",
AND(M894&lt;&gt;"",O894=""),"FALTA NF",
O894&lt;&gt;"","CONCLUÍDO")</f>
        <v>CONCLUÍDO</v>
      </c>
      <c r="R894" s="36"/>
    </row>
    <row r="895" spans="1:18" hidden="1">
      <c r="A895" s="16">
        <v>46094</v>
      </c>
      <c r="B895" s="16">
        <v>46100</v>
      </c>
      <c r="C895" s="21">
        <v>500580263</v>
      </c>
      <c r="D895" s="16" t="str">
        <f>IFERROR(VLOOKUP(Tabela5[[#This Row],[PREFIXO ]],Tabela4[#All],2,0),"CENTRO DE CUSTO")</f>
        <v>Colheit. Grãos-Axial</v>
      </c>
      <c r="E895" s="18" t="s">
        <v>308</v>
      </c>
      <c r="F895" s="21" t="s">
        <v>2493</v>
      </c>
      <c r="G895" s="22">
        <v>10385</v>
      </c>
      <c r="H895" s="22"/>
      <c r="I895" s="22">
        <f t="shared" si="14"/>
        <v>10385</v>
      </c>
      <c r="J895" s="18" t="s">
        <v>1113</v>
      </c>
      <c r="K895" s="18">
        <v>5019891</v>
      </c>
      <c r="L895" s="18">
        <v>890960</v>
      </c>
      <c r="M895" s="18" t="s">
        <v>2571</v>
      </c>
      <c r="N895" s="16" t="s">
        <v>2502</v>
      </c>
      <c r="O895" s="18" t="s">
        <v>2572</v>
      </c>
      <c r="P895" s="18" t="s">
        <v>2502</v>
      </c>
      <c r="Q895" s="29" t="str" cm="1">
        <f t="array" ref="Q895">_xlfn.IFS(
A895="","",
AND(A895&lt;&gt;"",B895=""),"FALTA LANÇAMENTO",
AND(B895&lt;&gt;"",M895=""),"FALTA O PEDIDO",
AND(M895&lt;&gt;"",O895=""),"FALTA NF",
O895&lt;&gt;"","CONCLUÍDO")</f>
        <v>CONCLUÍDO</v>
      </c>
      <c r="R895" s="36"/>
    </row>
    <row r="896" spans="1:18" hidden="1">
      <c r="A896" s="16">
        <v>46094</v>
      </c>
      <c r="B896" s="16">
        <v>46100</v>
      </c>
      <c r="C896" s="21" t="s">
        <v>1134</v>
      </c>
      <c r="D896" s="16" t="str">
        <f>IFERROR(VLOOKUP(Tabela5[[#This Row],[PREFIXO ]],Tabela4[#All],2,0),"CENTRO DE CUSTO")</f>
        <v>CENTRO DE CUSTO</v>
      </c>
      <c r="E896" s="18" t="s">
        <v>308</v>
      </c>
      <c r="F896" s="21" t="s">
        <v>2167</v>
      </c>
      <c r="G896" s="22">
        <v>1948.8</v>
      </c>
      <c r="H896" s="22"/>
      <c r="I896" s="22">
        <f t="shared" ref="I896:I959" si="15">G896+H896</f>
        <v>1948.8</v>
      </c>
      <c r="J896" s="18" t="s">
        <v>1113</v>
      </c>
      <c r="K896" s="18">
        <v>5019892</v>
      </c>
      <c r="L896" s="18">
        <v>890960</v>
      </c>
      <c r="M896" s="18" t="s">
        <v>2571</v>
      </c>
      <c r="N896" s="16" t="s">
        <v>2502</v>
      </c>
      <c r="O896" s="18" t="s">
        <v>2572</v>
      </c>
      <c r="P896" s="18" t="s">
        <v>2502</v>
      </c>
      <c r="Q896" s="29" t="str" cm="1">
        <f t="array" ref="Q896">_xlfn.IFS(
A896="","",
AND(A896&lt;&gt;"",B896=""),"FALTA LANÇAMENTO",
AND(B896&lt;&gt;"",M896=""),"FALTA O PEDIDO",
AND(M896&lt;&gt;"",O896=""),"FALTA NF",
O896&lt;&gt;"","CONCLUÍDO")</f>
        <v>CONCLUÍDO</v>
      </c>
      <c r="R896" s="36"/>
    </row>
    <row r="897" spans="1:18" hidden="1">
      <c r="A897" s="16">
        <v>46094</v>
      </c>
      <c r="B897" s="16">
        <v>46100</v>
      </c>
      <c r="C897" s="21">
        <v>51521060</v>
      </c>
      <c r="D897" s="16" t="str">
        <f>IFERROR(VLOOKUP(Tabela5[[#This Row],[PREFIXO ]],Tabela4[#All],2,0),"CENTRO DE CUSTO")</f>
        <v>COLHED ALGODÃO JOHN DEERE CP 690</v>
      </c>
      <c r="E897" s="18" t="s">
        <v>71</v>
      </c>
      <c r="F897" s="21">
        <v>7736</v>
      </c>
      <c r="G897" s="22">
        <v>150</v>
      </c>
      <c r="H897" s="22">
        <v>5429.55</v>
      </c>
      <c r="I897" s="22">
        <f t="shared" si="15"/>
        <v>5579.55</v>
      </c>
      <c r="J897" s="18" t="s">
        <v>1113</v>
      </c>
      <c r="K897" s="18">
        <v>9803893</v>
      </c>
      <c r="L897" s="18">
        <v>889647</v>
      </c>
      <c r="M897" s="18" t="s">
        <v>2573</v>
      </c>
      <c r="N897" s="16" t="s">
        <v>2007</v>
      </c>
      <c r="O897" s="18" t="s">
        <v>2574</v>
      </c>
      <c r="P897" s="18" t="s">
        <v>2348</v>
      </c>
      <c r="Q897" s="29" t="str" cm="1">
        <f t="array" ref="Q897">_xlfn.IFS(
A897="","",
AND(A897&lt;&gt;"",B897=""),"FALTA LANÇAMENTO",
AND(B897&lt;&gt;"",M897=""),"FALTA O PEDIDO",
AND(M897&lt;&gt;"",O897=""),"FALTA NF",
O897&lt;&gt;"","CONCLUÍDO")</f>
        <v>CONCLUÍDO</v>
      </c>
      <c r="R897" s="36"/>
    </row>
    <row r="898" spans="1:18" hidden="1">
      <c r="A898" s="16">
        <v>46094</v>
      </c>
      <c r="B898" s="16">
        <v>46100</v>
      </c>
      <c r="C898" s="21">
        <v>31521045</v>
      </c>
      <c r="D898" s="16" t="str">
        <f>IFERROR(VLOOKUP(Tabela5[[#This Row],[PREFIXO ]],Tabela4[#All],2,0),"CENTRO DE CUSTO")</f>
        <v>PULV AUTOPROP JACTO UNIPORT 3030</v>
      </c>
      <c r="E898" s="18" t="s">
        <v>71</v>
      </c>
      <c r="F898" s="21">
        <v>7740</v>
      </c>
      <c r="G898" s="22">
        <v>1575</v>
      </c>
      <c r="H898" s="22"/>
      <c r="I898" s="22">
        <f t="shared" si="15"/>
        <v>1575</v>
      </c>
      <c r="J898" s="18" t="s">
        <v>1265</v>
      </c>
      <c r="K898" s="18">
        <v>9803895</v>
      </c>
      <c r="L898" s="18">
        <v>890844</v>
      </c>
      <c r="M898" s="18" t="s">
        <v>2575</v>
      </c>
      <c r="N898" s="16" t="s">
        <v>2007</v>
      </c>
      <c r="O898" s="18" t="s">
        <v>2576</v>
      </c>
      <c r="P898" s="18" t="s">
        <v>2307</v>
      </c>
      <c r="Q898" s="29" t="str" cm="1">
        <f t="array" ref="Q898">_xlfn.IFS(
A898="","",
AND(A898&lt;&gt;"",B898=""),"FALTA LANÇAMENTO",
AND(B898&lt;&gt;"",M898=""),"FALTA O PEDIDO",
AND(M898&lt;&gt;"",O898=""),"FALTA NF",
O898&lt;&gt;"","CONCLUÍDO")</f>
        <v>CONCLUÍDO</v>
      </c>
      <c r="R898" s="36"/>
    </row>
    <row r="899" spans="1:18" hidden="1">
      <c r="A899" s="16">
        <v>46094</v>
      </c>
      <c r="B899" s="16">
        <v>46121</v>
      </c>
      <c r="C899" s="21">
        <v>61521080</v>
      </c>
      <c r="D899" s="16" t="str">
        <f>IFERROR(VLOOKUP(Tabela5[[#This Row],[PREFIXO ]],Tabela4[#All],2,0),"CENTRO DE CUSTO")</f>
        <v>CAV MEC EXT PES VOLVO FH 540</v>
      </c>
      <c r="E899" s="18" t="s">
        <v>353</v>
      </c>
      <c r="F899" s="21">
        <v>1879422</v>
      </c>
      <c r="G899" s="22"/>
      <c r="H899" s="22">
        <v>8251</v>
      </c>
      <c r="I899" s="22">
        <f t="shared" si="15"/>
        <v>8251</v>
      </c>
      <c r="J899" s="18" t="s">
        <v>1199</v>
      </c>
      <c r="K899" s="18">
        <v>9822679</v>
      </c>
      <c r="L899" s="18" t="s">
        <v>1095</v>
      </c>
      <c r="M899" s="18" t="s">
        <v>1095</v>
      </c>
      <c r="N899" s="16" t="s">
        <v>1095</v>
      </c>
      <c r="O899" s="18" t="s">
        <v>1095</v>
      </c>
      <c r="P899" s="18" t="s">
        <v>1095</v>
      </c>
      <c r="Q899" s="29" t="str" cm="1">
        <f t="array" ref="Q899">_xlfn.IFS(
A899="","",
AND(A899&lt;&gt;"",B899=""),"FALTA LANÇAMENTO",
AND(B899&lt;&gt;"",M899=""),"FALTA O PEDIDO",
AND(M899&lt;&gt;"",O899=""),"FALTA NF",
O899&lt;&gt;"","CONCLUÍDO")</f>
        <v>CONCLUÍDO</v>
      </c>
      <c r="R899" s="36"/>
    </row>
    <row r="900" spans="1:18" hidden="1">
      <c r="A900" s="16">
        <v>46094</v>
      </c>
      <c r="B900" s="16">
        <v>46136</v>
      </c>
      <c r="C900" s="21" t="s">
        <v>1134</v>
      </c>
      <c r="D900" s="16" t="str">
        <f>IFERROR(VLOOKUP(Tabela5[[#This Row],[PREFIXO ]],Tabela4[#All],2,0),"CENTRO DE CUSTO")</f>
        <v>CENTRO DE CUSTO</v>
      </c>
      <c r="E900" s="18" t="s">
        <v>218</v>
      </c>
      <c r="F900" s="21">
        <v>26501</v>
      </c>
      <c r="G900" s="22">
        <v>17777.5</v>
      </c>
      <c r="H900" s="22">
        <v>6914.53</v>
      </c>
      <c r="I900" s="22">
        <f t="shared" si="15"/>
        <v>24692.03</v>
      </c>
      <c r="J900" s="18" t="s">
        <v>1113</v>
      </c>
      <c r="K900" s="18">
        <v>9826614</v>
      </c>
      <c r="L900" s="18">
        <v>913789</v>
      </c>
      <c r="M900" s="18" t="s">
        <v>2577</v>
      </c>
      <c r="N900" s="16" t="s">
        <v>2542</v>
      </c>
      <c r="O900" s="18" t="s">
        <v>2578</v>
      </c>
      <c r="P900" s="18" t="s">
        <v>2579</v>
      </c>
      <c r="Q900" s="29" t="str" cm="1">
        <f t="array" ref="Q900">_xlfn.IFS(
A900="","",
AND(A900&lt;&gt;"",B900=""),"FALTA LANÇAMENTO",
AND(B900&lt;&gt;"",M900=""),"FALTA O PEDIDO",
AND(M900&lt;&gt;"",O900=""),"FALTA NF",
O900&lt;&gt;"","CONCLUÍDO")</f>
        <v>CONCLUÍDO</v>
      </c>
      <c r="R900" s="36"/>
    </row>
    <row r="901" spans="1:18" hidden="1">
      <c r="A901" s="16">
        <v>46094</v>
      </c>
      <c r="B901" s="16">
        <v>46135</v>
      </c>
      <c r="C901" s="21" t="s">
        <v>1134</v>
      </c>
      <c r="D901" s="16" t="str">
        <f>IFERROR(VLOOKUP(Tabela5[[#This Row],[PREFIXO ]],Tabela4[#All],2,0),"CENTRO DE CUSTO")</f>
        <v>CENTRO DE CUSTO</v>
      </c>
      <c r="E901" s="18" t="s">
        <v>218</v>
      </c>
      <c r="F901" s="21">
        <v>26545</v>
      </c>
      <c r="G901" s="22">
        <v>11932.5</v>
      </c>
      <c r="H901" s="22">
        <v>3620.51</v>
      </c>
      <c r="I901" s="22">
        <f t="shared" si="15"/>
        <v>15553.01</v>
      </c>
      <c r="J901" s="18" t="s">
        <v>1113</v>
      </c>
      <c r="K901" s="18">
        <v>9826618</v>
      </c>
      <c r="L901" s="18">
        <v>915331</v>
      </c>
      <c r="M901" s="18" t="s">
        <v>2580</v>
      </c>
      <c r="N901" s="16" t="s">
        <v>2581</v>
      </c>
      <c r="O901" s="18" t="s">
        <v>2582</v>
      </c>
      <c r="P901" s="18" t="s">
        <v>2583</v>
      </c>
      <c r="Q901" s="29" t="str" cm="1">
        <f t="array" ref="Q901">_xlfn.IFS(
A901="","",
AND(A901&lt;&gt;"",B901=""),"FALTA LANÇAMENTO",
AND(B901&lt;&gt;"",M901=""),"FALTA O PEDIDO",
AND(M901&lt;&gt;"",O901=""),"FALTA NF",
O901&lt;&gt;"","CONCLUÍDO")</f>
        <v>CONCLUÍDO</v>
      </c>
      <c r="R901" s="36"/>
    </row>
    <row r="902" spans="1:18" hidden="1">
      <c r="A902" s="16">
        <v>46094</v>
      </c>
      <c r="B902" s="16">
        <v>46125</v>
      </c>
      <c r="C902" s="21" t="s">
        <v>1134</v>
      </c>
      <c r="D902" s="16" t="str">
        <f>IFERROR(VLOOKUP(Tabela5[[#This Row],[PREFIXO ]],Tabela4[#All],2,0),"CENTRO DE CUSTO")</f>
        <v>CENTRO DE CUSTO</v>
      </c>
      <c r="E902" s="18" t="s">
        <v>218</v>
      </c>
      <c r="F902" s="21">
        <v>26571</v>
      </c>
      <c r="G902" s="22">
        <v>5845</v>
      </c>
      <c r="H902" s="22">
        <v>779.81</v>
      </c>
      <c r="I902" s="22">
        <f t="shared" si="15"/>
        <v>6624.8099999999995</v>
      </c>
      <c r="J902" s="18" t="s">
        <v>1113</v>
      </c>
      <c r="K902" s="18">
        <v>9826617</v>
      </c>
      <c r="L902" s="18">
        <v>893455</v>
      </c>
      <c r="M902" s="18" t="s">
        <v>2584</v>
      </c>
      <c r="N902" s="16" t="s">
        <v>2585</v>
      </c>
      <c r="O902" s="18" t="s">
        <v>2586</v>
      </c>
      <c r="P902" s="18" t="s">
        <v>2587</v>
      </c>
      <c r="Q902" s="29" t="str" cm="1">
        <f t="array" ref="Q902">_xlfn.IFS(
A902="","",
AND(A902&lt;&gt;"",B902=""),"FALTA LANÇAMENTO",
AND(B902&lt;&gt;"",M902=""),"FALTA O PEDIDO",
AND(M902&lt;&gt;"",O902=""),"FALTA NF",
O902&lt;&gt;"","CONCLUÍDO")</f>
        <v>CONCLUÍDO</v>
      </c>
      <c r="R902" s="36"/>
    </row>
    <row r="903" spans="1:18" hidden="1">
      <c r="A903" s="16">
        <v>46094</v>
      </c>
      <c r="B903" s="16">
        <v>46125</v>
      </c>
      <c r="C903" s="21" t="s">
        <v>1134</v>
      </c>
      <c r="D903" s="16" t="str">
        <f>IFERROR(VLOOKUP(Tabela5[[#This Row],[PREFIXO ]],Tabela4[#All],2,0),"CENTRO DE CUSTO")</f>
        <v>CENTRO DE CUSTO</v>
      </c>
      <c r="E903" s="18" t="s">
        <v>218</v>
      </c>
      <c r="F903" s="21">
        <v>26570</v>
      </c>
      <c r="G903" s="22">
        <v>2980</v>
      </c>
      <c r="H903" s="22"/>
      <c r="I903" s="22">
        <f t="shared" si="15"/>
        <v>2980</v>
      </c>
      <c r="J903" s="18" t="s">
        <v>1113</v>
      </c>
      <c r="K903" s="18">
        <v>9826616</v>
      </c>
      <c r="L903" s="18">
        <v>905308</v>
      </c>
      <c r="M903" s="18" t="s">
        <v>2588</v>
      </c>
      <c r="N903" s="16" t="s">
        <v>2585</v>
      </c>
      <c r="O903" s="18" t="s">
        <v>2589</v>
      </c>
      <c r="P903" s="18" t="s">
        <v>2590</v>
      </c>
      <c r="Q903" s="29" t="str" cm="1">
        <f t="array" ref="Q903">_xlfn.IFS(
A903="","",
AND(A903&lt;&gt;"",B903=""),"FALTA LANÇAMENTO",
AND(B903&lt;&gt;"",M903=""),"FALTA O PEDIDO",
AND(M903&lt;&gt;"",O903=""),"FALTA NF",
O903&lt;&gt;"","CONCLUÍDO")</f>
        <v>CONCLUÍDO</v>
      </c>
      <c r="R903" s="36"/>
    </row>
    <row r="904" spans="1:18" hidden="1">
      <c r="A904" s="16">
        <v>46094</v>
      </c>
      <c r="B904" s="16">
        <v>46100</v>
      </c>
      <c r="C904" s="21">
        <v>500580579</v>
      </c>
      <c r="D904" s="16" t="str">
        <f>IFERROR(VLOOKUP(Tabela5[[#This Row],[PREFIXO ]],Tabela4[#All],2,0),"CENTRO DE CUSTO")</f>
        <v>Pátio de Vendas</v>
      </c>
      <c r="E904" s="18" t="s">
        <v>224</v>
      </c>
      <c r="F904" s="21">
        <v>2570</v>
      </c>
      <c r="G904" s="22">
        <v>3975</v>
      </c>
      <c r="H904" s="22"/>
      <c r="I904" s="22">
        <f t="shared" si="15"/>
        <v>3975</v>
      </c>
      <c r="J904" s="18" t="s">
        <v>1251</v>
      </c>
      <c r="K904" s="18">
        <v>5019890</v>
      </c>
      <c r="L904" s="18" t="s">
        <v>1095</v>
      </c>
      <c r="M904" s="18" t="s">
        <v>1095</v>
      </c>
      <c r="N904" s="16" t="s">
        <v>1095</v>
      </c>
      <c r="O904" s="18" t="s">
        <v>1095</v>
      </c>
      <c r="P904" s="18" t="s">
        <v>1095</v>
      </c>
      <c r="Q904" s="29" t="str" cm="1">
        <f t="array" ref="Q904">_xlfn.IFS(
A904="","",
AND(A904&lt;&gt;"",B904=""),"FALTA LANÇAMENTO",
AND(B904&lt;&gt;"",M904=""),"FALTA O PEDIDO",
AND(M904&lt;&gt;"",O904=""),"FALTA NF",
O904&lt;&gt;"","CONCLUÍDO")</f>
        <v>CONCLUÍDO</v>
      </c>
      <c r="R904" s="36"/>
    </row>
    <row r="905" spans="1:18" hidden="1">
      <c r="A905" s="16">
        <v>46094</v>
      </c>
      <c r="B905" s="16">
        <v>46100</v>
      </c>
      <c r="C905" s="21">
        <v>500580579</v>
      </c>
      <c r="D905" s="16" t="str">
        <f>IFERROR(VLOOKUP(Tabela5[[#This Row],[PREFIXO ]],Tabela4[#All],2,0),"CENTRO DE CUSTO")</f>
        <v>Pátio de Vendas</v>
      </c>
      <c r="E905" s="18" t="s">
        <v>224</v>
      </c>
      <c r="F905" s="21">
        <v>2571</v>
      </c>
      <c r="G905" s="22">
        <v>2325</v>
      </c>
      <c r="H905" s="22"/>
      <c r="I905" s="22">
        <f t="shared" si="15"/>
        <v>2325</v>
      </c>
      <c r="J905" s="18" t="s">
        <v>1251</v>
      </c>
      <c r="K905" s="18">
        <v>5019890</v>
      </c>
      <c r="L905" s="18" t="s">
        <v>1095</v>
      </c>
      <c r="M905" s="18" t="s">
        <v>1095</v>
      </c>
      <c r="N905" s="16" t="s">
        <v>1095</v>
      </c>
      <c r="O905" s="18" t="s">
        <v>1095</v>
      </c>
      <c r="P905" s="18" t="s">
        <v>1095</v>
      </c>
      <c r="Q905" s="29" t="str" cm="1">
        <f t="array" ref="Q905">_xlfn.IFS(
A905="","",
AND(A905&lt;&gt;"",B905=""),"FALTA LANÇAMENTO",
AND(B905&lt;&gt;"",M905=""),"FALTA O PEDIDO",
AND(M905&lt;&gt;"",O905=""),"FALTA NF",
O905&lt;&gt;"","CONCLUÍDO")</f>
        <v>CONCLUÍDO</v>
      </c>
      <c r="R905" s="36"/>
    </row>
    <row r="906" spans="1:18" hidden="1">
      <c r="A906" s="16">
        <v>46094</v>
      </c>
      <c r="B906" s="16">
        <v>46094</v>
      </c>
      <c r="C906" s="21">
        <v>22030049</v>
      </c>
      <c r="D906" s="16" t="str">
        <f>IFERROR(VLOOKUP(Tabela5[[#This Row],[PREFIXO ]],Tabela4[#All],2,0),"CENTRO DE CUSTO")</f>
        <v>AUTOMOVEL FIAT STRADA FREEDOM CD13</v>
      </c>
      <c r="E906" s="18" t="s">
        <v>356</v>
      </c>
      <c r="F906" s="21">
        <v>7242</v>
      </c>
      <c r="G906" s="22">
        <v>20</v>
      </c>
      <c r="H906" s="22">
        <v>148.5</v>
      </c>
      <c r="I906" s="22">
        <f t="shared" si="15"/>
        <v>168.5</v>
      </c>
      <c r="J906" s="18" t="s">
        <v>1199</v>
      </c>
      <c r="K906" s="18">
        <v>9798993</v>
      </c>
      <c r="L906" s="18">
        <v>882759</v>
      </c>
      <c r="M906" s="18" t="s">
        <v>2591</v>
      </c>
      <c r="N906" s="16" t="s">
        <v>2268</v>
      </c>
      <c r="O906" s="18" t="s">
        <v>2592</v>
      </c>
      <c r="P906" s="18" t="s">
        <v>2593</v>
      </c>
      <c r="Q906" s="29" t="str" cm="1">
        <f t="array" ref="Q906">_xlfn.IFS(
A906="","",
AND(A906&lt;&gt;"",B906=""),"FALTA LANÇAMENTO",
AND(B906&lt;&gt;"",M906=""),"FALTA O PEDIDO",
AND(M906&lt;&gt;"",O906=""),"FALTA NF",
O906&lt;&gt;"","CONCLUÍDO")</f>
        <v>CONCLUÍDO</v>
      </c>
      <c r="R906" s="36"/>
    </row>
    <row r="907" spans="1:18" hidden="1">
      <c r="A907" s="16">
        <v>46094</v>
      </c>
      <c r="B907" s="16">
        <v>46119</v>
      </c>
      <c r="C907" s="21">
        <v>1151027</v>
      </c>
      <c r="D907" s="16" t="str">
        <f>IFERROR(VLOOKUP(Tabela5[[#This Row],[PREFIXO ]],Tabela4[#All],2,0),"CENTRO DE CUSTO")</f>
        <v>TRAT PN MED M FERGUSON MF 292</v>
      </c>
      <c r="E907" s="18" t="s">
        <v>347</v>
      </c>
      <c r="F907" s="21">
        <v>1017</v>
      </c>
      <c r="G907" s="22">
        <v>18776</v>
      </c>
      <c r="H907" s="22">
        <v>34303</v>
      </c>
      <c r="I907" s="22">
        <f t="shared" si="15"/>
        <v>53079</v>
      </c>
      <c r="J907" s="18" t="s">
        <v>1199</v>
      </c>
      <c r="K907" s="18">
        <v>9804066</v>
      </c>
      <c r="L907" s="18">
        <v>896937</v>
      </c>
      <c r="M907" s="18" t="s">
        <v>2594</v>
      </c>
      <c r="N907" s="16" t="s">
        <v>2595</v>
      </c>
      <c r="O907" s="18" t="s">
        <v>2596</v>
      </c>
      <c r="P907" s="18" t="s">
        <v>2597</v>
      </c>
      <c r="Q907" s="29" t="str" cm="1">
        <f t="array" ref="Q907">_xlfn.IFS(
A907="","",
AND(A907&lt;&gt;"",B907=""),"FALTA LANÇAMENTO",
AND(B907&lt;&gt;"",M907=""),"FALTA O PEDIDO",
AND(M907&lt;&gt;"",O907=""),"FALTA NF",
O907&lt;&gt;"","CONCLUÍDO")</f>
        <v>CONCLUÍDO</v>
      </c>
      <c r="R907" s="36"/>
    </row>
    <row r="908" spans="1:18" hidden="1">
      <c r="A908" s="16">
        <v>46094</v>
      </c>
      <c r="B908" s="16">
        <v>46101</v>
      </c>
      <c r="C908" s="21">
        <v>12060004</v>
      </c>
      <c r="D908" s="16" t="str">
        <f>IFERROR(VLOOKUP(Tabela5[[#This Row],[PREFIXO ]],Tabela4[#All],2,0),"CENTRO DE CUSTO")</f>
        <v>ONIB RODOVIÁRIO MARCOPOLO NEOBUS MEGA</v>
      </c>
      <c r="E908" s="18" t="s">
        <v>347</v>
      </c>
      <c r="F908" s="21">
        <v>1049</v>
      </c>
      <c r="G908" s="22">
        <v>7365</v>
      </c>
      <c r="H908" s="22">
        <v>24826.2</v>
      </c>
      <c r="I908" s="22">
        <f t="shared" si="15"/>
        <v>32191.200000000001</v>
      </c>
      <c r="J908" s="18" t="s">
        <v>1199</v>
      </c>
      <c r="K908" s="18">
        <v>9804063</v>
      </c>
      <c r="L908" s="18">
        <v>891413</v>
      </c>
      <c r="M908" s="18" t="s">
        <v>2598</v>
      </c>
      <c r="N908" s="16" t="s">
        <v>2502</v>
      </c>
      <c r="O908" s="18" t="s">
        <v>2599</v>
      </c>
      <c r="P908" s="18" t="s">
        <v>2600</v>
      </c>
      <c r="Q908" s="29" t="str" cm="1">
        <f t="array" ref="Q908">_xlfn.IFS(
A908="","",
AND(A908&lt;&gt;"",B908=""),"FALTA LANÇAMENTO",
AND(B908&lt;&gt;"",M908=""),"FALTA O PEDIDO",
AND(M908&lt;&gt;"",O908=""),"FALTA NF",
O908&lt;&gt;"","CONCLUÍDO")</f>
        <v>CONCLUÍDO</v>
      </c>
      <c r="R908" s="36"/>
    </row>
    <row r="909" spans="1:18" hidden="1">
      <c r="A909" s="16">
        <v>46094</v>
      </c>
      <c r="B909" s="16">
        <v>46101</v>
      </c>
      <c r="C909" s="21" t="s">
        <v>2601</v>
      </c>
      <c r="D909" s="16" t="str">
        <f>IFERROR(VLOOKUP(Tabela5[[#This Row],[PREFIXO ]],Tabela4[#All],2,0),"CENTRO DE CUSTO")</f>
        <v>CENTRO DE CUSTO</v>
      </c>
      <c r="E909" s="18" t="s">
        <v>249</v>
      </c>
      <c r="F909" s="21">
        <v>229</v>
      </c>
      <c r="G909" s="22">
        <v>7527.11</v>
      </c>
      <c r="H909" s="22"/>
      <c r="I909" s="22">
        <f t="shared" si="15"/>
        <v>7527.11</v>
      </c>
      <c r="J909" s="18" t="s">
        <v>1199</v>
      </c>
      <c r="K909" s="18" t="s">
        <v>2602</v>
      </c>
      <c r="L909" s="18">
        <v>891676</v>
      </c>
      <c r="M909" s="18" t="s">
        <v>2603</v>
      </c>
      <c r="N909" s="16" t="s">
        <v>2502</v>
      </c>
      <c r="O909" s="18" t="s">
        <v>1857</v>
      </c>
      <c r="P909" s="18" t="s">
        <v>2307</v>
      </c>
      <c r="Q909" s="29" t="str" cm="1">
        <f t="array" ref="Q909">_xlfn.IFS(
A909="","",
AND(A909&lt;&gt;"",B909=""),"FALTA LANÇAMENTO",
AND(B909&lt;&gt;"",M909=""),"FALTA O PEDIDO",
AND(M909&lt;&gt;"",O909=""),"FALTA NF",
O909&lt;&gt;"","CONCLUÍDO")</f>
        <v>CONCLUÍDO</v>
      </c>
      <c r="R909" s="36"/>
    </row>
    <row r="910" spans="1:18" hidden="1">
      <c r="A910" s="16">
        <v>46094</v>
      </c>
      <c r="B910" s="16">
        <v>46099</v>
      </c>
      <c r="C910" s="21" t="s">
        <v>1134</v>
      </c>
      <c r="D910" s="16" t="str">
        <f>IFERROR(VLOOKUP(Tabela5[[#This Row],[PREFIXO ]],Tabela4[#All],2,0),"CENTRO DE CUSTO")</f>
        <v>CENTRO DE CUSTO</v>
      </c>
      <c r="E910" s="18" t="s">
        <v>249</v>
      </c>
      <c r="F910" s="21" t="s">
        <v>1134</v>
      </c>
      <c r="G910" s="22">
        <v>3350</v>
      </c>
      <c r="H910" s="22"/>
      <c r="I910" s="22">
        <f t="shared" si="15"/>
        <v>3350</v>
      </c>
      <c r="J910" s="18" t="s">
        <v>1199</v>
      </c>
      <c r="K910" s="18" t="s">
        <v>1134</v>
      </c>
      <c r="L910" s="18" t="s">
        <v>1095</v>
      </c>
      <c r="M910" s="18" t="s">
        <v>1095</v>
      </c>
      <c r="N910" s="16" t="s">
        <v>1095</v>
      </c>
      <c r="O910" s="18" t="s">
        <v>1095</v>
      </c>
      <c r="P910" s="18" t="s">
        <v>1095</v>
      </c>
      <c r="Q910" s="29" t="str" cm="1">
        <f t="array" ref="Q910">_xlfn.IFS(
A910="","",
AND(A910&lt;&gt;"",B910=""),"FALTA LANÇAMENTO",
AND(B910&lt;&gt;"",M910=""),"FALTA O PEDIDO",
AND(M910&lt;&gt;"",O910=""),"FALTA NF",
O910&lt;&gt;"","CONCLUÍDO")</f>
        <v>CONCLUÍDO</v>
      </c>
      <c r="R910" s="36"/>
    </row>
    <row r="911" spans="1:18" hidden="1">
      <c r="A911" s="16">
        <v>46094</v>
      </c>
      <c r="B911" s="16">
        <v>46099</v>
      </c>
      <c r="C911" s="21">
        <v>500580100</v>
      </c>
      <c r="D911" s="16" t="str">
        <f>IFERROR(VLOOKUP(Tabela5[[#This Row],[PREFIXO ]],Tabela4[#All],2,0),"CENTRO DE CUSTO")</f>
        <v>Autopropelidos</v>
      </c>
      <c r="E911" s="18" t="s">
        <v>249</v>
      </c>
      <c r="F911" s="21">
        <v>228</v>
      </c>
      <c r="G911" s="22">
        <v>2625</v>
      </c>
      <c r="H911" s="22"/>
      <c r="I911" s="22">
        <f t="shared" si="15"/>
        <v>2625</v>
      </c>
      <c r="J911" s="18" t="s">
        <v>1265</v>
      </c>
      <c r="K911" s="18" t="s">
        <v>1134</v>
      </c>
      <c r="L911" s="18" t="s">
        <v>1095</v>
      </c>
      <c r="M911" s="18" t="s">
        <v>1095</v>
      </c>
      <c r="N911" s="16" t="s">
        <v>1095</v>
      </c>
      <c r="O911" s="18" t="s">
        <v>1095</v>
      </c>
      <c r="P911" s="18" t="s">
        <v>1095</v>
      </c>
      <c r="Q911" s="29" t="str" cm="1">
        <f t="array" ref="Q911">_xlfn.IFS(
A911="","",
AND(A911&lt;&gt;"",B911=""),"FALTA LANÇAMENTO",
AND(B911&lt;&gt;"",M911=""),"FALTA O PEDIDO",
AND(M911&lt;&gt;"",O911=""),"FALTA NF",
O911&lt;&gt;"","CONCLUÍDO")</f>
        <v>CONCLUÍDO</v>
      </c>
      <c r="R911" s="36"/>
    </row>
    <row r="912" spans="1:18" hidden="1">
      <c r="A912" s="16">
        <v>46094</v>
      </c>
      <c r="B912" s="16">
        <v>46094</v>
      </c>
      <c r="C912" s="21">
        <v>61521083</v>
      </c>
      <c r="D912" s="16" t="str">
        <f>IFERROR(VLOOKUP(Tabela5[[#This Row],[PREFIXO ]],Tabela4[#All],2,0),"CENTRO DE CUSTO")</f>
        <v>CAM COMBOIO VOLVO VM 330</v>
      </c>
      <c r="E912" s="18" t="s">
        <v>250</v>
      </c>
      <c r="F912" s="21">
        <v>40059</v>
      </c>
      <c r="G912" s="22">
        <v>170</v>
      </c>
      <c r="H912" s="22">
        <v>154.63999999999999</v>
      </c>
      <c r="I912" s="22">
        <f t="shared" si="15"/>
        <v>324.64</v>
      </c>
      <c r="J912" s="18" t="s">
        <v>1199</v>
      </c>
      <c r="K912" s="18">
        <v>9796127</v>
      </c>
      <c r="L912" s="18">
        <v>885948</v>
      </c>
      <c r="M912" s="18" t="s">
        <v>2604</v>
      </c>
      <c r="N912" s="16" t="s">
        <v>2268</v>
      </c>
      <c r="O912" s="18" t="s">
        <v>2605</v>
      </c>
      <c r="P912" s="18" t="s">
        <v>2471</v>
      </c>
      <c r="Q912" s="29" t="str" cm="1">
        <f t="array" ref="Q912">_xlfn.IFS(
A912="","",
AND(A912&lt;&gt;"",B912=""),"FALTA LANÇAMENTO",
AND(B912&lt;&gt;"",M912=""),"FALTA O PEDIDO",
AND(M912&lt;&gt;"",O912=""),"FALTA NF",
O912&lt;&gt;"","CONCLUÍDO")</f>
        <v>CONCLUÍDO</v>
      </c>
      <c r="R912" s="36"/>
    </row>
    <row r="913" spans="1:18" hidden="1">
      <c r="A913" s="16">
        <v>46094</v>
      </c>
      <c r="B913" s="16">
        <v>46101</v>
      </c>
      <c r="C913" s="21">
        <v>15048015</v>
      </c>
      <c r="D913" s="16" t="str">
        <f>IFERROR(VLOOKUP(Tabela5[[#This Row],[PREFIXO ]],Tabela4[#All],2,0),"CENTRO DE CUSTO")</f>
        <v>TRAT PN EXT PES FENDT VARIO 1050</v>
      </c>
      <c r="E913" s="18" t="s">
        <v>259</v>
      </c>
      <c r="F913" s="21" t="s">
        <v>2606</v>
      </c>
      <c r="G913" s="22">
        <v>463.93</v>
      </c>
      <c r="H913" s="22">
        <v>12334.53</v>
      </c>
      <c r="I913" s="22">
        <f t="shared" si="15"/>
        <v>12798.460000000001</v>
      </c>
      <c r="J913" s="18" t="s">
        <v>1199</v>
      </c>
      <c r="K913" s="18">
        <v>9804061</v>
      </c>
      <c r="L913" s="18">
        <v>891168</v>
      </c>
      <c r="M913" s="18" t="s">
        <v>2607</v>
      </c>
      <c r="N913" s="16" t="s">
        <v>2502</v>
      </c>
      <c r="O913" s="18" t="s">
        <v>2608</v>
      </c>
      <c r="P913" s="18" t="s">
        <v>2609</v>
      </c>
      <c r="Q913" s="29" t="str" cm="1">
        <f t="array" ref="Q913">_xlfn.IFS(
A913="","",
AND(A913&lt;&gt;"",B913=""),"FALTA LANÇAMENTO",
AND(B913&lt;&gt;"",M913=""),"FALTA O PEDIDO",
AND(M913&lt;&gt;"",O913=""),"FALTA NF",
O913&lt;&gt;"","CONCLUÍDO")</f>
        <v>CONCLUÍDO</v>
      </c>
      <c r="R913" s="36"/>
    </row>
    <row r="914" spans="1:18" hidden="1">
      <c r="A914" s="16">
        <v>46094</v>
      </c>
      <c r="B914" s="16">
        <v>46101</v>
      </c>
      <c r="C914" s="21">
        <v>15048016</v>
      </c>
      <c r="D914" s="16" t="str">
        <f>IFERROR(VLOOKUP(Tabela5[[#This Row],[PREFIXO ]],Tabela4[#All],2,0),"CENTRO DE CUSTO")</f>
        <v>TRAT PN EXT PES FENDT VARIO 1050</v>
      </c>
      <c r="E914" s="18" t="s">
        <v>259</v>
      </c>
      <c r="F914" s="21" t="s">
        <v>2610</v>
      </c>
      <c r="G914" s="22">
        <v>532.36</v>
      </c>
      <c r="H914" s="22">
        <v>4175.38</v>
      </c>
      <c r="I914" s="22">
        <f t="shared" si="15"/>
        <v>4707.74</v>
      </c>
      <c r="J914" s="18" t="s">
        <v>1199</v>
      </c>
      <c r="K914" s="18">
        <v>5019897</v>
      </c>
      <c r="L914" s="18">
        <v>891462</v>
      </c>
      <c r="M914" s="18" t="s">
        <v>2611</v>
      </c>
      <c r="N914" s="16" t="s">
        <v>2502</v>
      </c>
      <c r="O914" s="18" t="s">
        <v>2612</v>
      </c>
      <c r="P914" s="18" t="s">
        <v>2300</v>
      </c>
      <c r="Q914" s="29" t="str" cm="1">
        <f t="array" ref="Q914">_xlfn.IFS(
A914="","",
AND(A914&lt;&gt;"",B914=""),"FALTA LANÇAMENTO",
AND(B914&lt;&gt;"",M914=""),"FALTA O PEDIDO",
AND(M914&lt;&gt;"",O914=""),"FALTA NF",
O914&lt;&gt;"","CONCLUÍDO")</f>
        <v>CONCLUÍDO</v>
      </c>
      <c r="R914" s="36"/>
    </row>
    <row r="915" spans="1:18" hidden="1">
      <c r="A915" s="16">
        <v>46094</v>
      </c>
      <c r="B915" s="16">
        <v>46100</v>
      </c>
      <c r="C915" s="21">
        <v>500580076</v>
      </c>
      <c r="D915" s="16" t="str">
        <f>IFERROR(VLOOKUP(Tabela5[[#This Row],[PREFIXO ]],Tabela4[#All],2,0),"CENTRO DE CUSTO")</f>
        <v>Cavalo Mec. Pesado</v>
      </c>
      <c r="E915" s="18" t="s">
        <v>129</v>
      </c>
      <c r="F915" s="21">
        <v>178</v>
      </c>
      <c r="G915" s="22">
        <v>2350</v>
      </c>
      <c r="H915" s="22"/>
      <c r="I915" s="22">
        <f t="shared" si="15"/>
        <v>2350</v>
      </c>
      <c r="J915" s="18" t="s">
        <v>1199</v>
      </c>
      <c r="K915" s="18">
        <v>5019893</v>
      </c>
      <c r="L915" s="18" t="s">
        <v>1095</v>
      </c>
      <c r="M915" s="18" t="s">
        <v>1095</v>
      </c>
      <c r="N915" s="16" t="s">
        <v>1095</v>
      </c>
      <c r="O915" s="18" t="s">
        <v>1095</v>
      </c>
      <c r="P915" s="18" t="s">
        <v>1095</v>
      </c>
      <c r="Q915" s="29" t="str" cm="1">
        <f t="array" ref="Q915">_xlfn.IFS(
A915="","",
AND(A915&lt;&gt;"",B915=""),"FALTA LANÇAMENTO",
AND(B915&lt;&gt;"",M915=""),"FALTA O PEDIDO",
AND(M915&lt;&gt;"",O915=""),"FALTA NF",
O915&lt;&gt;"","CONCLUÍDO")</f>
        <v>CONCLUÍDO</v>
      </c>
      <c r="R915" s="36"/>
    </row>
    <row r="916" spans="1:18" hidden="1">
      <c r="A916" s="16">
        <v>46094</v>
      </c>
      <c r="B916" s="16">
        <v>46100</v>
      </c>
      <c r="C916" s="21">
        <v>500580076</v>
      </c>
      <c r="D916" s="16" t="str">
        <f>IFERROR(VLOOKUP(Tabela5[[#This Row],[PREFIXO ]],Tabela4[#All],2,0),"CENTRO DE CUSTO")</f>
        <v>Cavalo Mec. Pesado</v>
      </c>
      <c r="E916" s="18" t="s">
        <v>129</v>
      </c>
      <c r="F916" s="21">
        <v>185</v>
      </c>
      <c r="G916" s="22"/>
      <c r="H916" s="22">
        <v>1200</v>
      </c>
      <c r="I916" s="22">
        <f t="shared" si="15"/>
        <v>1200</v>
      </c>
      <c r="J916" s="18" t="s">
        <v>1199</v>
      </c>
      <c r="K916" s="18">
        <v>5019894</v>
      </c>
      <c r="L916" s="18" t="s">
        <v>1095</v>
      </c>
      <c r="M916" s="18" t="s">
        <v>1095</v>
      </c>
      <c r="N916" s="16" t="s">
        <v>1095</v>
      </c>
      <c r="O916" s="18" t="s">
        <v>1095</v>
      </c>
      <c r="P916" s="18" t="s">
        <v>1095</v>
      </c>
      <c r="Q916" s="29" t="str" cm="1">
        <f t="array" ref="Q916">_xlfn.IFS(
A916="","",
AND(A916&lt;&gt;"",B916=""),"FALTA LANÇAMENTO",
AND(B916&lt;&gt;"",M916=""),"FALTA O PEDIDO",
AND(M916&lt;&gt;"",O916=""),"FALTA NF",
O916&lt;&gt;"","CONCLUÍDO")</f>
        <v>CONCLUÍDO</v>
      </c>
      <c r="R916" s="36"/>
    </row>
    <row r="917" spans="1:18" hidden="1">
      <c r="A917" s="16">
        <v>46094</v>
      </c>
      <c r="B917" s="16">
        <v>46100</v>
      </c>
      <c r="C917" s="21">
        <v>500580076</v>
      </c>
      <c r="D917" s="16" t="str">
        <f>IFERROR(VLOOKUP(Tabela5[[#This Row],[PREFIXO ]],Tabela4[#All],2,0),"CENTRO DE CUSTO")</f>
        <v>Cavalo Mec. Pesado</v>
      </c>
      <c r="E917" s="18" t="s">
        <v>129</v>
      </c>
      <c r="F917" s="21">
        <v>181</v>
      </c>
      <c r="G917" s="22"/>
      <c r="H917" s="22">
        <v>450</v>
      </c>
      <c r="I917" s="22">
        <f t="shared" si="15"/>
        <v>450</v>
      </c>
      <c r="J917" s="18" t="s">
        <v>1199</v>
      </c>
      <c r="K917" s="18">
        <v>5019895</v>
      </c>
      <c r="L917" s="18" t="s">
        <v>1095</v>
      </c>
      <c r="M917" s="18" t="s">
        <v>1095</v>
      </c>
      <c r="N917" s="16" t="s">
        <v>1095</v>
      </c>
      <c r="O917" s="18" t="s">
        <v>1095</v>
      </c>
      <c r="P917" s="18" t="s">
        <v>1095</v>
      </c>
      <c r="Q917" s="29" t="str" cm="1">
        <f t="array" ref="Q917">_xlfn.IFS(
A917="","",
AND(A917&lt;&gt;"",B917=""),"FALTA LANÇAMENTO",
AND(B917&lt;&gt;"",M917=""),"FALTA O PEDIDO",
AND(M917&lt;&gt;"",O917=""),"FALTA NF",
O917&lt;&gt;"","CONCLUÍDO")</f>
        <v>CONCLUÍDO</v>
      </c>
      <c r="R917" s="36"/>
    </row>
    <row r="918" spans="1:18" hidden="1">
      <c r="A918" s="16">
        <v>46099</v>
      </c>
      <c r="B918" s="16">
        <v>46114</v>
      </c>
      <c r="C918" s="21">
        <v>18010001</v>
      </c>
      <c r="D918" s="16" t="str">
        <f>IFERROR(VLOOKUP(Tabela5[[#This Row],[PREFIXO ]],Tabela4[#All],2,0),"CENTRO DE CUSTO")</f>
        <v>AVIAO APLIC AGR AIR TRACT AT-802A</v>
      </c>
      <c r="E918" s="18" t="s">
        <v>13</v>
      </c>
      <c r="F918" s="21" t="s">
        <v>2613</v>
      </c>
      <c r="G918" s="22">
        <v>9750</v>
      </c>
      <c r="H918" s="22"/>
      <c r="I918" s="22">
        <f t="shared" si="15"/>
        <v>9750</v>
      </c>
      <c r="J918" s="18" t="s">
        <v>1251</v>
      </c>
      <c r="K918" s="18">
        <v>9814045</v>
      </c>
      <c r="L918" s="18">
        <v>900512</v>
      </c>
      <c r="M918" s="18" t="s">
        <v>2614</v>
      </c>
      <c r="N918" s="16" t="s">
        <v>2538</v>
      </c>
      <c r="O918" s="18" t="s">
        <v>2615</v>
      </c>
      <c r="P918" s="18" t="s">
        <v>2507</v>
      </c>
      <c r="Q918" s="29" t="str" cm="1">
        <f t="array" ref="Q918">_xlfn.IFS(
A918="","",
AND(A918&lt;&gt;"",B918=""),"FALTA LANÇAMENTO",
AND(B918&lt;&gt;"",M918=""),"FALTA O PEDIDO",
AND(M918&lt;&gt;"",O918=""),"FALTA NF",
O918&lt;&gt;"","CONCLUÍDO")</f>
        <v>CONCLUÍDO</v>
      </c>
      <c r="R918" s="36"/>
    </row>
    <row r="919" spans="1:18" hidden="1">
      <c r="A919" s="16">
        <v>46099</v>
      </c>
      <c r="B919" s="16">
        <v>46114</v>
      </c>
      <c r="C919" s="21">
        <v>18010002</v>
      </c>
      <c r="D919" s="16" t="str">
        <f>IFERROR(VLOOKUP(Tabela5[[#This Row],[PREFIXO ]],Tabela4[#All],2,0),"CENTRO DE CUSTO")</f>
        <v>AVIAO APLIC AGR AIR TRACT AT-802A</v>
      </c>
      <c r="E919" s="18" t="s">
        <v>13</v>
      </c>
      <c r="F919" s="21" t="s">
        <v>2616</v>
      </c>
      <c r="G919" s="22">
        <v>3050</v>
      </c>
      <c r="H919" s="22"/>
      <c r="I919" s="22">
        <f t="shared" si="15"/>
        <v>3050</v>
      </c>
      <c r="J919" s="18" t="s">
        <v>1251</v>
      </c>
      <c r="K919" s="18">
        <v>9814047</v>
      </c>
      <c r="L919" s="18">
        <v>900512</v>
      </c>
      <c r="M919" s="18" t="s">
        <v>2614</v>
      </c>
      <c r="N919" s="16" t="s">
        <v>2538</v>
      </c>
      <c r="O919" s="18" t="s">
        <v>2615</v>
      </c>
      <c r="P919" s="18" t="s">
        <v>2507</v>
      </c>
      <c r="Q919" s="29" t="str" cm="1">
        <f t="array" ref="Q919">_xlfn.IFS(
A919="","",
AND(A919&lt;&gt;"",B919=""),"FALTA LANÇAMENTO",
AND(B919&lt;&gt;"",M919=""),"FALTA O PEDIDO",
AND(M919&lt;&gt;"",O919=""),"FALTA NF",
O919&lt;&gt;"","CONCLUÍDO")</f>
        <v>CONCLUÍDO</v>
      </c>
      <c r="R919" s="36"/>
    </row>
    <row r="920" spans="1:18" hidden="1">
      <c r="A920" s="16">
        <v>46099</v>
      </c>
      <c r="B920" s="16">
        <v>46121</v>
      </c>
      <c r="C920" s="21">
        <v>51521064</v>
      </c>
      <c r="D920" s="16" t="str">
        <f>IFERROR(VLOOKUP(Tabela5[[#This Row],[PREFIXO ]],Tabela4[#All],2,0),"CENTRO DE CUSTO")</f>
        <v>COLHED ALGODÃO JOHN DEERE CP 690</v>
      </c>
      <c r="E920" s="18" t="s">
        <v>16</v>
      </c>
      <c r="F920" s="21">
        <v>455</v>
      </c>
      <c r="G920" s="22">
        <v>29920</v>
      </c>
      <c r="H920" s="22"/>
      <c r="I920" s="22">
        <f t="shared" si="15"/>
        <v>29920</v>
      </c>
      <c r="J920" s="18" t="s">
        <v>1113</v>
      </c>
      <c r="K920" s="18">
        <v>9817226</v>
      </c>
      <c r="L920" s="18">
        <v>905358</v>
      </c>
      <c r="M920" s="18" t="s">
        <v>2617</v>
      </c>
      <c r="N920" s="16" t="s">
        <v>2585</v>
      </c>
      <c r="O920" s="18" t="s">
        <v>2618</v>
      </c>
      <c r="P920" s="18" t="s">
        <v>2619</v>
      </c>
      <c r="Q920" s="29" t="str" cm="1">
        <f t="array" ref="Q920">_xlfn.IFS(
A920="","",
AND(A920&lt;&gt;"",B920=""),"FALTA LANÇAMENTO",
AND(B920&lt;&gt;"",M920=""),"FALTA O PEDIDO",
AND(M920&lt;&gt;"",O920=""),"FALTA NF",
O920&lt;&gt;"","CONCLUÍDO")</f>
        <v>CONCLUÍDO</v>
      </c>
      <c r="R920" s="36"/>
    </row>
    <row r="921" spans="1:18" hidden="1">
      <c r="A921" s="16">
        <v>46099</v>
      </c>
      <c r="B921" s="16">
        <v>46121</v>
      </c>
      <c r="C921" s="21">
        <v>51521063</v>
      </c>
      <c r="D921" s="16" t="str">
        <f>IFERROR(VLOOKUP(Tabela5[[#This Row],[PREFIXO ]],Tabela4[#All],2,0),"CENTRO DE CUSTO")</f>
        <v>COLHED ALGODÃO JOHN DEERE CP 690</v>
      </c>
      <c r="E921" s="18" t="s">
        <v>16</v>
      </c>
      <c r="F921" s="21">
        <v>456</v>
      </c>
      <c r="G921" s="22">
        <v>29920</v>
      </c>
      <c r="H921" s="22"/>
      <c r="I921" s="22">
        <f t="shared" si="15"/>
        <v>29920</v>
      </c>
      <c r="J921" s="18" t="s">
        <v>1113</v>
      </c>
      <c r="K921" s="18">
        <v>9817227</v>
      </c>
      <c r="L921" s="18">
        <v>905374</v>
      </c>
      <c r="M921" s="18" t="s">
        <v>2620</v>
      </c>
      <c r="N921" s="16" t="s">
        <v>2585</v>
      </c>
      <c r="O921" s="18" t="s">
        <v>2621</v>
      </c>
      <c r="P921" s="18" t="s">
        <v>2619</v>
      </c>
      <c r="Q921" s="29" t="str" cm="1">
        <f t="array" ref="Q921">_xlfn.IFS(
A921="","",
AND(A921&lt;&gt;"",B921=""),"FALTA LANÇAMENTO",
AND(B921&lt;&gt;"",M921=""),"FALTA O PEDIDO",
AND(M921&lt;&gt;"",O921=""),"FALTA NF",
O921&lt;&gt;"","CONCLUÍDO")</f>
        <v>CONCLUÍDO</v>
      </c>
      <c r="R921" s="36"/>
    </row>
    <row r="922" spans="1:18" hidden="1">
      <c r="A922" s="16">
        <v>46099</v>
      </c>
      <c r="B922" s="16">
        <v>46119</v>
      </c>
      <c r="C922" s="21">
        <v>51521057</v>
      </c>
      <c r="D922" s="16" t="str">
        <f>IFERROR(VLOOKUP(Tabela5[[#This Row],[PREFIXO ]],Tabela4[#All],2,0),"CENTRO DE CUSTO")</f>
        <v>COLHED ALGODÃO JOHN DEERE CP 690</v>
      </c>
      <c r="E922" s="18" t="s">
        <v>16</v>
      </c>
      <c r="F922" s="21">
        <v>468</v>
      </c>
      <c r="G922" s="22">
        <v>7980</v>
      </c>
      <c r="H922" s="22"/>
      <c r="I922" s="22">
        <f t="shared" si="15"/>
        <v>7980</v>
      </c>
      <c r="J922" s="18" t="s">
        <v>1113</v>
      </c>
      <c r="K922" s="18">
        <v>9817229</v>
      </c>
      <c r="L922" s="18">
        <v>903514</v>
      </c>
      <c r="M922" s="18" t="s">
        <v>2622</v>
      </c>
      <c r="N922" s="16" t="s">
        <v>2595</v>
      </c>
      <c r="O922" s="18" t="s">
        <v>1752</v>
      </c>
      <c r="P922" s="18" t="s">
        <v>2507</v>
      </c>
      <c r="Q922" s="29" t="str" cm="1">
        <f t="array" ref="Q922">_xlfn.IFS(
A922="","",
AND(A922&lt;&gt;"",B922=""),"FALTA LANÇAMENTO",
AND(B922&lt;&gt;"",M922=""),"FALTA O PEDIDO",
AND(M922&lt;&gt;"",O922=""),"FALTA NF",
O922&lt;&gt;"","CONCLUÍDO")</f>
        <v>CONCLUÍDO</v>
      </c>
      <c r="R922" s="36"/>
    </row>
    <row r="923" spans="1:18" hidden="1">
      <c r="A923" s="16">
        <v>46099</v>
      </c>
      <c r="B923" s="16">
        <v>46119</v>
      </c>
      <c r="C923" s="21">
        <v>51521055</v>
      </c>
      <c r="D923" s="16" t="str">
        <f>IFERROR(VLOOKUP(Tabela5[[#This Row],[PREFIXO ]],Tabela4[#All],2,0),"CENTRO DE CUSTO")</f>
        <v>COLHED ALGODÃO JOHN DEERE CP 690</v>
      </c>
      <c r="E923" s="18" t="s">
        <v>16</v>
      </c>
      <c r="F923" s="21">
        <v>467</v>
      </c>
      <c r="G923" s="22">
        <v>7980</v>
      </c>
      <c r="H923" s="22"/>
      <c r="I923" s="22">
        <f t="shared" si="15"/>
        <v>7980</v>
      </c>
      <c r="J923" s="18" t="s">
        <v>1113</v>
      </c>
      <c r="K923" s="18">
        <v>9817230</v>
      </c>
      <c r="L923" s="18">
        <v>903514</v>
      </c>
      <c r="M923" s="18" t="s">
        <v>2622</v>
      </c>
      <c r="N923" s="16" t="s">
        <v>2595</v>
      </c>
      <c r="O923" s="18" t="s">
        <v>1752</v>
      </c>
      <c r="P923" s="18" t="s">
        <v>2507</v>
      </c>
      <c r="Q923" s="29" t="str" cm="1">
        <f t="array" ref="Q923">_xlfn.IFS(
A923="","",
AND(A923&lt;&gt;"",B923=""),"FALTA LANÇAMENTO",
AND(B923&lt;&gt;"",M923=""),"FALTA O PEDIDO",
AND(M923&lt;&gt;"",O923=""),"FALTA NF",
O923&lt;&gt;"","CONCLUÍDO")</f>
        <v>CONCLUÍDO</v>
      </c>
      <c r="R923" s="36"/>
    </row>
    <row r="924" spans="1:18" hidden="1">
      <c r="A924" s="16">
        <v>46099</v>
      </c>
      <c r="B924" s="16">
        <v>46119</v>
      </c>
      <c r="C924" s="21">
        <v>51521044</v>
      </c>
      <c r="D924" s="16" t="str">
        <f>IFERROR(VLOOKUP(Tabela5[[#This Row],[PREFIXO ]],Tabela4[#All],2,0),"CENTRO DE CUSTO")</f>
        <v>COLHED ALGODÃO JOHN DEERE CP 690</v>
      </c>
      <c r="E924" s="18" t="s">
        <v>16</v>
      </c>
      <c r="F924" s="21">
        <v>466</v>
      </c>
      <c r="G924" s="22">
        <v>7980</v>
      </c>
      <c r="H924" s="22"/>
      <c r="I924" s="22">
        <f t="shared" si="15"/>
        <v>7980</v>
      </c>
      <c r="J924" s="18" t="s">
        <v>1113</v>
      </c>
      <c r="K924" s="18">
        <v>9817232</v>
      </c>
      <c r="L924" s="18">
        <v>903514</v>
      </c>
      <c r="M924" s="18" t="s">
        <v>2622</v>
      </c>
      <c r="N924" s="16" t="s">
        <v>2595</v>
      </c>
      <c r="O924" s="18" t="s">
        <v>1752</v>
      </c>
      <c r="P924" s="18" t="s">
        <v>2507</v>
      </c>
      <c r="Q924" s="29" t="str" cm="1">
        <f t="array" ref="Q924">_xlfn.IFS(
A924="","",
AND(A924&lt;&gt;"",B924=""),"FALTA LANÇAMENTO",
AND(B924&lt;&gt;"",M924=""),"FALTA O PEDIDO",
AND(M924&lt;&gt;"",O924=""),"FALTA NF",
O924&lt;&gt;"","CONCLUÍDO")</f>
        <v>CONCLUÍDO</v>
      </c>
      <c r="R924" s="36"/>
    </row>
    <row r="925" spans="1:18" hidden="1">
      <c r="A925" s="16">
        <v>46099</v>
      </c>
      <c r="B925" s="16">
        <v>46120</v>
      </c>
      <c r="C925" s="21">
        <v>51521047</v>
      </c>
      <c r="D925" s="16" t="str">
        <f>IFERROR(VLOOKUP(Tabela5[[#This Row],[PREFIXO ]],Tabela4[#All],2,0),"CENTRO DE CUSTO")</f>
        <v>COLHED ALGODÃO JOHN DEERE CP 690</v>
      </c>
      <c r="E925" s="18" t="s">
        <v>16</v>
      </c>
      <c r="F925" s="21">
        <v>465</v>
      </c>
      <c r="G925" s="22">
        <v>7980</v>
      </c>
      <c r="H925" s="22"/>
      <c r="I925" s="22">
        <f t="shared" si="15"/>
        <v>7980</v>
      </c>
      <c r="J925" s="18" t="s">
        <v>1113</v>
      </c>
      <c r="K925" s="18">
        <v>9817233</v>
      </c>
      <c r="L925" s="18">
        <v>903860</v>
      </c>
      <c r="M925" s="18" t="s">
        <v>2623</v>
      </c>
      <c r="N925" s="16" t="s">
        <v>2507</v>
      </c>
      <c r="O925" s="18" t="s">
        <v>2624</v>
      </c>
      <c r="P925" s="18" t="s">
        <v>2507</v>
      </c>
      <c r="Q925" s="29" t="str" cm="1">
        <f t="array" ref="Q925">_xlfn.IFS(
A925="","",
AND(A925&lt;&gt;"",B925=""),"FALTA LANÇAMENTO",
AND(B925&lt;&gt;"",M925=""),"FALTA O PEDIDO",
AND(M925&lt;&gt;"",O925=""),"FALTA NF",
O925&lt;&gt;"","CONCLUÍDO")</f>
        <v>CONCLUÍDO</v>
      </c>
      <c r="R925" s="36"/>
    </row>
    <row r="926" spans="1:18" hidden="1">
      <c r="A926" s="16">
        <v>46099</v>
      </c>
      <c r="B926" s="16">
        <v>46120</v>
      </c>
      <c r="C926" s="21">
        <v>5173121</v>
      </c>
      <c r="D926" s="16" t="str">
        <f>IFERROR(VLOOKUP(Tabela5[[#This Row],[PREFIXO ]],Tabela4[#All],2,0),"CENTRO DE CUSTO")</f>
        <v>COLHED ALGODÃO JOHN DEERE 7760</v>
      </c>
      <c r="E926" s="18" t="s">
        <v>16</v>
      </c>
      <c r="F926" s="21">
        <v>463</v>
      </c>
      <c r="G926" s="22">
        <v>7980</v>
      </c>
      <c r="H926" s="22"/>
      <c r="I926" s="22">
        <f t="shared" si="15"/>
        <v>7980</v>
      </c>
      <c r="J926" s="18" t="s">
        <v>1113</v>
      </c>
      <c r="K926" s="18">
        <v>9817235</v>
      </c>
      <c r="L926" s="18">
        <v>903860</v>
      </c>
      <c r="M926" s="18" t="s">
        <v>2623</v>
      </c>
      <c r="N926" s="16" t="s">
        <v>2507</v>
      </c>
      <c r="O926" s="18" t="s">
        <v>2624</v>
      </c>
      <c r="P926" s="18" t="s">
        <v>2507</v>
      </c>
      <c r="Q926" s="29" t="str" cm="1">
        <f t="array" ref="Q926">_xlfn.IFS(
A926="","",
AND(A926&lt;&gt;"",B926=""),"FALTA LANÇAMENTO",
AND(B926&lt;&gt;"",M926=""),"FALTA O PEDIDO",
AND(M926&lt;&gt;"",O926=""),"FALTA NF",
O926&lt;&gt;"","CONCLUÍDO")</f>
        <v>CONCLUÍDO</v>
      </c>
      <c r="R926" s="36"/>
    </row>
    <row r="927" spans="1:18" hidden="1">
      <c r="A927" s="16">
        <v>46099</v>
      </c>
      <c r="B927" s="16">
        <v>46120</v>
      </c>
      <c r="C927" s="21">
        <v>5173120</v>
      </c>
      <c r="D927" s="16" t="str">
        <f>IFERROR(VLOOKUP(Tabela5[[#This Row],[PREFIXO ]],Tabela4[#All],2,0),"CENTRO DE CUSTO")</f>
        <v>COLHED ALGODÃO JOHN DEERE 7760</v>
      </c>
      <c r="E927" s="18" t="s">
        <v>16</v>
      </c>
      <c r="F927" s="21">
        <v>462</v>
      </c>
      <c r="G927" s="22">
        <v>7980</v>
      </c>
      <c r="H927" s="22"/>
      <c r="I927" s="22">
        <f t="shared" si="15"/>
        <v>7980</v>
      </c>
      <c r="J927" s="18" t="s">
        <v>1113</v>
      </c>
      <c r="K927" s="18">
        <v>9817236</v>
      </c>
      <c r="L927" s="18">
        <v>903860</v>
      </c>
      <c r="M927" s="18" t="s">
        <v>2623</v>
      </c>
      <c r="N927" s="16" t="s">
        <v>2507</v>
      </c>
      <c r="O927" s="18" t="s">
        <v>2624</v>
      </c>
      <c r="P927" s="18" t="s">
        <v>2507</v>
      </c>
      <c r="Q927" s="29" t="str" cm="1">
        <f t="array" ref="Q927">_xlfn.IFS(
A927="","",
AND(A927&lt;&gt;"",B927=""),"FALTA LANÇAMENTO",
AND(B927&lt;&gt;"",M927=""),"FALTA O PEDIDO",
AND(M927&lt;&gt;"",O927=""),"FALTA NF",
O927&lt;&gt;"","CONCLUÍDO")</f>
        <v>CONCLUÍDO</v>
      </c>
      <c r="R927" s="36"/>
    </row>
    <row r="928" spans="1:18" hidden="1">
      <c r="A928" s="16">
        <v>46099</v>
      </c>
      <c r="B928" s="16">
        <v>46120</v>
      </c>
      <c r="C928" s="21">
        <v>51521070</v>
      </c>
      <c r="D928" s="16" t="str">
        <f>IFERROR(VLOOKUP(Tabela5[[#This Row],[PREFIXO ]],Tabela4[#All],2,0),"CENTRO DE CUSTO")</f>
        <v>COLHED ALGODÃO JOHN DEERE CP 690</v>
      </c>
      <c r="E928" s="18" t="s">
        <v>16</v>
      </c>
      <c r="F928" s="21">
        <v>464</v>
      </c>
      <c r="G928" s="22">
        <v>7980</v>
      </c>
      <c r="H928" s="22"/>
      <c r="I928" s="22">
        <f t="shared" si="15"/>
        <v>7980</v>
      </c>
      <c r="J928" s="18" t="s">
        <v>1113</v>
      </c>
      <c r="K928" s="18">
        <v>9817237</v>
      </c>
      <c r="L928" s="18">
        <v>903860</v>
      </c>
      <c r="M928" s="18" t="s">
        <v>2623</v>
      </c>
      <c r="N928" s="16" t="s">
        <v>2507</v>
      </c>
      <c r="O928" s="18" t="s">
        <v>2624</v>
      </c>
      <c r="P928" s="18" t="s">
        <v>2507</v>
      </c>
      <c r="Q928" s="29" t="str" cm="1">
        <f t="array" ref="Q928">_xlfn.IFS(
A928="","",
AND(A928&lt;&gt;"",B928=""),"FALTA LANÇAMENTO",
AND(B928&lt;&gt;"",M928=""),"FALTA O PEDIDO",
AND(M928&lt;&gt;"",O928=""),"FALTA NF",
O928&lt;&gt;"","CONCLUÍDO")</f>
        <v>CONCLUÍDO</v>
      </c>
      <c r="R928" s="36"/>
    </row>
    <row r="929" spans="1:18" hidden="1">
      <c r="A929" s="16">
        <v>46099</v>
      </c>
      <c r="B929" s="16">
        <v>46125</v>
      </c>
      <c r="C929" s="21">
        <v>5173116</v>
      </c>
      <c r="D929" s="16" t="str">
        <f>IFERROR(VLOOKUP(Tabela5[[#This Row],[PREFIXO ]],Tabela4[#All],2,0),"CENTRO DE CUSTO")</f>
        <v>COLHED ALGODÃO JOHN DEERE 7760</v>
      </c>
      <c r="E929" s="18" t="s">
        <v>17</v>
      </c>
      <c r="F929" s="21">
        <v>43665</v>
      </c>
      <c r="G929" s="22">
        <v>2587.8200000000002</v>
      </c>
      <c r="H929" s="22">
        <v>8342.58</v>
      </c>
      <c r="I929" s="22">
        <f t="shared" si="15"/>
        <v>10930.4</v>
      </c>
      <c r="J929" s="18" t="s">
        <v>1113</v>
      </c>
      <c r="K929" s="18">
        <v>9814612</v>
      </c>
      <c r="L929" s="18">
        <v>905389</v>
      </c>
      <c r="M929" s="18" t="s">
        <v>2625</v>
      </c>
      <c r="N929" s="16" t="s">
        <v>2619</v>
      </c>
      <c r="O929" s="18" t="s">
        <v>2626</v>
      </c>
      <c r="P929" s="18" t="s">
        <v>2627</v>
      </c>
      <c r="Q929" s="29" t="str" cm="1">
        <f t="array" ref="Q929">_xlfn.IFS(
A929="","",
AND(A929&lt;&gt;"",B929=""),"FALTA LANÇAMENTO",
AND(B929&lt;&gt;"",M929=""),"FALTA O PEDIDO",
AND(M929&lt;&gt;"",O929=""),"FALTA NF",
O929&lt;&gt;"","CONCLUÍDO")</f>
        <v>CONCLUÍDO</v>
      </c>
      <c r="R929" s="36"/>
    </row>
    <row r="930" spans="1:18" hidden="1">
      <c r="A930" s="16">
        <v>46099</v>
      </c>
      <c r="B930" s="16">
        <v>46099</v>
      </c>
      <c r="C930" s="21">
        <v>23180043</v>
      </c>
      <c r="D930" s="16" t="str">
        <f>IFERROR(VLOOKUP(Tabela5[[#This Row],[PREFIXO ]],Tabela4[#All],2,0),"CENTRO DE CUSTO")</f>
        <v>COLHEIT DE GRÃOS JOHN DEERE S 780</v>
      </c>
      <c r="E930" s="18" t="s">
        <v>17</v>
      </c>
      <c r="F930" s="21">
        <v>42792</v>
      </c>
      <c r="G930" s="22">
        <v>1683.45</v>
      </c>
      <c r="H930" s="22">
        <v>2124.37</v>
      </c>
      <c r="I930" s="22">
        <f t="shared" si="15"/>
        <v>3807.8199999999997</v>
      </c>
      <c r="J930" s="18" t="s">
        <v>1113</v>
      </c>
      <c r="K930" s="18">
        <v>9802731</v>
      </c>
      <c r="L930" s="18">
        <v>881785</v>
      </c>
      <c r="M930" s="18" t="s">
        <v>2628</v>
      </c>
      <c r="N930" s="16" t="s">
        <v>2201</v>
      </c>
      <c r="O930" s="18" t="s">
        <v>2629</v>
      </c>
      <c r="P930" s="18" t="s">
        <v>2511</v>
      </c>
      <c r="Q930" s="29" t="str" cm="1">
        <f t="array" ref="Q930">_xlfn.IFS(
A930="","",
AND(A930&lt;&gt;"",B930=""),"FALTA LANÇAMENTO",
AND(B930&lt;&gt;"",M930=""),"FALTA O PEDIDO",
AND(M930&lt;&gt;"",O930=""),"FALTA NF",
O930&lt;&gt;"","CONCLUÍDO")</f>
        <v>CONCLUÍDO</v>
      </c>
      <c r="R930" s="36"/>
    </row>
    <row r="931" spans="1:18" hidden="1">
      <c r="A931" s="16">
        <v>46099</v>
      </c>
      <c r="B931" s="16">
        <v>46119</v>
      </c>
      <c r="C931" s="21">
        <v>51519062</v>
      </c>
      <c r="D931" s="16" t="str">
        <f>IFERROR(VLOOKUP(Tabela5[[#This Row],[PREFIXO ]],Tabela4[#All],2,0),"CENTRO DE CUSTO")</f>
        <v>CENTRO DE CUSTO</v>
      </c>
      <c r="E931" s="18" t="s">
        <v>17</v>
      </c>
      <c r="F931" s="21">
        <v>42560</v>
      </c>
      <c r="G931" s="22">
        <v>2362.17</v>
      </c>
      <c r="H931" s="22"/>
      <c r="I931" s="22">
        <f t="shared" si="15"/>
        <v>2362.17</v>
      </c>
      <c r="J931" s="18" t="s">
        <v>1113</v>
      </c>
      <c r="K931" s="18">
        <v>9813725</v>
      </c>
      <c r="L931" s="18">
        <v>903524</v>
      </c>
      <c r="M931" s="18" t="s">
        <v>2630</v>
      </c>
      <c r="N931" s="16" t="s">
        <v>2540</v>
      </c>
      <c r="O931" s="18" t="s">
        <v>2631</v>
      </c>
      <c r="P931" s="18" t="s">
        <v>2595</v>
      </c>
      <c r="Q931" s="29" t="str" cm="1">
        <f t="array" ref="Q931">_xlfn.IFS(
A931="","",
AND(A931&lt;&gt;"",B931=""),"FALTA LANÇAMENTO",
AND(B931&lt;&gt;"",M931=""),"FALTA O PEDIDO",
AND(M931&lt;&gt;"",O931=""),"FALTA NF",
O931&lt;&gt;"","CONCLUÍDO")</f>
        <v>CONCLUÍDO</v>
      </c>
      <c r="R931" s="36"/>
    </row>
    <row r="932" spans="1:18" hidden="1">
      <c r="A932" s="16">
        <v>46099</v>
      </c>
      <c r="B932" s="16">
        <v>46125</v>
      </c>
      <c r="C932" s="21">
        <v>23180058</v>
      </c>
      <c r="D932" s="16" t="str">
        <f>IFERROR(VLOOKUP(Tabela5[[#This Row],[PREFIXO ]],Tabela4[#All],2,0),"CENTRO DE CUSTO")</f>
        <v>COLHEIT DE GRÃOS JOHN DEERE S 780</v>
      </c>
      <c r="E932" s="18" t="s">
        <v>17</v>
      </c>
      <c r="F932" s="21">
        <v>42698</v>
      </c>
      <c r="G932" s="22">
        <v>902.52</v>
      </c>
      <c r="H932" s="22">
        <v>1403.04</v>
      </c>
      <c r="I932" s="22">
        <f t="shared" si="15"/>
        <v>2305.56</v>
      </c>
      <c r="J932" s="18" t="s">
        <v>1113</v>
      </c>
      <c r="K932" s="18">
        <v>9815532</v>
      </c>
      <c r="L932" s="18">
        <v>906251</v>
      </c>
      <c r="M932" s="18" t="s">
        <v>2632</v>
      </c>
      <c r="N932" s="16" t="s">
        <v>2585</v>
      </c>
      <c r="O932" s="18" t="s">
        <v>2633</v>
      </c>
      <c r="P932" s="18" t="s">
        <v>2302</v>
      </c>
      <c r="Q932" s="29" t="str" cm="1">
        <f t="array" ref="Q932">_xlfn.IFS(
A932="","",
AND(A932&lt;&gt;"",B932=""),"FALTA LANÇAMENTO",
AND(B932&lt;&gt;"",M932=""),"FALTA O PEDIDO",
AND(M932&lt;&gt;"",O932=""),"FALTA NF",
O932&lt;&gt;"","CONCLUÍDO")</f>
        <v>CONCLUÍDO</v>
      </c>
      <c r="R932" s="36"/>
    </row>
    <row r="933" spans="1:18" hidden="1">
      <c r="A933" s="16">
        <v>46099</v>
      </c>
      <c r="B933" s="16">
        <v>46119</v>
      </c>
      <c r="C933" s="21">
        <v>51519055</v>
      </c>
      <c r="D933" s="16" t="str">
        <f>IFERROR(VLOOKUP(Tabela5[[#This Row],[PREFIXO ]],Tabela4[#All],2,0),"CENTRO DE CUSTO")</f>
        <v>COLHED ALGODÃO JOHN DEERE CP 770</v>
      </c>
      <c r="E933" s="18" t="s">
        <v>17</v>
      </c>
      <c r="F933" s="21">
        <v>42561</v>
      </c>
      <c r="G933" s="22">
        <v>2077.4299999999998</v>
      </c>
      <c r="H933" s="22"/>
      <c r="I933" s="22">
        <f t="shared" si="15"/>
        <v>2077.4299999999998</v>
      </c>
      <c r="J933" s="18" t="s">
        <v>1113</v>
      </c>
      <c r="K933" s="18">
        <v>9813755</v>
      </c>
      <c r="L933" s="18">
        <v>903543</v>
      </c>
      <c r="M933" s="18" t="s">
        <v>2634</v>
      </c>
      <c r="N933" s="16" t="s">
        <v>2540</v>
      </c>
      <c r="O933" s="18" t="s">
        <v>2635</v>
      </c>
      <c r="P933" s="18" t="s">
        <v>2595</v>
      </c>
      <c r="Q933" s="29" t="str" cm="1">
        <f t="array" ref="Q933">_xlfn.IFS(
A933="","",
AND(A933&lt;&gt;"",B933=""),"FALTA LANÇAMENTO",
AND(B933&lt;&gt;"",M933=""),"FALTA O PEDIDO",
AND(M933&lt;&gt;"",O933=""),"FALTA NF",
O933&lt;&gt;"","CONCLUÍDO")</f>
        <v>CONCLUÍDO</v>
      </c>
      <c r="R933" s="36"/>
    </row>
    <row r="934" spans="1:18" hidden="1">
      <c r="A934" s="16">
        <v>46099</v>
      </c>
      <c r="B934" s="16">
        <v>46121</v>
      </c>
      <c r="C934" s="21">
        <v>23180039</v>
      </c>
      <c r="D934" s="16" t="str">
        <f>IFERROR(VLOOKUP(Tabela5[[#This Row],[PREFIXO ]],Tabela4[#All],2,0),"CENTRO DE CUSTO")</f>
        <v>COLHEIT DE GRÃOS JOHN DEERE S 780</v>
      </c>
      <c r="E934" s="18" t="s">
        <v>17</v>
      </c>
      <c r="F934" s="21">
        <v>43293</v>
      </c>
      <c r="G934" s="22"/>
      <c r="H934" s="22">
        <v>469.85</v>
      </c>
      <c r="I934" s="22">
        <f t="shared" si="15"/>
        <v>469.85</v>
      </c>
      <c r="J934" s="18" t="s">
        <v>1113</v>
      </c>
      <c r="K934" s="18">
        <v>9825414</v>
      </c>
      <c r="L934" s="18">
        <v>894257</v>
      </c>
      <c r="M934" s="18" t="s">
        <v>1095</v>
      </c>
      <c r="N934" s="16" t="s">
        <v>1095</v>
      </c>
      <c r="O934" s="18" t="s">
        <v>1095</v>
      </c>
      <c r="P934" s="18" t="s">
        <v>1095</v>
      </c>
      <c r="Q934" s="29" t="str" cm="1">
        <f t="array" ref="Q934">_xlfn.IFS(
A934="","",
AND(A934&lt;&gt;"",B934=""),"FALTA LANÇAMENTO",
AND(B934&lt;&gt;"",M934=""),"FALTA O PEDIDO",
AND(M934&lt;&gt;"",N953=""),"FALTA NF",
N953&lt;&gt;"","CONCLUÍDO")</f>
        <v>CONCLUÍDO</v>
      </c>
      <c r="R934" s="36"/>
    </row>
    <row r="935" spans="1:18" hidden="1">
      <c r="A935" s="16">
        <v>46099</v>
      </c>
      <c r="B935" s="16">
        <v>46125</v>
      </c>
      <c r="C935" s="21">
        <v>11040013</v>
      </c>
      <c r="D935" s="16" t="str">
        <f>IFERROR(VLOOKUP(Tabela5[[#This Row],[PREFIXO ]],Tabela4[#All],2,0),"CENTRO DE CUSTO")</f>
        <v>CAV MEC EXT PES SCANIA R500</v>
      </c>
      <c r="E935" s="18" t="s">
        <v>24</v>
      </c>
      <c r="F935" s="21">
        <v>4664</v>
      </c>
      <c r="G935" s="22"/>
      <c r="H935" s="22">
        <v>3542.49</v>
      </c>
      <c r="I935" s="22">
        <f t="shared" si="15"/>
        <v>3542.49</v>
      </c>
      <c r="J935" s="18" t="s">
        <v>1199</v>
      </c>
      <c r="K935" s="18">
        <v>9815588</v>
      </c>
      <c r="L935" s="18">
        <v>896961</v>
      </c>
      <c r="M935" s="18" t="s">
        <v>2636</v>
      </c>
      <c r="N935" s="16" t="s">
        <v>2590</v>
      </c>
      <c r="O935" s="18" t="s">
        <v>2637</v>
      </c>
      <c r="P935" s="18" t="s">
        <v>2638</v>
      </c>
      <c r="Q935" s="29" t="str" cm="1">
        <f t="array" ref="Q935">_xlfn.IFS(
A935="","",
AND(A935&lt;&gt;"",B935=""),"FALTA LANÇAMENTO",
AND(B935&lt;&gt;"",M935=""),"FALTA O PEDIDO",
AND(M935&lt;&gt;"",O935=""),"FALTA NF",
O935&lt;&gt;"","CONCLUÍDO")</f>
        <v>CONCLUÍDO</v>
      </c>
      <c r="R935" s="36"/>
    </row>
    <row r="936" spans="1:18" hidden="1">
      <c r="A936" s="16">
        <v>46099</v>
      </c>
      <c r="B936" s="16">
        <v>46125</v>
      </c>
      <c r="C936" s="21">
        <v>11040013</v>
      </c>
      <c r="D936" s="16" t="str">
        <f>IFERROR(VLOOKUP(Tabela5[[#This Row],[PREFIXO ]],Tabela4[#All],2,0),"CENTRO DE CUSTO")</f>
        <v>CAV MEC EXT PES SCANIA R500</v>
      </c>
      <c r="E936" s="18" t="s">
        <v>24</v>
      </c>
      <c r="F936" s="21">
        <v>4133</v>
      </c>
      <c r="G936" s="22">
        <v>1719.9</v>
      </c>
      <c r="H936" s="22"/>
      <c r="I936" s="22">
        <f t="shared" si="15"/>
        <v>1719.9</v>
      </c>
      <c r="J936" s="18" t="s">
        <v>1199</v>
      </c>
      <c r="K936" s="18">
        <v>9815588</v>
      </c>
      <c r="L936" s="18">
        <v>896961</v>
      </c>
      <c r="M936" s="18" t="s">
        <v>2639</v>
      </c>
      <c r="N936" s="16" t="s">
        <v>2590</v>
      </c>
      <c r="O936" s="18" t="s">
        <v>2640</v>
      </c>
      <c r="P936" s="18" t="s">
        <v>2302</v>
      </c>
      <c r="Q936" s="29" t="str" cm="1">
        <f t="array" ref="Q936">_xlfn.IFS(
A936="","",
AND(A936&lt;&gt;"",B936=""),"FALTA LANÇAMENTO",
AND(B936&lt;&gt;"",M936=""),"FALTA O PEDIDO",
AND(M936&lt;&gt;"",O936=""),"FALTA NF",
O936&lt;&gt;"","CONCLUÍDO")</f>
        <v>CONCLUÍDO</v>
      </c>
      <c r="R936" s="36"/>
    </row>
    <row r="937" spans="1:18" hidden="1">
      <c r="A937" s="16">
        <v>46099</v>
      </c>
      <c r="B937" s="16">
        <v>46125</v>
      </c>
      <c r="C937" s="21">
        <v>81521061</v>
      </c>
      <c r="D937" s="16" t="str">
        <f>IFERROR(VLOOKUP(Tabela5[[#This Row],[PREFIXO ]],Tabela4[#All],2,0),"CENTRO DE CUSTO")</f>
        <v>SEMI REBOQUE PRANCHA RODOLINEA SRCT 3E</v>
      </c>
      <c r="E937" s="18" t="s">
        <v>24</v>
      </c>
      <c r="F937" s="21" t="s">
        <v>2641</v>
      </c>
      <c r="G937" s="22">
        <v>567</v>
      </c>
      <c r="H937" s="22">
        <v>138.82</v>
      </c>
      <c r="I937" s="22">
        <f t="shared" si="15"/>
        <v>705.81999999999994</v>
      </c>
      <c r="J937" s="18" t="s">
        <v>1199</v>
      </c>
      <c r="K937" s="18">
        <v>9814757</v>
      </c>
      <c r="L937" s="18">
        <v>907138</v>
      </c>
      <c r="M937" s="18" t="s">
        <v>2642</v>
      </c>
      <c r="N937" s="16" t="s">
        <v>2643</v>
      </c>
      <c r="O937" s="18" t="s">
        <v>2644</v>
      </c>
      <c r="P937" s="18" t="s">
        <v>2645</v>
      </c>
      <c r="Q937" s="29" t="str" cm="1">
        <f t="array" ref="Q937">_xlfn.IFS(
A937="","",
AND(A937&lt;&gt;"",B937=""),"FALTA LANÇAMENTO",
AND(B937&lt;&gt;"",M937=""),"FALTA O PEDIDO",
AND(M937&lt;&gt;"",O937=""),"FALTA NF",
O937&lt;&gt;"","CONCLUÍDO")</f>
        <v>CONCLUÍDO</v>
      </c>
      <c r="R937" s="36"/>
    </row>
    <row r="938" spans="1:18" hidden="1">
      <c r="A938" s="16">
        <v>46099</v>
      </c>
      <c r="B938" s="16">
        <v>46104</v>
      </c>
      <c r="C938" s="21">
        <v>81521061</v>
      </c>
      <c r="D938" s="16" t="str">
        <f>IFERROR(VLOOKUP(Tabela5[[#This Row],[PREFIXO ]],Tabela4[#All],2,0),"CENTRO DE CUSTO")</f>
        <v>SEMI REBOQUE PRANCHA RODOLINEA SRCT 3E</v>
      </c>
      <c r="E938" s="18" t="s">
        <v>24</v>
      </c>
      <c r="F938" s="21">
        <v>4648</v>
      </c>
      <c r="G938" s="22"/>
      <c r="H938" s="22">
        <v>138.82</v>
      </c>
      <c r="I938" s="22">
        <f t="shared" si="15"/>
        <v>138.82</v>
      </c>
      <c r="J938" s="18" t="s">
        <v>1199</v>
      </c>
      <c r="K938" s="18" t="s">
        <v>1095</v>
      </c>
      <c r="L938" s="18" t="s">
        <v>1095</v>
      </c>
      <c r="M938" s="18" t="s">
        <v>2646</v>
      </c>
      <c r="N938" s="16" t="s">
        <v>2643</v>
      </c>
      <c r="O938" s="18" t="s">
        <v>2647</v>
      </c>
      <c r="P938" s="18" t="s">
        <v>2302</v>
      </c>
      <c r="Q938" s="29" t="str" cm="1">
        <f t="array" ref="Q938">_xlfn.IFS(
A938="","",
AND(A938&lt;&gt;"",B938=""),"FALTA LANÇAMENTO",
AND(B938&lt;&gt;"",M938=""),"FALTA O PEDIDO",
AND(M938&lt;&gt;"",O938=""),"FALTA NF",
O938&lt;&gt;"","CONCLUÍDO")</f>
        <v>CONCLUÍDO</v>
      </c>
      <c r="R938" s="36"/>
    </row>
    <row r="939" spans="1:18" hidden="1">
      <c r="A939" s="16">
        <v>46099</v>
      </c>
      <c r="B939" s="16">
        <v>46125</v>
      </c>
      <c r="C939" s="21">
        <v>81521061</v>
      </c>
      <c r="D939" s="16" t="str">
        <f>IFERROR(VLOOKUP(Tabela5[[#This Row],[PREFIXO ]],Tabela4[#All],2,0),"CENTRO DE CUSTO")</f>
        <v>SEMI REBOQUE PRANCHA RODOLINEA SRCT 3E</v>
      </c>
      <c r="E939" s="18" t="s">
        <v>24</v>
      </c>
      <c r="F939" s="21">
        <v>4683</v>
      </c>
      <c r="G939" s="22"/>
      <c r="H939" s="22">
        <v>91.49</v>
      </c>
      <c r="I939" s="22">
        <f t="shared" si="15"/>
        <v>91.49</v>
      </c>
      <c r="J939" s="18" t="s">
        <v>1199</v>
      </c>
      <c r="K939" s="18">
        <v>9814782</v>
      </c>
      <c r="L939" s="18">
        <v>907092</v>
      </c>
      <c r="M939" s="18" t="s">
        <v>2648</v>
      </c>
      <c r="N939" s="16" t="s">
        <v>2643</v>
      </c>
      <c r="O939" s="18" t="s">
        <v>2649</v>
      </c>
      <c r="P939" s="18" t="s">
        <v>2302</v>
      </c>
      <c r="Q939" s="29" t="str" cm="1">
        <f t="array" ref="Q939">_xlfn.IFS(
A939="","",
AND(A939&lt;&gt;"",B939=""),"FALTA LANÇAMENTO",
AND(B939&lt;&gt;"",M939=""),"FALTA O PEDIDO",
AND(M939&lt;&gt;"",O939=""),"FALTA NF",
O939&lt;&gt;"","CONCLUÍDO")</f>
        <v>CONCLUÍDO</v>
      </c>
      <c r="R939" s="36"/>
    </row>
    <row r="940" spans="1:18" hidden="1">
      <c r="A940" s="16">
        <v>46099</v>
      </c>
      <c r="B940" s="16">
        <v>46125</v>
      </c>
      <c r="C940" s="21">
        <v>81521061</v>
      </c>
      <c r="D940" s="16" t="str">
        <f>IFERROR(VLOOKUP(Tabela5[[#This Row],[PREFIXO ]],Tabela4[#All],2,0),"CENTRO DE CUSTO")</f>
        <v>SEMI REBOQUE PRANCHA RODOLINEA SRCT 3E</v>
      </c>
      <c r="E940" s="18" t="s">
        <v>24</v>
      </c>
      <c r="F940" s="21">
        <v>4151</v>
      </c>
      <c r="G940" s="22">
        <v>39.6</v>
      </c>
      <c r="H940" s="22"/>
      <c r="I940" s="22">
        <f t="shared" si="15"/>
        <v>39.6</v>
      </c>
      <c r="J940" s="18" t="s">
        <v>1199</v>
      </c>
      <c r="K940" s="18">
        <v>9814782</v>
      </c>
      <c r="L940" s="18">
        <v>907092</v>
      </c>
      <c r="M940" s="18" t="s">
        <v>2650</v>
      </c>
      <c r="N940" s="16" t="s">
        <v>2643</v>
      </c>
      <c r="O940" s="18" t="s">
        <v>2651</v>
      </c>
      <c r="P940" s="18" t="s">
        <v>2302</v>
      </c>
      <c r="Q940" s="29" t="str" cm="1">
        <f t="array" ref="Q940">_xlfn.IFS(
A940="","",
AND(A940&lt;&gt;"",B940=""),"FALTA LANÇAMENTO",
AND(B940&lt;&gt;"",M940=""),"FALTA O PEDIDO",
AND(M940&lt;&gt;"",O940=""),"FALTA NF",
O940&lt;&gt;"","CONCLUÍDO")</f>
        <v>CONCLUÍDO</v>
      </c>
      <c r="R940" s="36"/>
    </row>
    <row r="941" spans="1:18" hidden="1">
      <c r="A941" s="16">
        <v>46099</v>
      </c>
      <c r="B941" s="16">
        <v>46119</v>
      </c>
      <c r="C941" s="21">
        <v>61521008</v>
      </c>
      <c r="D941" s="16" t="str">
        <f>IFERROR(VLOOKUP(Tabela5[[#This Row],[PREFIXO ]],Tabela4[#All],2,0),"CENTRO DE CUSTO")</f>
        <v>CAV MEC PES MERC BENZ AXOR 2644</v>
      </c>
      <c r="E941" s="18" t="s">
        <v>29</v>
      </c>
      <c r="F941" s="21">
        <v>55289</v>
      </c>
      <c r="G941" s="22">
        <v>8897</v>
      </c>
      <c r="H941" s="22">
        <v>12015</v>
      </c>
      <c r="I941" s="22">
        <f t="shared" si="15"/>
        <v>20912</v>
      </c>
      <c r="J941" s="18" t="s">
        <v>1199</v>
      </c>
      <c r="K941" s="18">
        <v>9813915</v>
      </c>
      <c r="L941" s="18">
        <v>903462</v>
      </c>
      <c r="M941" s="18" t="s">
        <v>2652</v>
      </c>
      <c r="N941" s="16" t="s">
        <v>2595</v>
      </c>
      <c r="O941" s="18" t="s">
        <v>2653</v>
      </c>
      <c r="P941" s="18" t="s">
        <v>2597</v>
      </c>
      <c r="Q941" s="29" t="str" cm="1">
        <f t="array" ref="Q941">_xlfn.IFS(
A941="","",
AND(A941&lt;&gt;"",B941=""),"FALTA LANÇAMENTO",
AND(B941&lt;&gt;"",M941=""),"FALTA O PEDIDO",
AND(M941&lt;&gt;"",O941=""),"FALTA NF",
O941&lt;&gt;"","CONCLUÍDO")</f>
        <v>CONCLUÍDO</v>
      </c>
      <c r="R941" s="36"/>
    </row>
    <row r="942" spans="1:18" hidden="1">
      <c r="A942" s="16">
        <v>46099</v>
      </c>
      <c r="B942" s="16">
        <v>46119</v>
      </c>
      <c r="C942" s="21">
        <v>8173364</v>
      </c>
      <c r="D942" s="16" t="str">
        <f>IFERROR(VLOOKUP(Tabela5[[#This Row],[PREFIXO ]],Tabela4[#All],2,0),"CENTRO DE CUSTO")</f>
        <v>SEMI REBOQUE PRANCHA FACCHINI SRF CT</v>
      </c>
      <c r="E942" s="18" t="s">
        <v>29</v>
      </c>
      <c r="F942" s="21">
        <v>55280</v>
      </c>
      <c r="G942" s="22">
        <v>10082</v>
      </c>
      <c r="H942" s="22">
        <v>2001.73</v>
      </c>
      <c r="I942" s="22">
        <f t="shared" si="15"/>
        <v>12083.73</v>
      </c>
      <c r="J942" s="18" t="s">
        <v>1199</v>
      </c>
      <c r="K942" s="18">
        <v>9813996</v>
      </c>
      <c r="L942" s="18">
        <v>903440</v>
      </c>
      <c r="M942" s="18" t="s">
        <v>2654</v>
      </c>
      <c r="N942" s="16" t="s">
        <v>2595</v>
      </c>
      <c r="O942" s="18" t="s">
        <v>2655</v>
      </c>
      <c r="P942" s="18" t="s">
        <v>2656</v>
      </c>
      <c r="Q942" s="29" t="str" cm="1">
        <f t="array" ref="Q942">_xlfn.IFS(
A942="","",
AND(A942&lt;&gt;"",B942=""),"FALTA LANÇAMENTO",
AND(B942&lt;&gt;"",M942=""),"FALTA O PEDIDO",
AND(M942&lt;&gt;"",O942=""),"FALTA NF",
O942&lt;&gt;"","CONCLUÍDO")</f>
        <v>CONCLUÍDO</v>
      </c>
      <c r="R942" s="36"/>
    </row>
    <row r="943" spans="1:18" hidden="1">
      <c r="A943" s="16">
        <v>46099</v>
      </c>
      <c r="B943" s="16">
        <v>46120</v>
      </c>
      <c r="C943" s="21">
        <v>65014011</v>
      </c>
      <c r="D943" s="16" t="str">
        <f>IFERROR(VLOOKUP(Tabela5[[#This Row],[PREFIXO ]],Tabela4[#All],2,0),"CENTRO DE CUSTO")</f>
        <v>CENTRO DE CUSTO</v>
      </c>
      <c r="E943" s="18" t="s">
        <v>29</v>
      </c>
      <c r="F943" s="21">
        <v>55184</v>
      </c>
      <c r="G943" s="22">
        <v>5344</v>
      </c>
      <c r="H943" s="22">
        <v>5153.08</v>
      </c>
      <c r="I943" s="22">
        <f t="shared" si="15"/>
        <v>10497.08</v>
      </c>
      <c r="J943" s="18" t="s">
        <v>1199</v>
      </c>
      <c r="K943" s="18">
        <v>9814786</v>
      </c>
      <c r="L943" s="18">
        <v>904145</v>
      </c>
      <c r="M943" s="18" t="s">
        <v>2657</v>
      </c>
      <c r="N943" s="16" t="s">
        <v>2507</v>
      </c>
      <c r="O943" s="18" t="s">
        <v>2658</v>
      </c>
      <c r="P943" s="18" t="s">
        <v>2659</v>
      </c>
      <c r="Q943" s="29" t="str" cm="1">
        <f t="array" ref="Q943">_xlfn.IFS(
A943="","",
AND(A943&lt;&gt;"",B943=""),"FALTA LANÇAMENTO",
AND(B943&lt;&gt;"",M943=""),"FALTA O PEDIDO",
AND(M943&lt;&gt;"",O943=""),"FALTA NF",
O943&lt;&gt;"","CONCLUÍDO")</f>
        <v>CONCLUÍDO</v>
      </c>
      <c r="R943" s="36"/>
    </row>
    <row r="944" spans="1:18" hidden="1">
      <c r="A944" s="16">
        <v>46099</v>
      </c>
      <c r="B944" s="16">
        <v>46119</v>
      </c>
      <c r="C944" s="21">
        <v>11040004</v>
      </c>
      <c r="D944" s="16" t="str">
        <f>IFERROR(VLOOKUP(Tabela5[[#This Row],[PREFIXO ]],Tabela4[#All],2,0),"CENTRO DE CUSTO")</f>
        <v>CAV MEC EXT PES SCANIA R500</v>
      </c>
      <c r="E944" s="18" t="s">
        <v>29</v>
      </c>
      <c r="F944" s="21">
        <v>55261</v>
      </c>
      <c r="G944" s="22">
        <v>1651</v>
      </c>
      <c r="H944" s="22">
        <v>3472.28</v>
      </c>
      <c r="I944" s="22">
        <f t="shared" si="15"/>
        <v>5123.2800000000007</v>
      </c>
      <c r="J944" s="18" t="s">
        <v>1199</v>
      </c>
      <c r="K944" s="18">
        <v>9815398</v>
      </c>
      <c r="L944" s="18">
        <v>903171</v>
      </c>
      <c r="M944" s="18" t="s">
        <v>2660</v>
      </c>
      <c r="N944" s="16" t="s">
        <v>2540</v>
      </c>
      <c r="O944" s="18" t="s">
        <v>2661</v>
      </c>
      <c r="P944" s="18" t="s">
        <v>2662</v>
      </c>
      <c r="Q944" s="29" t="str" cm="1">
        <f t="array" ref="Q944">_xlfn.IFS(
A944="","",
AND(A944&lt;&gt;"",B944=""),"FALTA LANÇAMENTO",
AND(B944&lt;&gt;"",M944=""),"FALTA O PEDIDO",
AND(M944&lt;&gt;"",O944=""),"FALTA NF",
O944&lt;&gt;"","CONCLUÍDO")</f>
        <v>CONCLUÍDO</v>
      </c>
      <c r="R944" s="36"/>
    </row>
    <row r="945" spans="1:18" hidden="1">
      <c r="A945" s="16">
        <v>46099</v>
      </c>
      <c r="B945" s="16">
        <v>46125</v>
      </c>
      <c r="C945" s="21">
        <v>85014031</v>
      </c>
      <c r="D945" s="16" t="str">
        <f>IFERROR(VLOOKUP(Tabela5[[#This Row],[PREFIXO ]],Tabela4[#All],2,0),"CENTRO DE CUSTO")</f>
        <v>CENTRO DE CUSTO</v>
      </c>
      <c r="E945" s="18" t="s">
        <v>29</v>
      </c>
      <c r="F945" s="21">
        <v>55185</v>
      </c>
      <c r="G945" s="22">
        <v>1962</v>
      </c>
      <c r="H945" s="22">
        <v>2969.46</v>
      </c>
      <c r="I945" s="22">
        <f t="shared" si="15"/>
        <v>4931.46</v>
      </c>
      <c r="J945" s="18" t="s">
        <v>1199</v>
      </c>
      <c r="K945" s="18">
        <v>9826569</v>
      </c>
      <c r="L945" s="18">
        <v>906855</v>
      </c>
      <c r="M945" s="18" t="s">
        <v>2663</v>
      </c>
      <c r="N945" s="16" t="s">
        <v>2619</v>
      </c>
      <c r="O945" s="18" t="s">
        <v>2664</v>
      </c>
      <c r="P945" s="18" t="s">
        <v>2587</v>
      </c>
      <c r="Q945" s="29" t="str" cm="1">
        <f t="array" ref="Q945">_xlfn.IFS(
A945="","",
AND(A945&lt;&gt;"",B945=""),"FALTA LANÇAMENTO",
AND(B945&lt;&gt;"",M945=""),"FALTA O PEDIDO",
AND(M945&lt;&gt;"",O945=""),"FALTA NF",
O945&lt;&gt;"","CONCLUÍDO")</f>
        <v>CONCLUÍDO</v>
      </c>
      <c r="R945" s="36"/>
    </row>
    <row r="946" spans="1:18" hidden="1">
      <c r="A946" s="16">
        <v>46099</v>
      </c>
      <c r="B946" s="16">
        <v>46119</v>
      </c>
      <c r="C946" s="21">
        <v>81521344</v>
      </c>
      <c r="D946" s="16" t="str">
        <f>IFERROR(VLOOKUP(Tabela5[[#This Row],[PREFIXO ]],Tabela4[#All],2,0),"CENTRO DE CUSTO")</f>
        <v>SEMI REBOQ TANQUE 45.000L AI</v>
      </c>
      <c r="E946" s="18" t="s">
        <v>29</v>
      </c>
      <c r="F946" s="21">
        <v>55219</v>
      </c>
      <c r="G946" s="22">
        <v>160</v>
      </c>
      <c r="H946" s="22">
        <v>2425.1999999999998</v>
      </c>
      <c r="I946" s="22">
        <f t="shared" si="15"/>
        <v>2585.1999999999998</v>
      </c>
      <c r="J946" s="18" t="s">
        <v>1199</v>
      </c>
      <c r="K946" s="18">
        <v>894276</v>
      </c>
      <c r="L946" s="18">
        <v>903478</v>
      </c>
      <c r="M946" s="18" t="s">
        <v>2665</v>
      </c>
      <c r="N946" s="16" t="s">
        <v>2595</v>
      </c>
      <c r="O946" s="18" t="s">
        <v>2666</v>
      </c>
      <c r="P946" s="18" t="s">
        <v>2597</v>
      </c>
      <c r="Q946" s="29" t="str" cm="1">
        <f t="array" ref="Q946">_xlfn.IFS(
A946="","",
AND(A946&lt;&gt;"",B946=""),"FALTA LANÇAMENTO",
AND(B946&lt;&gt;"",M946=""),"FALTA O PEDIDO",
AND(M946&lt;&gt;"",O946=""),"FALTA NF",
O946&lt;&gt;"","CONCLUÍDO")</f>
        <v>CONCLUÍDO</v>
      </c>
      <c r="R946" s="36"/>
    </row>
    <row r="947" spans="1:18" hidden="1">
      <c r="A947" s="16">
        <v>46099</v>
      </c>
      <c r="B947" s="16">
        <v>46125</v>
      </c>
      <c r="C947" s="21">
        <v>11040017</v>
      </c>
      <c r="D947" s="16" t="str">
        <f>IFERROR(VLOOKUP(Tabela5[[#This Row],[PREFIXO ]],Tabela4[#All],2,0),"CENTRO DE CUSTO")</f>
        <v>CAV MEC EXT PES SCANIA R500</v>
      </c>
      <c r="E947" s="18" t="s">
        <v>29</v>
      </c>
      <c r="F947" s="21">
        <v>55245</v>
      </c>
      <c r="G947" s="22">
        <v>710</v>
      </c>
      <c r="H947" s="22">
        <v>602.05999999999995</v>
      </c>
      <c r="I947" s="22">
        <f t="shared" si="15"/>
        <v>1312.06</v>
      </c>
      <c r="J947" s="18" t="s">
        <v>1199</v>
      </c>
      <c r="K947" s="18">
        <v>9814789</v>
      </c>
      <c r="L947" s="18">
        <v>895286</v>
      </c>
      <c r="M947" s="18" t="s">
        <v>2667</v>
      </c>
      <c r="N947" s="16" t="s">
        <v>2585</v>
      </c>
      <c r="O947" s="18" t="s">
        <v>2668</v>
      </c>
      <c r="P947" s="18" t="s">
        <v>2669</v>
      </c>
      <c r="Q947" s="29" t="str" cm="1">
        <f t="array" ref="Q947">_xlfn.IFS(
A947="","",
AND(A947&lt;&gt;"",B947=""),"FALTA LANÇAMENTO",
AND(B947&lt;&gt;"",M947=""),"FALTA O PEDIDO",
AND(M947&lt;&gt;"",O947=""),"FALTA NF",
O947&lt;&gt;"","CONCLUÍDO")</f>
        <v>CONCLUÍDO</v>
      </c>
      <c r="R947" s="36"/>
    </row>
    <row r="948" spans="1:18" hidden="1">
      <c r="A948" s="16">
        <v>46099</v>
      </c>
      <c r="B948" s="16">
        <v>46119</v>
      </c>
      <c r="C948" s="21">
        <v>61521107</v>
      </c>
      <c r="D948" s="16" t="str">
        <f>IFERROR(VLOOKUP(Tabela5[[#This Row],[PREFIXO ]],Tabela4[#All],2,0),"CENTRO DE CUSTO")</f>
        <v>CAMINHAO COMBOIO MB AXOR 3131</v>
      </c>
      <c r="E948" s="18" t="s">
        <v>29</v>
      </c>
      <c r="F948" s="21">
        <v>55297</v>
      </c>
      <c r="G948" s="22">
        <v>520</v>
      </c>
      <c r="H948" s="22">
        <v>32.9</v>
      </c>
      <c r="I948" s="22">
        <f t="shared" si="15"/>
        <v>552.9</v>
      </c>
      <c r="J948" s="18" t="s">
        <v>1199</v>
      </c>
      <c r="K948" s="18">
        <v>9814023</v>
      </c>
      <c r="L948" s="18">
        <v>903310</v>
      </c>
      <c r="M948" s="18" t="s">
        <v>2670</v>
      </c>
      <c r="N948" s="16" t="s">
        <v>2540</v>
      </c>
      <c r="O948" s="18" t="s">
        <v>2671</v>
      </c>
      <c r="P948" s="18" t="s">
        <v>2597</v>
      </c>
      <c r="Q948" s="29" t="str" cm="1">
        <f t="array" ref="Q948">_xlfn.IFS(
A948="","",
AND(A948&lt;&gt;"",B948=""),"FALTA LANÇAMENTO",
AND(B948&lt;&gt;"",M948=""),"FALTA O PEDIDO",
AND(M948&lt;&gt;"",O948=""),"FALTA NF",
O948&lt;&gt;"","CONCLUÍDO")</f>
        <v>CONCLUÍDO</v>
      </c>
      <c r="R948" s="36"/>
    </row>
    <row r="949" spans="1:18" hidden="1">
      <c r="A949" s="16">
        <v>46099</v>
      </c>
      <c r="B949" s="16">
        <v>46104</v>
      </c>
      <c r="C949" s="21" t="s">
        <v>1134</v>
      </c>
      <c r="D949" s="16" t="str">
        <f>IFERROR(VLOOKUP(Tabela5[[#This Row],[PREFIXO ]],Tabela4[#All],2,0),"CENTRO DE CUSTO")</f>
        <v>CENTRO DE CUSTO</v>
      </c>
      <c r="E949" s="18" t="s">
        <v>33</v>
      </c>
      <c r="F949" s="21">
        <v>137</v>
      </c>
      <c r="G949" s="22">
        <v>1990</v>
      </c>
      <c r="H949" s="22"/>
      <c r="I949" s="22">
        <f t="shared" si="15"/>
        <v>1990</v>
      </c>
      <c r="J949" s="18" t="s">
        <v>1199</v>
      </c>
      <c r="K949" s="18" t="s">
        <v>1095</v>
      </c>
      <c r="L949" s="18" t="s">
        <v>1095</v>
      </c>
      <c r="M949" s="18" t="s">
        <v>1095</v>
      </c>
      <c r="N949" s="16" t="s">
        <v>1095</v>
      </c>
      <c r="O949" s="18" t="s">
        <v>1095</v>
      </c>
      <c r="P949" s="18" t="s">
        <v>1095</v>
      </c>
      <c r="Q949" s="29" t="str" cm="1">
        <f t="array" ref="Q949">_xlfn.IFS(
A949="","",
AND(A949&lt;&gt;"",B949=""),"FALTA LANÇAMENTO",
AND(B949&lt;&gt;"",M949=""),"FALTA O PEDIDO",
AND(M949&lt;&gt;"",O949=""),"FALTA NF",
O949&lt;&gt;"","CONCLUÍDO")</f>
        <v>CONCLUÍDO</v>
      </c>
      <c r="R949" s="36"/>
    </row>
    <row r="950" spans="1:18" hidden="1">
      <c r="A950" s="16">
        <v>46099</v>
      </c>
      <c r="B950" s="16">
        <v>46119</v>
      </c>
      <c r="C950" s="21">
        <v>31521019</v>
      </c>
      <c r="D950" s="16" t="str">
        <f>IFERROR(VLOOKUP(Tabela5[[#This Row],[PREFIXO ]],Tabela4[#All],2,0),"CENTRO DE CUSTO")</f>
        <v>PULV AUTOPROP JACTO UNIPORT 3030</v>
      </c>
      <c r="E950" s="18" t="s">
        <v>34</v>
      </c>
      <c r="F950" s="21">
        <v>24696</v>
      </c>
      <c r="G950" s="22"/>
      <c r="H950" s="22">
        <v>1150</v>
      </c>
      <c r="I950" s="22">
        <f t="shared" si="15"/>
        <v>1150</v>
      </c>
      <c r="J950" s="18" t="s">
        <v>1265</v>
      </c>
      <c r="K950" s="18">
        <v>9814530</v>
      </c>
      <c r="L950" s="18">
        <v>903502</v>
      </c>
      <c r="M950" s="18" t="s">
        <v>2672</v>
      </c>
      <c r="N950" s="16" t="s">
        <v>2595</v>
      </c>
      <c r="O950" s="18" t="s">
        <v>2673</v>
      </c>
      <c r="P950" s="18" t="s">
        <v>2674</v>
      </c>
      <c r="Q950" s="29" t="str" cm="1">
        <f t="array" ref="Q950">_xlfn.IFS(
A950="","",
AND(A950&lt;&gt;"",B950=""),"FALTA LANÇAMENTO",
AND(B950&lt;&gt;"",M950=""),"FALTA O PEDIDO",
AND(M950&lt;&gt;"",O950=""),"FALTA NF",
O950&lt;&gt;"","CONCLUÍDO")</f>
        <v>CONCLUÍDO</v>
      </c>
      <c r="R950" s="36"/>
    </row>
    <row r="951" spans="1:18" hidden="1">
      <c r="A951" s="16">
        <v>46099</v>
      </c>
      <c r="B951" s="16">
        <v>46119</v>
      </c>
      <c r="C951" s="21">
        <v>61521051</v>
      </c>
      <c r="D951" s="16" t="str">
        <f>IFERROR(VLOOKUP(Tabela5[[#This Row],[PREFIXO ]],Tabela4[#All],2,0),"CENTRO DE CUSTO")</f>
        <v>CENTRO DE CUSTO</v>
      </c>
      <c r="E951" s="18" t="s">
        <v>39</v>
      </c>
      <c r="F951" s="21" t="s">
        <v>1134</v>
      </c>
      <c r="G951" s="22">
        <v>3190</v>
      </c>
      <c r="H951" s="22"/>
      <c r="I951" s="22">
        <f t="shared" si="15"/>
        <v>3190</v>
      </c>
      <c r="J951" s="18" t="s">
        <v>1199</v>
      </c>
      <c r="K951" s="18">
        <v>9822828</v>
      </c>
      <c r="L951" s="18" t="s">
        <v>1095</v>
      </c>
      <c r="M951" s="18" t="s">
        <v>1095</v>
      </c>
      <c r="N951" s="16" t="s">
        <v>1095</v>
      </c>
      <c r="O951" s="18" t="s">
        <v>1095</v>
      </c>
      <c r="P951" s="18" t="s">
        <v>1095</v>
      </c>
      <c r="Q951" s="29" t="str" cm="1">
        <f t="array" ref="Q951">_xlfn.IFS(
A951="","",
AND(A951&lt;&gt;"",B951=""),"FALTA LANÇAMENTO",
AND(B951&lt;&gt;"",M951=""),"FALTA O PEDIDO",
AND(M951&lt;&gt;"",O951=""),"FALTA NF",
O951&lt;&gt;"","CONCLUÍDO")</f>
        <v>CONCLUÍDO</v>
      </c>
      <c r="R951" s="36"/>
    </row>
    <row r="952" spans="1:18" hidden="1">
      <c r="A952" s="16">
        <v>46099</v>
      </c>
      <c r="B952" s="16">
        <v>46119</v>
      </c>
      <c r="C952" s="21">
        <v>61521042</v>
      </c>
      <c r="D952" s="16" t="str">
        <f>IFERROR(VLOOKUP(Tabela5[[#This Row],[PREFIXO ]],Tabela4[#All],2,0),"CENTRO DE CUSTO")</f>
        <v>ONIB RODOVIÁRIO MASCARELLO GRAN MIDI</v>
      </c>
      <c r="E952" s="18" t="s">
        <v>39</v>
      </c>
      <c r="F952" s="21" t="s">
        <v>1134</v>
      </c>
      <c r="G952" s="22">
        <v>1160</v>
      </c>
      <c r="H952" s="22"/>
      <c r="I952" s="22">
        <f t="shared" si="15"/>
        <v>1160</v>
      </c>
      <c r="J952" s="18" t="s">
        <v>1199</v>
      </c>
      <c r="K952" s="18">
        <v>9822825</v>
      </c>
      <c r="L952" s="18" t="s">
        <v>1095</v>
      </c>
      <c r="M952" s="18" t="s">
        <v>1095</v>
      </c>
      <c r="N952" s="16" t="s">
        <v>1095</v>
      </c>
      <c r="O952" s="18" t="s">
        <v>1095</v>
      </c>
      <c r="P952" s="18" t="s">
        <v>1095</v>
      </c>
      <c r="Q952" s="29" t="str" cm="1">
        <f t="array" ref="Q952">_xlfn.IFS(
A952="","",
AND(A952&lt;&gt;"",B952=""),"FALTA LANÇAMENTO",
AND(B952&lt;&gt;"",M952=""),"FALTA O PEDIDO",
AND(M952&lt;&gt;"",O952=""),"FALTA NF",
O952&lt;&gt;"","CONCLUÍDO")</f>
        <v>CONCLUÍDO</v>
      </c>
      <c r="R952" s="36"/>
    </row>
    <row r="953" spans="1:18" hidden="1">
      <c r="A953" s="16">
        <v>46099</v>
      </c>
      <c r="B953" s="16">
        <v>46121</v>
      </c>
      <c r="C953" s="21">
        <v>41524001</v>
      </c>
      <c r="D953" s="16" t="str">
        <f>IFERROR(VLOOKUP(Tabela5[[#This Row],[PREFIXO ]],Tabela4[#All],2,0),"CENTRO DE CUSTO")</f>
        <v>CENTRO DE CUSTO</v>
      </c>
      <c r="E953" s="18" t="s">
        <v>41</v>
      </c>
      <c r="F953" s="21">
        <v>26218</v>
      </c>
      <c r="G953" s="22">
        <v>1919.7</v>
      </c>
      <c r="H953" s="22"/>
      <c r="I953" s="22">
        <f t="shared" si="15"/>
        <v>1919.7</v>
      </c>
      <c r="J953" s="18" t="s">
        <v>1199</v>
      </c>
      <c r="K953" s="18">
        <v>9826769</v>
      </c>
      <c r="L953" s="18" t="s">
        <v>1134</v>
      </c>
      <c r="M953" s="18" t="s">
        <v>1095</v>
      </c>
      <c r="N953" s="16" t="s">
        <v>1095</v>
      </c>
      <c r="O953" s="18" t="s">
        <v>1095</v>
      </c>
      <c r="P953" s="18" t="s">
        <v>1095</v>
      </c>
      <c r="Q953" s="29" t="str" cm="1">
        <f t="array" ref="Q953">_xlfn.IFS(
A953="","",
AND(A953&lt;&gt;"",B953=""),"FALTA LANÇAMENTO",
AND(B953&lt;&gt;"",M953=""),"FALTA O PEDIDO",
AND(M953&lt;&gt;"",O953=""),"FALTA NF",
O953&lt;&gt;"","CONCLUÍDO")</f>
        <v>CONCLUÍDO</v>
      </c>
      <c r="R953" s="36"/>
    </row>
    <row r="954" spans="1:18" hidden="1">
      <c r="A954" s="16">
        <v>46099</v>
      </c>
      <c r="B954" s="16">
        <v>46119</v>
      </c>
      <c r="C954" s="21" t="s">
        <v>1134</v>
      </c>
      <c r="D954" s="16" t="str">
        <f>IFERROR(VLOOKUP(Tabela5[[#This Row],[PREFIXO ]],Tabela4[#All],2,0),"CENTRO DE CUSTO")</f>
        <v>CENTRO DE CUSTO</v>
      </c>
      <c r="E954" s="18" t="s">
        <v>41</v>
      </c>
      <c r="F954" s="21">
        <v>26208</v>
      </c>
      <c r="G954" s="22">
        <v>1098.5999999999999</v>
      </c>
      <c r="H954" s="22"/>
      <c r="I954" s="22">
        <f t="shared" si="15"/>
        <v>1098.5999999999999</v>
      </c>
      <c r="J954" s="18" t="s">
        <v>1199</v>
      </c>
      <c r="K954" s="18">
        <v>9822836</v>
      </c>
      <c r="L954" s="18" t="s">
        <v>1095</v>
      </c>
      <c r="M954" s="18" t="s">
        <v>1095</v>
      </c>
      <c r="N954" s="16" t="s">
        <v>1095</v>
      </c>
      <c r="O954" s="18" t="s">
        <v>1095</v>
      </c>
      <c r="P954" s="18" t="s">
        <v>1095</v>
      </c>
      <c r="Q954" s="29" t="str" cm="1">
        <f t="array" ref="Q954">_xlfn.IFS(
A954="","",
AND(A954&lt;&gt;"",B954=""),"FALTA LANÇAMENTO",
AND(B954&lt;&gt;"",M954=""),"FALTA O PEDIDO",
AND(M954&lt;&gt;"",O954=""),"FALTA NF",
O954&lt;&gt;"","CONCLUÍDO")</f>
        <v>CONCLUÍDO</v>
      </c>
      <c r="R954" s="36"/>
    </row>
    <row r="955" spans="1:18" hidden="1">
      <c r="A955" s="16">
        <v>46099</v>
      </c>
      <c r="B955" s="16">
        <v>46147</v>
      </c>
      <c r="C955" s="21">
        <v>81521558</v>
      </c>
      <c r="D955" s="16" t="str">
        <f>IFERROR(VLOOKUP(Tabela5[[#This Row],[PREFIXO ]],Tabela4[#All],2,0),"CENTRO DE CUSTO")</f>
        <v>CACAMBA AGRIC BASCULANTE IMAVI TP6518</v>
      </c>
      <c r="E955" s="18" t="s">
        <v>323</v>
      </c>
      <c r="F955" s="21" t="s">
        <v>1134</v>
      </c>
      <c r="G955" s="22">
        <v>14150</v>
      </c>
      <c r="H955" s="22"/>
      <c r="I955" s="22">
        <f t="shared" si="15"/>
        <v>14150</v>
      </c>
      <c r="J955" s="18" t="s">
        <v>1257</v>
      </c>
      <c r="K955" s="18">
        <v>9813724</v>
      </c>
      <c r="L955" s="18">
        <v>922257</v>
      </c>
      <c r="M955" s="18" t="s">
        <v>2675</v>
      </c>
      <c r="N955" s="16" t="s">
        <v>2676</v>
      </c>
      <c r="O955" s="18" t="s">
        <v>1409</v>
      </c>
      <c r="P955" s="18" t="s">
        <v>2677</v>
      </c>
      <c r="Q955" s="29" t="str" cm="1">
        <f t="array" ref="Q955">_xlfn.IFS(
A955="","",
AND(A955&lt;&gt;"",B955=""),"FALTA LANÇAMENTO",
AND(B955&lt;&gt;"",M955=""),"FALTA O PEDIDO",
AND(M955&lt;&gt;"",O955=""),"FALTA NF",
O955&lt;&gt;"","CONCLUÍDO")</f>
        <v>CONCLUÍDO</v>
      </c>
      <c r="R955" s="36"/>
    </row>
    <row r="956" spans="1:18" hidden="1">
      <c r="A956" s="16">
        <v>46099</v>
      </c>
      <c r="B956" s="16">
        <v>46125</v>
      </c>
      <c r="C956" s="21">
        <v>1504017</v>
      </c>
      <c r="D956" s="16" t="str">
        <f>IFERROR(VLOOKUP(Tabela5[[#This Row],[PREFIXO ]],Tabela4[#All],2,0),"CENTRO DE CUSTO")</f>
        <v>CENTRO DE CUSTO</v>
      </c>
      <c r="E956" s="18" t="s">
        <v>48</v>
      </c>
      <c r="F956" s="21">
        <v>242</v>
      </c>
      <c r="G956" s="22">
        <v>7200</v>
      </c>
      <c r="H956" s="22"/>
      <c r="I956" s="22">
        <f t="shared" si="15"/>
        <v>7200</v>
      </c>
      <c r="J956" s="18" t="s">
        <v>1199</v>
      </c>
      <c r="K956" s="18">
        <v>9826570</v>
      </c>
      <c r="L956" s="18">
        <v>906877</v>
      </c>
      <c r="M956" s="18" t="s">
        <v>2678</v>
      </c>
      <c r="N956" s="16" t="s">
        <v>2619</v>
      </c>
      <c r="O956" s="18" t="s">
        <v>2679</v>
      </c>
      <c r="P956" s="18" t="s">
        <v>2619</v>
      </c>
      <c r="Q956" s="29" t="str" cm="1">
        <f t="array" ref="Q956">_xlfn.IFS(
A956="","",
AND(A956&lt;&gt;"",B956=""),"FALTA LANÇAMENTO",
AND(B956&lt;&gt;"",M956=""),"FALTA O PEDIDO",
AND(M956&lt;&gt;"",O956=""),"FALTA NF",
O956&lt;&gt;"","CONCLUÍDO")</f>
        <v>CONCLUÍDO</v>
      </c>
      <c r="R956" s="36"/>
    </row>
    <row r="957" spans="1:18" hidden="1">
      <c r="A957" s="16">
        <v>46099</v>
      </c>
      <c r="B957" s="16">
        <v>46121</v>
      </c>
      <c r="C957" s="21">
        <v>11521032</v>
      </c>
      <c r="D957" s="16" t="str">
        <f>IFERROR(VLOOKUP(Tabela5[[#This Row],[PREFIXO ]],Tabela4[#All],2,0),"CENTRO DE CUSTO")</f>
        <v>TRAT PN EXT PES FENDT 1046 VARIO</v>
      </c>
      <c r="E957" s="18" t="s">
        <v>48</v>
      </c>
      <c r="F957" s="21">
        <v>243</v>
      </c>
      <c r="G957" s="22">
        <v>7020</v>
      </c>
      <c r="H957" s="22"/>
      <c r="I957" s="22">
        <f t="shared" si="15"/>
        <v>7020</v>
      </c>
      <c r="J957" s="18" t="s">
        <v>1199</v>
      </c>
      <c r="K957" s="18">
        <v>9816486</v>
      </c>
      <c r="L957" s="18">
        <v>904578</v>
      </c>
      <c r="M957" s="18" t="s">
        <v>2680</v>
      </c>
      <c r="N957" s="16" t="s">
        <v>2681</v>
      </c>
      <c r="O957" s="18" t="s">
        <v>2682</v>
      </c>
      <c r="P957" s="18" t="s">
        <v>2619</v>
      </c>
      <c r="Q957" s="29" t="str" cm="1">
        <f t="array" ref="Q957">_xlfn.IFS(
A957="","",
AND(A957&lt;&gt;"",B957=""),"FALTA LANÇAMENTO",
AND(B957&lt;&gt;"",M957=""),"FALTA O PEDIDO",
AND(M957&lt;&gt;"",O957=""),"FALTA NF",
O957&lt;&gt;"","CONCLUÍDO")</f>
        <v>CONCLUÍDO</v>
      </c>
      <c r="R957" s="36"/>
    </row>
    <row r="958" spans="1:18" hidden="1">
      <c r="A958" s="16">
        <v>46099</v>
      </c>
      <c r="B958" s="16">
        <v>46121</v>
      </c>
      <c r="C958" s="21">
        <v>15048015</v>
      </c>
      <c r="D958" s="16" t="str">
        <f>IFERROR(VLOOKUP(Tabela5[[#This Row],[PREFIXO ]],Tabela4[#All],2,0),"CENTRO DE CUSTO")</f>
        <v>TRAT PN EXT PES FENDT VARIO 1050</v>
      </c>
      <c r="E958" s="18" t="s">
        <v>48</v>
      </c>
      <c r="F958" s="21">
        <v>293</v>
      </c>
      <c r="G958" s="22">
        <v>7020</v>
      </c>
      <c r="H958" s="22"/>
      <c r="I958" s="22">
        <f t="shared" si="15"/>
        <v>7020</v>
      </c>
      <c r="J958" s="18" t="s">
        <v>1199</v>
      </c>
      <c r="K958" s="18">
        <v>9816499</v>
      </c>
      <c r="L958" s="18">
        <v>9816495</v>
      </c>
      <c r="M958" s="18" t="s">
        <v>1095</v>
      </c>
      <c r="N958" s="16" t="s">
        <v>1095</v>
      </c>
      <c r="O958" s="18" t="s">
        <v>1095</v>
      </c>
      <c r="P958" s="18" t="s">
        <v>1095</v>
      </c>
      <c r="Q958" s="29" t="str" cm="1">
        <f t="array" ref="Q958">_xlfn.IFS(
A958="","",
AND(A958&lt;&gt;"",B958=""),"FALTA LANÇAMENTO",
AND(B958&lt;&gt;"",M958=""),"FALTA O PEDIDO",
AND(M958&lt;&gt;"",O958=""),"FALTA NF",
O958&lt;&gt;"","CONCLUÍDO")</f>
        <v>CONCLUÍDO</v>
      </c>
      <c r="R958" s="36"/>
    </row>
    <row r="959" spans="1:18" hidden="1">
      <c r="A959" s="16">
        <v>46099</v>
      </c>
      <c r="B959" s="16">
        <v>46121</v>
      </c>
      <c r="C959" s="21">
        <v>31521040</v>
      </c>
      <c r="D959" s="16" t="str">
        <f>IFERROR(VLOOKUP(Tabela5[[#This Row],[PREFIXO ]],Tabela4[#All],2,0),"CENTRO DE CUSTO")</f>
        <v>ADUB AUTOPROP KUHN ACCURA ST 7000</v>
      </c>
      <c r="E959" s="18" t="s">
        <v>48</v>
      </c>
      <c r="F959" s="21">
        <v>291</v>
      </c>
      <c r="G959" s="22">
        <v>4590</v>
      </c>
      <c r="H959" s="22"/>
      <c r="I959" s="22">
        <f t="shared" si="15"/>
        <v>4590</v>
      </c>
      <c r="J959" s="18" t="s">
        <v>1080</v>
      </c>
      <c r="K959" s="18">
        <v>9814999</v>
      </c>
      <c r="L959" s="18">
        <v>9816495</v>
      </c>
      <c r="M959" s="18" t="s">
        <v>1095</v>
      </c>
      <c r="N959" s="16" t="s">
        <v>1095</v>
      </c>
      <c r="O959" s="18" t="s">
        <v>1095</v>
      </c>
      <c r="P959" s="18" t="s">
        <v>1095</v>
      </c>
      <c r="Q959" s="29" t="str" cm="1">
        <f t="array" ref="Q959">_xlfn.IFS(
A959="","",
AND(A959&lt;&gt;"",B959=""),"FALTA LANÇAMENTO",
AND(B959&lt;&gt;"",M959=""),"FALTA O PEDIDO",
AND(M959&lt;&gt;"",O959=""),"FALTA NF",
O959&lt;&gt;"","CONCLUÍDO")</f>
        <v>CONCLUÍDO</v>
      </c>
      <c r="R959" s="36"/>
    </row>
    <row r="960" spans="1:18" hidden="1">
      <c r="A960" s="16">
        <v>46099</v>
      </c>
      <c r="B960" s="16">
        <v>46121</v>
      </c>
      <c r="C960" s="21">
        <v>31521041</v>
      </c>
      <c r="D960" s="16" t="str">
        <f>IFERROR(VLOOKUP(Tabela5[[#This Row],[PREFIXO ]],Tabela4[#All],2,0),"CENTRO DE CUSTO")</f>
        <v>ADUB AUTOPROP KUHN ACCURA ST 7000</v>
      </c>
      <c r="E960" s="18" t="s">
        <v>48</v>
      </c>
      <c r="F960" s="21">
        <v>290</v>
      </c>
      <c r="G960" s="22">
        <v>4590</v>
      </c>
      <c r="H960" s="22"/>
      <c r="I960" s="22">
        <f t="shared" ref="I960:I1023" si="16">G960+H960</f>
        <v>4590</v>
      </c>
      <c r="J960" s="18" t="s">
        <v>1080</v>
      </c>
      <c r="K960" s="18">
        <v>9816481</v>
      </c>
      <c r="L960" s="18">
        <v>904578</v>
      </c>
      <c r="M960" s="18" t="s">
        <v>2680</v>
      </c>
      <c r="N960" s="16" t="s">
        <v>2681</v>
      </c>
      <c r="O960" s="18" t="s">
        <v>2682</v>
      </c>
      <c r="P960" s="18" t="s">
        <v>2619</v>
      </c>
      <c r="Q960" s="29" t="str" cm="1">
        <f t="array" ref="Q960">_xlfn.IFS(
A960="","",
AND(A960&lt;&gt;"",B960=""),"FALTA LANÇAMENTO",
AND(B960&lt;&gt;"",M960=""),"FALTA O PEDIDO",
AND(M960&lt;&gt;"",O960=""),"FALTA NF",
O960&lt;&gt;"","CONCLUÍDO")</f>
        <v>CONCLUÍDO</v>
      </c>
      <c r="R960" s="36"/>
    </row>
    <row r="961" spans="1:18" hidden="1">
      <c r="A961" s="16">
        <v>46099</v>
      </c>
      <c r="B961" s="16">
        <v>46121</v>
      </c>
      <c r="C961" s="21">
        <v>15048016</v>
      </c>
      <c r="D961" s="16" t="str">
        <f>IFERROR(VLOOKUP(Tabela5[[#This Row],[PREFIXO ]],Tabela4[#All],2,0),"CENTRO DE CUSTO")</f>
        <v>TRAT PN EXT PES FENDT VARIO 1050</v>
      </c>
      <c r="E961" s="18" t="s">
        <v>48</v>
      </c>
      <c r="F961" s="21">
        <v>297</v>
      </c>
      <c r="G961" s="22">
        <v>3420</v>
      </c>
      <c r="H961" s="22"/>
      <c r="I961" s="22">
        <f t="shared" si="16"/>
        <v>3420</v>
      </c>
      <c r="J961" s="18" t="s">
        <v>1199</v>
      </c>
      <c r="K961" s="18">
        <v>9816495</v>
      </c>
      <c r="L961" s="18">
        <v>9816495</v>
      </c>
      <c r="M961" s="18" t="s">
        <v>1095</v>
      </c>
      <c r="N961" s="16" t="s">
        <v>1095</v>
      </c>
      <c r="O961" s="18" t="s">
        <v>1095</v>
      </c>
      <c r="P961" s="18" t="s">
        <v>1095</v>
      </c>
      <c r="Q961" s="29" t="str" cm="1">
        <f t="array" ref="Q961">_xlfn.IFS(
A961="","",
AND(A961&lt;&gt;"",B961=""),"FALTA LANÇAMENTO",
AND(B961&lt;&gt;"",M961=""),"FALTA O PEDIDO",
AND(M961&lt;&gt;"",O961=""),"FALTA NF",
O961&lt;&gt;"","CONCLUÍDO")</f>
        <v>CONCLUÍDO</v>
      </c>
      <c r="R961" s="36"/>
    </row>
    <row r="962" spans="1:18" hidden="1">
      <c r="A962" s="16">
        <v>46099</v>
      </c>
      <c r="B962" s="16">
        <v>46121</v>
      </c>
      <c r="C962" s="21">
        <v>15048017</v>
      </c>
      <c r="D962" s="16" t="str">
        <f>IFERROR(VLOOKUP(Tabela5[[#This Row],[PREFIXO ]],Tabela4[#All],2,0),"CENTRO DE CUSTO")</f>
        <v>CENTRO DE CUSTO</v>
      </c>
      <c r="E962" s="18" t="s">
        <v>48</v>
      </c>
      <c r="F962" s="21">
        <v>296</v>
      </c>
      <c r="G962" s="22">
        <v>3420</v>
      </c>
      <c r="H962" s="22"/>
      <c r="I962" s="22">
        <f t="shared" si="16"/>
        <v>3420</v>
      </c>
      <c r="J962" s="18" t="s">
        <v>1199</v>
      </c>
      <c r="K962" s="18">
        <v>9816497</v>
      </c>
      <c r="L962" s="18">
        <v>9816495</v>
      </c>
      <c r="M962" s="18" t="s">
        <v>1095</v>
      </c>
      <c r="N962" s="16" t="s">
        <v>1095</v>
      </c>
      <c r="O962" s="18" t="s">
        <v>1095</v>
      </c>
      <c r="P962" s="18" t="s">
        <v>1095</v>
      </c>
      <c r="Q962" s="29" t="str" cm="1">
        <f t="array" ref="Q962">_xlfn.IFS(
A962="","",
AND(A962&lt;&gt;"",B962=""),"FALTA LANÇAMENTO",
AND(B962&lt;&gt;"",M962=""),"FALTA O PEDIDO",
AND(M962&lt;&gt;"",O962=""),"FALTA NF",
O962&lt;&gt;"","CONCLUÍDO")</f>
        <v>CONCLUÍDO</v>
      </c>
      <c r="R962" s="36"/>
    </row>
    <row r="963" spans="1:18" hidden="1">
      <c r="A963" s="16">
        <v>46099</v>
      </c>
      <c r="B963" s="16">
        <v>46121</v>
      </c>
      <c r="C963" s="21">
        <v>31521032</v>
      </c>
      <c r="D963" s="16" t="str">
        <f>IFERROR(VLOOKUP(Tabela5[[#This Row],[PREFIXO ]],Tabela4[#All],2,0),"CENTRO DE CUSTO")</f>
        <v>ADUB AUTOPROP KUHN ACCURA ST 7000</v>
      </c>
      <c r="E963" s="18" t="s">
        <v>48</v>
      </c>
      <c r="F963" s="21">
        <v>284</v>
      </c>
      <c r="G963" s="22">
        <v>3208.75</v>
      </c>
      <c r="H963" s="22"/>
      <c r="I963" s="22">
        <f t="shared" si="16"/>
        <v>3208.75</v>
      </c>
      <c r="J963" s="18" t="s">
        <v>1080</v>
      </c>
      <c r="K963" s="18">
        <v>9814997</v>
      </c>
      <c r="L963" s="18">
        <v>9816495</v>
      </c>
      <c r="M963" s="18" t="s">
        <v>1095</v>
      </c>
      <c r="N963" s="16" t="s">
        <v>1095</v>
      </c>
      <c r="O963" s="18" t="s">
        <v>1095</v>
      </c>
      <c r="P963" s="18" t="s">
        <v>1095</v>
      </c>
      <c r="Q963" s="29" t="str" cm="1">
        <f t="array" ref="Q963">_xlfn.IFS(
A963="","",
AND(A963&lt;&gt;"",B963=""),"FALTA LANÇAMENTO",
AND(B963&lt;&gt;"",M963=""),"FALTA O PEDIDO",
AND(M963&lt;&gt;"",O963=""),"FALTA NF",
O963&lt;&gt;"","CONCLUÍDO")</f>
        <v>CONCLUÍDO</v>
      </c>
      <c r="R963" s="36"/>
    </row>
    <row r="964" spans="1:18" hidden="1">
      <c r="A964" s="16">
        <v>46099</v>
      </c>
      <c r="B964" s="16">
        <v>46121</v>
      </c>
      <c r="C964" s="21">
        <v>11521006</v>
      </c>
      <c r="D964" s="16" t="str">
        <f>IFERROR(VLOOKUP(Tabela5[[#This Row],[PREFIXO ]],Tabela4[#All],2,0),"CENTRO DE CUSTO")</f>
        <v>TRAT PN EXT PES CASE STEIGER 620</v>
      </c>
      <c r="E964" s="18" t="s">
        <v>48</v>
      </c>
      <c r="F964" s="21">
        <v>286</v>
      </c>
      <c r="G964" s="22">
        <v>3037.5</v>
      </c>
      <c r="H964" s="22"/>
      <c r="I964" s="22">
        <f t="shared" si="16"/>
        <v>3037.5</v>
      </c>
      <c r="J964" s="18" t="s">
        <v>1199</v>
      </c>
      <c r="K964" s="18">
        <v>9817224</v>
      </c>
      <c r="L964" s="18">
        <v>9816495</v>
      </c>
      <c r="M964" s="18" t="s">
        <v>1095</v>
      </c>
      <c r="N964" s="16" t="s">
        <v>1095</v>
      </c>
      <c r="O964" s="18" t="s">
        <v>1095</v>
      </c>
      <c r="P964" s="18" t="s">
        <v>1095</v>
      </c>
      <c r="Q964" s="29" t="str" cm="1">
        <f t="array" ref="Q964">_xlfn.IFS(
A964="","",
AND(A964&lt;&gt;"",B964=""),"FALTA LANÇAMENTO",
AND(B964&lt;&gt;"",M964=""),"FALTA O PEDIDO",
AND(M964&lt;&gt;"",O964=""),"FALTA NF",
O964&lt;&gt;"","CONCLUÍDO")</f>
        <v>CONCLUÍDO</v>
      </c>
      <c r="R964" s="36"/>
    </row>
    <row r="965" spans="1:18" hidden="1">
      <c r="A965" s="16">
        <v>46099</v>
      </c>
      <c r="B965" s="16">
        <v>46121</v>
      </c>
      <c r="C965" s="21">
        <v>61521090</v>
      </c>
      <c r="D965" s="16" t="str">
        <f>IFERROR(VLOOKUP(Tabela5[[#This Row],[PREFIXO ]],Tabela4[#All],2,0),"CENTRO DE CUSTO")</f>
        <v>PA CARREGADEIRA JOHN DEERE 524 K II</v>
      </c>
      <c r="E965" s="18" t="s">
        <v>48</v>
      </c>
      <c r="F965" s="21">
        <v>295</v>
      </c>
      <c r="G965" s="22">
        <v>2880</v>
      </c>
      <c r="H965" s="22"/>
      <c r="I965" s="22">
        <f t="shared" si="16"/>
        <v>2880</v>
      </c>
      <c r="J965" s="18" t="s">
        <v>1080</v>
      </c>
      <c r="K965" s="18">
        <v>9816484</v>
      </c>
      <c r="L965" s="18">
        <v>904578</v>
      </c>
      <c r="M965" s="18" t="s">
        <v>2680</v>
      </c>
      <c r="N965" s="16" t="s">
        <v>2681</v>
      </c>
      <c r="O965" s="18" t="s">
        <v>2682</v>
      </c>
      <c r="P965" s="18" t="s">
        <v>2619</v>
      </c>
      <c r="Q965" s="29" t="str" cm="1">
        <f t="array" ref="Q965">_xlfn.IFS(
A965="","",
AND(A965&lt;&gt;"",B965=""),"FALTA LANÇAMENTO",
AND(B965&lt;&gt;"",M965=""),"FALTA O PEDIDO",
AND(M965&lt;&gt;"",O965=""),"FALTA NF",
O965&lt;&gt;"","CONCLUÍDO")</f>
        <v>CONCLUÍDO</v>
      </c>
      <c r="R965" s="36"/>
    </row>
    <row r="966" spans="1:18" hidden="1">
      <c r="A966" s="16">
        <v>46099</v>
      </c>
      <c r="B966" s="16">
        <v>46121</v>
      </c>
      <c r="C966" s="21">
        <v>11521001</v>
      </c>
      <c r="D966" s="16" t="str">
        <f>IFERROR(VLOOKUP(Tabela5[[#This Row],[PREFIXO ]],Tabela4[#All],2,0),"CENTRO DE CUSTO")</f>
        <v>TRAT PN EXT PES CASE STEIGER 620</v>
      </c>
      <c r="E966" s="18" t="s">
        <v>48</v>
      </c>
      <c r="F966" s="21">
        <v>248</v>
      </c>
      <c r="G966" s="22">
        <v>2868</v>
      </c>
      <c r="H966" s="22"/>
      <c r="I966" s="22">
        <f t="shared" si="16"/>
        <v>2868</v>
      </c>
      <c r="J966" s="18" t="s">
        <v>1199</v>
      </c>
      <c r="K966" s="18">
        <v>9816489</v>
      </c>
      <c r="L966" s="18">
        <v>904578</v>
      </c>
      <c r="M966" s="18" t="s">
        <v>2680</v>
      </c>
      <c r="N966" s="16" t="s">
        <v>2681</v>
      </c>
      <c r="O966" s="18" t="s">
        <v>2682</v>
      </c>
      <c r="P966" s="18" t="s">
        <v>2619</v>
      </c>
      <c r="Q966" s="29" t="str" cm="1">
        <f t="array" ref="Q966">_xlfn.IFS(
A966="","",
AND(A966&lt;&gt;"",B966=""),"FALTA LANÇAMENTO",
AND(B966&lt;&gt;"",M966=""),"FALTA O PEDIDO",
AND(M966&lt;&gt;"",O966=""),"FALTA NF",
O966&lt;&gt;"","CONCLUÍDO")</f>
        <v>CONCLUÍDO</v>
      </c>
      <c r="R966" s="36"/>
    </row>
    <row r="967" spans="1:18" hidden="1">
      <c r="A967" s="16">
        <v>46099</v>
      </c>
      <c r="B967" s="16">
        <v>46121</v>
      </c>
      <c r="C967" s="21">
        <v>11521004</v>
      </c>
      <c r="D967" s="16" t="str">
        <f>IFERROR(VLOOKUP(Tabela5[[#This Row],[PREFIXO ]],Tabela4[#All],2,0),"CENTRO DE CUSTO")</f>
        <v>TRAT PN EXT PES CASE STEIGER 620</v>
      </c>
      <c r="E967" s="18" t="s">
        <v>48</v>
      </c>
      <c r="F967" s="21">
        <v>247</v>
      </c>
      <c r="G967" s="22">
        <v>2868</v>
      </c>
      <c r="H967" s="22"/>
      <c r="I967" s="22">
        <f t="shared" si="16"/>
        <v>2868</v>
      </c>
      <c r="J967" s="18" t="s">
        <v>1199</v>
      </c>
      <c r="K967" s="18">
        <v>9816490</v>
      </c>
      <c r="L967" s="18">
        <v>904578</v>
      </c>
      <c r="M967" s="18" t="s">
        <v>2680</v>
      </c>
      <c r="N967" s="16" t="s">
        <v>2681</v>
      </c>
      <c r="O967" s="18" t="s">
        <v>2682</v>
      </c>
      <c r="P967" s="18" t="s">
        <v>2619</v>
      </c>
      <c r="Q967" s="29" t="str" cm="1">
        <f t="array" ref="Q967">_xlfn.IFS(
A967="","",
AND(A967&lt;&gt;"",B967=""),"FALTA LANÇAMENTO",
AND(B967&lt;&gt;"",M967=""),"FALTA O PEDIDO",
AND(M967&lt;&gt;"",O967=""),"FALTA NF",
O967&lt;&gt;"","CONCLUÍDO")</f>
        <v>CONCLUÍDO</v>
      </c>
      <c r="R967" s="36"/>
    </row>
    <row r="968" spans="1:18" hidden="1">
      <c r="A968" s="16">
        <v>46099</v>
      </c>
      <c r="B968" s="16">
        <v>46121</v>
      </c>
      <c r="C968" s="21">
        <v>61521051</v>
      </c>
      <c r="D968" s="16" t="str">
        <f>IFERROR(VLOOKUP(Tabela5[[#This Row],[PREFIXO ]],Tabela4[#All],2,0),"CENTRO DE CUSTO")</f>
        <v>CENTRO DE CUSTO</v>
      </c>
      <c r="E968" s="18" t="s">
        <v>48</v>
      </c>
      <c r="F968" s="21">
        <v>285</v>
      </c>
      <c r="G968" s="22">
        <v>2825</v>
      </c>
      <c r="H968" s="22"/>
      <c r="I968" s="22">
        <f t="shared" si="16"/>
        <v>2825</v>
      </c>
      <c r="J968" s="18" t="s">
        <v>1199</v>
      </c>
      <c r="K968" s="18">
        <v>9822936</v>
      </c>
      <c r="L968" s="18">
        <v>904578</v>
      </c>
      <c r="M968" s="18" t="s">
        <v>2680</v>
      </c>
      <c r="N968" s="16" t="s">
        <v>2681</v>
      </c>
      <c r="O968" s="18" t="s">
        <v>2682</v>
      </c>
      <c r="P968" s="18" t="s">
        <v>2619</v>
      </c>
      <c r="Q968" s="29" t="str" cm="1">
        <f t="array" ref="Q968">_xlfn.IFS(
A968="","",
AND(A968&lt;&gt;"",B968=""),"FALTA LANÇAMENTO",
AND(B968&lt;&gt;"",M968=""),"FALTA O PEDIDO",
AND(M968&lt;&gt;"",O968=""),"FALTA NF",
O968&lt;&gt;"","CONCLUÍDO")</f>
        <v>CONCLUÍDO</v>
      </c>
      <c r="R968" s="36"/>
    </row>
    <row r="969" spans="1:18" hidden="1">
      <c r="A969" s="16">
        <v>46099</v>
      </c>
      <c r="B969" s="16">
        <v>46121</v>
      </c>
      <c r="C969" s="21">
        <v>31521038</v>
      </c>
      <c r="D969" s="16" t="str">
        <f>IFERROR(VLOOKUP(Tabela5[[#This Row],[PREFIXO ]],Tabela4[#All],2,0),"CENTRO DE CUSTO")</f>
        <v>ADUB AUTOPROP KUHN ACCURA ST 7000</v>
      </c>
      <c r="E969" s="18" t="s">
        <v>48</v>
      </c>
      <c r="F969" s="21">
        <v>246</v>
      </c>
      <c r="G969" s="22">
        <v>2800</v>
      </c>
      <c r="H969" s="22"/>
      <c r="I969" s="22">
        <f t="shared" si="16"/>
        <v>2800</v>
      </c>
      <c r="J969" s="18" t="s">
        <v>1080</v>
      </c>
      <c r="K969" s="18">
        <v>9816482</v>
      </c>
      <c r="L969" s="18">
        <v>904578</v>
      </c>
      <c r="M969" s="18" t="s">
        <v>2680</v>
      </c>
      <c r="N969" s="16" t="s">
        <v>2681</v>
      </c>
      <c r="O969" s="18" t="s">
        <v>2682</v>
      </c>
      <c r="P969" s="18" t="s">
        <v>2619</v>
      </c>
      <c r="Q969" s="29" t="str" cm="1">
        <f t="array" ref="Q969">_xlfn.IFS(
A969="","",
AND(A969&lt;&gt;"",B969=""),"FALTA LANÇAMENTO",
AND(B969&lt;&gt;"",M969=""),"FALTA O PEDIDO",
AND(M969&lt;&gt;"",O969=""),"FALTA NF",
O969&lt;&gt;"","CONCLUÍDO")</f>
        <v>CONCLUÍDO</v>
      </c>
      <c r="R969" s="36"/>
    </row>
    <row r="970" spans="1:18" hidden="1">
      <c r="A970" s="16">
        <v>46099</v>
      </c>
      <c r="B970" s="16">
        <v>46121</v>
      </c>
      <c r="C970" s="21">
        <v>61521091</v>
      </c>
      <c r="D970" s="16" t="str">
        <f>IFERROR(VLOOKUP(Tabela5[[#This Row],[PREFIXO ]],Tabela4[#All],2,0),"CENTRO DE CUSTO")</f>
        <v>PA CARREGADEIRA JOHN DEERE 524 K II</v>
      </c>
      <c r="E970" s="18" t="s">
        <v>48</v>
      </c>
      <c r="F970" s="21">
        <v>300</v>
      </c>
      <c r="G970" s="22">
        <v>2691</v>
      </c>
      <c r="H970" s="22"/>
      <c r="I970" s="22">
        <f t="shared" si="16"/>
        <v>2691</v>
      </c>
      <c r="J970" s="18" t="s">
        <v>1080</v>
      </c>
      <c r="K970" s="18">
        <v>9816485</v>
      </c>
      <c r="L970" s="18">
        <v>904578</v>
      </c>
      <c r="M970" s="18" t="s">
        <v>2680</v>
      </c>
      <c r="N970" s="16" t="s">
        <v>2681</v>
      </c>
      <c r="O970" s="18" t="s">
        <v>2682</v>
      </c>
      <c r="P970" s="18" t="s">
        <v>2619</v>
      </c>
      <c r="Q970" s="29" t="str" cm="1">
        <f t="array" ref="Q970">_xlfn.IFS(
A970="","",
AND(A970&lt;&gt;"",B970=""),"FALTA LANÇAMENTO",
AND(B970&lt;&gt;"",M970=""),"FALTA O PEDIDO",
AND(M970&lt;&gt;"",O970=""),"FALTA NF",
O970&lt;&gt;"","CONCLUÍDO")</f>
        <v>CONCLUÍDO</v>
      </c>
      <c r="R970" s="36"/>
    </row>
    <row r="971" spans="1:18" hidden="1">
      <c r="A971" s="16">
        <v>46099</v>
      </c>
      <c r="B971" s="16">
        <v>46121</v>
      </c>
      <c r="C971" s="21">
        <v>13100005</v>
      </c>
      <c r="D971" s="16" t="str">
        <f>IFERROR(VLOOKUP(Tabela5[[#This Row],[PREFIXO ]],Tabela4[#All],2,0),"CENTRO DE CUSTO")</f>
        <v>TRAT PN PES JOHN DEERE 8400R</v>
      </c>
      <c r="E971" s="18" t="s">
        <v>48</v>
      </c>
      <c r="F971" s="21">
        <v>294</v>
      </c>
      <c r="G971" s="22">
        <v>2632.5</v>
      </c>
      <c r="H971" s="22"/>
      <c r="I971" s="22">
        <f t="shared" si="16"/>
        <v>2632.5</v>
      </c>
      <c r="J971" s="18" t="s">
        <v>1199</v>
      </c>
      <c r="K971" s="18">
        <v>9816498</v>
      </c>
      <c r="L971" s="18">
        <v>9816495</v>
      </c>
      <c r="M971" s="18" t="s">
        <v>1095</v>
      </c>
      <c r="N971" s="16" t="s">
        <v>1095</v>
      </c>
      <c r="O971" s="18" t="s">
        <v>1095</v>
      </c>
      <c r="P971" s="18" t="s">
        <v>1095</v>
      </c>
      <c r="Q971" s="29" t="str" cm="1">
        <f t="array" ref="Q971">_xlfn.IFS(
A971="","",
AND(A971&lt;&gt;"",B971=""),"FALTA LANÇAMENTO",
AND(B971&lt;&gt;"",M971=""),"FALTA O PEDIDO",
AND(M971&lt;&gt;"",O971=""),"FALTA NF",
O971&lt;&gt;"","CONCLUÍDO")</f>
        <v>CONCLUÍDO</v>
      </c>
      <c r="R971" s="36"/>
    </row>
    <row r="972" spans="1:18" hidden="1">
      <c r="A972" s="16">
        <v>46099</v>
      </c>
      <c r="B972" s="16">
        <v>46121</v>
      </c>
      <c r="C972" s="21">
        <v>6152010</v>
      </c>
      <c r="D972" s="16" t="str">
        <f>IFERROR(VLOOKUP(Tabela5[[#This Row],[PREFIXO ]],Tabela4[#All],2,0),"CENTRO DE CUSTO")</f>
        <v>CENTRO DE CUSTO</v>
      </c>
      <c r="E972" s="18" t="s">
        <v>48</v>
      </c>
      <c r="F972" s="21">
        <v>283</v>
      </c>
      <c r="G972" s="22">
        <v>2346</v>
      </c>
      <c r="H972" s="22"/>
      <c r="I972" s="22">
        <f t="shared" si="16"/>
        <v>2346</v>
      </c>
      <c r="J972" s="18" t="s">
        <v>1080</v>
      </c>
      <c r="K972" s="18">
        <v>9814998</v>
      </c>
      <c r="L972" s="18">
        <v>9816495</v>
      </c>
      <c r="M972" s="18" t="s">
        <v>1095</v>
      </c>
      <c r="N972" s="16" t="s">
        <v>1095</v>
      </c>
      <c r="O972" s="18" t="s">
        <v>1095</v>
      </c>
      <c r="P972" s="18" t="s">
        <v>1095</v>
      </c>
      <c r="Q972" s="29" t="str" cm="1">
        <f t="array" ref="Q972">_xlfn.IFS(
A972="","",
AND(A972&lt;&gt;"",B972=""),"FALTA LANÇAMENTO",
AND(B972&lt;&gt;"",M972=""),"FALTA O PEDIDO",
AND(M972&lt;&gt;"",O972=""),"FALTA NF",
O972&lt;&gt;"","CONCLUÍDO")</f>
        <v>CONCLUÍDO</v>
      </c>
      <c r="R972" s="36"/>
    </row>
    <row r="973" spans="1:18" hidden="1">
      <c r="A973" s="16">
        <v>46099</v>
      </c>
      <c r="B973" s="16">
        <v>46121</v>
      </c>
      <c r="C973" s="21">
        <v>1173001</v>
      </c>
      <c r="D973" s="16" t="str">
        <f>IFERROR(VLOOKUP(Tabela5[[#This Row],[PREFIXO ]],Tabela4[#All],2,0),"CENTRO DE CUSTO")</f>
        <v>TRAT PN LEVE M FERGUSON MF 275</v>
      </c>
      <c r="E973" s="18" t="s">
        <v>48</v>
      </c>
      <c r="F973" s="21">
        <v>245</v>
      </c>
      <c r="G973" s="22">
        <v>1939.5</v>
      </c>
      <c r="H973" s="22"/>
      <c r="I973" s="22">
        <f t="shared" si="16"/>
        <v>1939.5</v>
      </c>
      <c r="J973" s="18" t="s">
        <v>1199</v>
      </c>
      <c r="K973" s="18">
        <v>9816487</v>
      </c>
      <c r="L973" s="18">
        <v>904578</v>
      </c>
      <c r="M973" s="18" t="s">
        <v>2680</v>
      </c>
      <c r="N973" s="16" t="s">
        <v>2681</v>
      </c>
      <c r="O973" s="18" t="s">
        <v>2682</v>
      </c>
      <c r="P973" s="18" t="s">
        <v>2619</v>
      </c>
      <c r="Q973" s="29" t="str" cm="1">
        <f t="array" ref="Q973">_xlfn.IFS(
A973="","",
AND(A973&lt;&gt;"",B973=""),"FALTA LANÇAMENTO",
AND(B973&lt;&gt;"",M973=""),"FALTA O PEDIDO",
AND(M973&lt;&gt;"",O973=""),"FALTA NF",
O973&lt;&gt;"","CONCLUÍDO")</f>
        <v>CONCLUÍDO</v>
      </c>
      <c r="R973" s="36"/>
    </row>
    <row r="974" spans="1:18" hidden="1">
      <c r="A974" s="16">
        <v>46099</v>
      </c>
      <c r="B974" s="16">
        <v>46121</v>
      </c>
      <c r="C974" s="21">
        <v>1173005</v>
      </c>
      <c r="D974" s="16" t="str">
        <f>IFERROR(VLOOKUP(Tabela5[[#This Row],[PREFIXO ]],Tabela4[#All],2,0),"CENTRO DE CUSTO")</f>
        <v>TRAT PN LEVE M FERGUSON MF 275</v>
      </c>
      <c r="E974" s="18" t="s">
        <v>48</v>
      </c>
      <c r="F974" s="21">
        <v>299</v>
      </c>
      <c r="G974" s="22">
        <v>1725</v>
      </c>
      <c r="H974" s="22"/>
      <c r="I974" s="22">
        <f t="shared" si="16"/>
        <v>1725</v>
      </c>
      <c r="J974" s="18" t="s">
        <v>1199</v>
      </c>
      <c r="K974" s="18">
        <v>9816492</v>
      </c>
      <c r="L974" s="18">
        <v>904578</v>
      </c>
      <c r="M974" s="18" t="s">
        <v>2680</v>
      </c>
      <c r="N974" s="16" t="s">
        <v>2681</v>
      </c>
      <c r="O974" s="18" t="s">
        <v>2682</v>
      </c>
      <c r="P974" s="18" t="s">
        <v>2619</v>
      </c>
      <c r="Q974" s="29" t="str" cm="1">
        <f t="array" ref="Q974">_xlfn.IFS(
A974="","",
AND(A974&lt;&gt;"",B974=""),"FALTA LANÇAMENTO",
AND(B974&lt;&gt;"",M974=""),"FALTA O PEDIDO",
AND(M974&lt;&gt;"",O974=""),"FALTA NF",
O974&lt;&gt;"","CONCLUÍDO")</f>
        <v>CONCLUÍDO</v>
      </c>
      <c r="R974" s="36"/>
    </row>
    <row r="975" spans="1:18" hidden="1">
      <c r="A975" s="16">
        <v>46099</v>
      </c>
      <c r="B975" s="16">
        <v>46121</v>
      </c>
      <c r="C975" s="21">
        <v>1173006</v>
      </c>
      <c r="D975" s="16" t="str">
        <f>IFERROR(VLOOKUP(Tabela5[[#This Row],[PREFIXO ]],Tabela4[#All],2,0),"CENTRO DE CUSTO")</f>
        <v>TRAT PN LEVE M FERGUSON MF 275</v>
      </c>
      <c r="E975" s="18" t="s">
        <v>48</v>
      </c>
      <c r="F975" s="21">
        <v>298</v>
      </c>
      <c r="G975" s="22">
        <v>1725</v>
      </c>
      <c r="H975" s="22"/>
      <c r="I975" s="22">
        <f t="shared" si="16"/>
        <v>1725</v>
      </c>
      <c r="J975" s="18" t="s">
        <v>1199</v>
      </c>
      <c r="K975" s="18">
        <v>9816493</v>
      </c>
      <c r="L975" s="18">
        <v>904578</v>
      </c>
      <c r="M975" s="18" t="s">
        <v>2680</v>
      </c>
      <c r="N975" s="16" t="s">
        <v>2681</v>
      </c>
      <c r="O975" s="18" t="s">
        <v>2682</v>
      </c>
      <c r="P975" s="18" t="s">
        <v>2619</v>
      </c>
      <c r="Q975" s="29" t="str" cm="1">
        <f t="array" ref="Q975">_xlfn.IFS(
A975="","",
AND(A975&lt;&gt;"",B975=""),"FALTA LANÇAMENTO",
AND(B975&lt;&gt;"",M975=""),"FALTA O PEDIDO",
AND(M975&lt;&gt;"",O975=""),"FALTA NF",
O975&lt;&gt;"","CONCLUÍDO")</f>
        <v>CONCLUÍDO</v>
      </c>
      <c r="R975" s="36"/>
    </row>
    <row r="976" spans="1:18" hidden="1">
      <c r="A976" s="16">
        <v>46099</v>
      </c>
      <c r="B976" s="16">
        <v>46121</v>
      </c>
      <c r="C976" s="21">
        <v>1173002</v>
      </c>
      <c r="D976" s="16" t="str">
        <f>IFERROR(VLOOKUP(Tabela5[[#This Row],[PREFIXO ]],Tabela4[#All],2,0),"CENTRO DE CUSTO")</f>
        <v>TRAT PN LEVE M FERGUSON MF 275</v>
      </c>
      <c r="E976" s="18" t="s">
        <v>48</v>
      </c>
      <c r="F976" s="21">
        <v>288</v>
      </c>
      <c r="G976" s="22">
        <v>1725</v>
      </c>
      <c r="H976" s="22"/>
      <c r="I976" s="22">
        <f t="shared" si="16"/>
        <v>1725</v>
      </c>
      <c r="J976" s="18" t="s">
        <v>1199</v>
      </c>
      <c r="K976" s="18">
        <v>9817223</v>
      </c>
      <c r="L976" s="18">
        <v>9816495</v>
      </c>
      <c r="M976" s="18" t="s">
        <v>2683</v>
      </c>
      <c r="N976" s="16" t="s">
        <v>2684</v>
      </c>
      <c r="O976" s="18" t="s">
        <v>1095</v>
      </c>
      <c r="P976" s="18" t="s">
        <v>1095</v>
      </c>
      <c r="Q976" s="29" t="str" cm="1">
        <f t="array" ref="Q976">_xlfn.IFS(
A976="","",
AND(A976&lt;&gt;"",B976=""),"FALTA LANÇAMENTO",
AND(B976&lt;&gt;"",M976=""),"FALTA O PEDIDO",
AND(M976&lt;&gt;"",O976=""),"FALTA NF",
O976&lt;&gt;"","CONCLUÍDO")</f>
        <v>CONCLUÍDO</v>
      </c>
      <c r="R976" s="36"/>
    </row>
    <row r="977" spans="1:18" hidden="1">
      <c r="A977" s="16">
        <v>46099</v>
      </c>
      <c r="B977" s="16">
        <v>46125</v>
      </c>
      <c r="C977" s="21" t="s">
        <v>1134</v>
      </c>
      <c r="D977" s="16" t="str">
        <f>IFERROR(VLOOKUP(Tabela5[[#This Row],[PREFIXO ]],Tabela4[#All],2,0),"CENTRO DE CUSTO")</f>
        <v>CENTRO DE CUSTO</v>
      </c>
      <c r="E977" s="18" t="s">
        <v>48</v>
      </c>
      <c r="F977" s="21">
        <v>244</v>
      </c>
      <c r="G977" s="22">
        <v>1525</v>
      </c>
      <c r="H977" s="22"/>
      <c r="I977" s="22">
        <f t="shared" si="16"/>
        <v>1525</v>
      </c>
      <c r="J977" s="18" t="s">
        <v>1199</v>
      </c>
      <c r="K977" s="18">
        <v>9826568</v>
      </c>
      <c r="L977" s="18">
        <v>906877</v>
      </c>
      <c r="M977" s="18" t="s">
        <v>2678</v>
      </c>
      <c r="N977" s="16" t="s">
        <v>2619</v>
      </c>
      <c r="O977" s="18" t="s">
        <v>2679</v>
      </c>
      <c r="P977" s="18" t="s">
        <v>2619</v>
      </c>
      <c r="Q977" s="29" t="str" cm="1">
        <f t="array" ref="Q977">_xlfn.IFS(
A977="","",
AND(A977&lt;&gt;"",B977=""),"FALTA LANÇAMENTO",
AND(B977&lt;&gt;"",M977=""),"FALTA O PEDIDO",
AND(M977&lt;&gt;"",O977=""),"FALTA NF",
O977&lt;&gt;"","CONCLUÍDO")</f>
        <v>CONCLUÍDO</v>
      </c>
      <c r="R977" s="36"/>
    </row>
    <row r="978" spans="1:18" hidden="1">
      <c r="A978" s="16">
        <v>46099</v>
      </c>
      <c r="B978" s="16">
        <v>46121</v>
      </c>
      <c r="C978" s="21">
        <v>1173022</v>
      </c>
      <c r="D978" s="16" t="str">
        <f>IFERROR(VLOOKUP(Tabela5[[#This Row],[PREFIXO ]],Tabela4[#All],2,0),"CENTRO DE CUSTO")</f>
        <v>TRAT PN MED N.HOLLAND 7630</v>
      </c>
      <c r="E978" s="18" t="s">
        <v>48</v>
      </c>
      <c r="F978" s="21">
        <v>289</v>
      </c>
      <c r="G978" s="22">
        <v>1500</v>
      </c>
      <c r="H978" s="22"/>
      <c r="I978" s="22">
        <f t="shared" si="16"/>
        <v>1500</v>
      </c>
      <c r="J978" s="18" t="s">
        <v>1199</v>
      </c>
      <c r="K978" s="18">
        <v>9817222</v>
      </c>
      <c r="L978" s="18">
        <v>9816495</v>
      </c>
      <c r="M978" s="18" t="s">
        <v>1095</v>
      </c>
      <c r="N978" s="16" t="s">
        <v>1095</v>
      </c>
      <c r="O978" s="18" t="s">
        <v>1095</v>
      </c>
      <c r="P978" s="18" t="s">
        <v>1095</v>
      </c>
      <c r="Q978" s="29" t="str" cm="1">
        <f t="array" ref="Q978">_xlfn.IFS(
A978="","",
AND(A978&lt;&gt;"",B978=""),"FALTA LANÇAMENTO",
AND(B978&lt;&gt;"",M978=""),"FALTA O PEDIDO",
AND(M978&lt;&gt;"",O978=""),"FALTA NF",
O978&lt;&gt;"","CONCLUÍDO")</f>
        <v>CONCLUÍDO</v>
      </c>
      <c r="R978" s="36"/>
    </row>
    <row r="979" spans="1:18" hidden="1">
      <c r="A979" s="16">
        <v>46099</v>
      </c>
      <c r="B979" s="16">
        <v>46121</v>
      </c>
      <c r="C979" s="21">
        <v>1173062</v>
      </c>
      <c r="D979" s="16" t="str">
        <f>IFERROR(VLOOKUP(Tabela5[[#This Row],[PREFIXO ]],Tabela4[#All],2,0),"CENTRO DE CUSTO")</f>
        <v>TRAT PN MED M FERGUSON MF 297</v>
      </c>
      <c r="E979" s="18" t="s">
        <v>48</v>
      </c>
      <c r="F979" s="21">
        <v>292</v>
      </c>
      <c r="G979" s="22">
        <v>1283</v>
      </c>
      <c r="H979" s="22"/>
      <c r="I979" s="22">
        <f t="shared" si="16"/>
        <v>1283</v>
      </c>
      <c r="J979" s="18" t="s">
        <v>1199</v>
      </c>
      <c r="K979" s="18">
        <v>9817221</v>
      </c>
      <c r="L979" s="18">
        <v>9816495</v>
      </c>
      <c r="M979" s="18" t="s">
        <v>1095</v>
      </c>
      <c r="N979" s="16" t="s">
        <v>1095</v>
      </c>
      <c r="O979" s="18" t="s">
        <v>1095</v>
      </c>
      <c r="P979" s="18" t="s">
        <v>1095</v>
      </c>
      <c r="Q979" s="29" t="str" cm="1">
        <f t="array" ref="Q979">_xlfn.IFS(
A979="","",
AND(A979&lt;&gt;"",B979=""),"FALTA LANÇAMENTO",
AND(B979&lt;&gt;"",M979=""),"FALTA O PEDIDO",
AND(M979&lt;&gt;"",O979=""),"FALTA NF",
O979&lt;&gt;"","CONCLUÍDO")</f>
        <v>CONCLUÍDO</v>
      </c>
      <c r="R979" s="36"/>
    </row>
    <row r="980" spans="1:18" hidden="1">
      <c r="A980" s="16">
        <v>46099</v>
      </c>
      <c r="B980" s="16">
        <v>46121</v>
      </c>
      <c r="C980" s="21">
        <v>41521042</v>
      </c>
      <c r="D980" s="16" t="str">
        <f>IFERROR(VLOOKUP(Tabela5[[#This Row],[PREFIXO ]],Tabela4[#All],2,0),"CENTRO DE CUSTO")</f>
        <v>UTILITARIO CITROEN JUMPY AMB</v>
      </c>
      <c r="E980" s="18" t="s">
        <v>48</v>
      </c>
      <c r="F980" s="21">
        <v>287</v>
      </c>
      <c r="G980" s="22">
        <v>975</v>
      </c>
      <c r="H980" s="22"/>
      <c r="I980" s="22">
        <f t="shared" si="16"/>
        <v>975</v>
      </c>
      <c r="J980" s="18" t="s">
        <v>1199</v>
      </c>
      <c r="K980" s="18">
        <v>9817225</v>
      </c>
      <c r="L980" s="18">
        <v>9816495</v>
      </c>
      <c r="M980" s="18" t="s">
        <v>1095</v>
      </c>
      <c r="N980" s="16" t="s">
        <v>1095</v>
      </c>
      <c r="O980" s="18" t="s">
        <v>1095</v>
      </c>
      <c r="P980" s="18" t="s">
        <v>1095</v>
      </c>
      <c r="Q980" s="29" t="str" cm="1">
        <f t="array" ref="Q980">_xlfn.IFS(
A980="","",
AND(A980&lt;&gt;"",B980=""),"FALTA LANÇAMENTO",
AND(B980&lt;&gt;"",M980=""),"FALTA O PEDIDO",
AND(M980&lt;&gt;"",O980=""),"FALTA NF",
O980&lt;&gt;"","CONCLUÍDO")</f>
        <v>CONCLUÍDO</v>
      </c>
      <c r="R980" s="36"/>
    </row>
    <row r="981" spans="1:18" hidden="1">
      <c r="A981" s="16">
        <v>46099</v>
      </c>
      <c r="B981" s="16">
        <v>46114</v>
      </c>
      <c r="C981" s="21">
        <v>31521024</v>
      </c>
      <c r="D981" s="16" t="str">
        <f>IFERROR(VLOOKUP(Tabela5[[#This Row],[PREFIXO ]],Tabela4[#All],2,0),"CENTRO DE CUSTO")</f>
        <v>PULV AUTOPROP JACTO UNIPORT 3030</v>
      </c>
      <c r="E981" s="18" t="s">
        <v>49</v>
      </c>
      <c r="F981" s="21" t="s">
        <v>1752</v>
      </c>
      <c r="G981" s="22">
        <v>3375</v>
      </c>
      <c r="H981" s="22"/>
      <c r="I981" s="22">
        <f t="shared" si="16"/>
        <v>3375</v>
      </c>
      <c r="J981" s="18" t="s">
        <v>1265</v>
      </c>
      <c r="K981" s="18">
        <v>9814130</v>
      </c>
      <c r="L981" s="18">
        <v>900555</v>
      </c>
      <c r="M981" s="18" t="s">
        <v>2685</v>
      </c>
      <c r="N981" s="16" t="s">
        <v>2538</v>
      </c>
      <c r="O981" s="18" t="s">
        <v>2686</v>
      </c>
      <c r="P981" s="18" t="s">
        <v>2305</v>
      </c>
      <c r="Q981" s="29" t="str" cm="1">
        <f t="array" ref="Q981">_xlfn.IFS(
A981="","",
AND(A981&lt;&gt;"",B981=""),"FALTA LANÇAMENTO",
AND(B981&lt;&gt;"",M981=""),"FALTA O PEDIDO",
AND(M981&lt;&gt;"",O981=""),"FALTA NF",
O981&lt;&gt;"","CONCLUÍDO")</f>
        <v>CONCLUÍDO</v>
      </c>
      <c r="R981" s="36"/>
    </row>
    <row r="982" spans="1:18" hidden="1">
      <c r="A982" s="16">
        <v>46099</v>
      </c>
      <c r="B982" s="16">
        <v>46114</v>
      </c>
      <c r="C982" s="21">
        <v>31521037</v>
      </c>
      <c r="D982" s="16" t="str">
        <f>IFERROR(VLOOKUP(Tabela5[[#This Row],[PREFIXO ]],Tabela4[#All],2,0),"CENTRO DE CUSTO")</f>
        <v>ADUB AUTOPROP KUHN ACCURA ST 7000</v>
      </c>
      <c r="E982" s="18" t="s">
        <v>49</v>
      </c>
      <c r="F982" s="21" t="s">
        <v>2624</v>
      </c>
      <c r="G982" s="22">
        <v>1852.2</v>
      </c>
      <c r="H982" s="22"/>
      <c r="I982" s="22">
        <f t="shared" si="16"/>
        <v>1852.2</v>
      </c>
      <c r="J982" s="18" t="s">
        <v>1265</v>
      </c>
      <c r="K982" s="18">
        <v>9814129</v>
      </c>
      <c r="L982" s="18">
        <v>900555</v>
      </c>
      <c r="M982" s="18" t="s">
        <v>2685</v>
      </c>
      <c r="N982" s="16" t="s">
        <v>2538</v>
      </c>
      <c r="O982" s="18" t="s">
        <v>2686</v>
      </c>
      <c r="P982" s="18" t="s">
        <v>2305</v>
      </c>
      <c r="Q982" s="29" t="str" cm="1">
        <f t="array" ref="Q982">_xlfn.IFS(
A982="","",
AND(A982&lt;&gt;"",B982=""),"FALTA LANÇAMENTO",
AND(B982&lt;&gt;"",M982=""),"FALTA O PEDIDO",
AND(M982&lt;&gt;"",O982=""),"FALTA NF",
O982&lt;&gt;"","CONCLUÍDO")</f>
        <v>CONCLUÍDO</v>
      </c>
      <c r="R982" s="36"/>
    </row>
    <row r="983" spans="1:18" hidden="1">
      <c r="A983" s="16">
        <v>46099</v>
      </c>
      <c r="B983" s="16">
        <v>46114</v>
      </c>
      <c r="C983" s="21">
        <v>31521027</v>
      </c>
      <c r="D983" s="16" t="str">
        <f>IFERROR(VLOOKUP(Tabela5[[#This Row],[PREFIXO ]],Tabela4[#All],2,0),"CENTRO DE CUSTO")</f>
        <v>PULV AUTOPROP JACTO UNIPORT 3030</v>
      </c>
      <c r="E983" s="18" t="s">
        <v>49</v>
      </c>
      <c r="F983" s="21" t="s">
        <v>2687</v>
      </c>
      <c r="G983" s="22">
        <v>1800</v>
      </c>
      <c r="H983" s="22"/>
      <c r="I983" s="22">
        <f t="shared" si="16"/>
        <v>1800</v>
      </c>
      <c r="J983" s="18" t="s">
        <v>1265</v>
      </c>
      <c r="K983" s="18">
        <v>9814220</v>
      </c>
      <c r="L983" s="18">
        <v>900555</v>
      </c>
      <c r="M983" s="18" t="s">
        <v>2685</v>
      </c>
      <c r="N983" s="16" t="s">
        <v>2538</v>
      </c>
      <c r="O983" s="18" t="s">
        <v>2686</v>
      </c>
      <c r="P983" s="18" t="s">
        <v>2305</v>
      </c>
      <c r="Q983" s="29" t="str" cm="1">
        <f t="array" ref="Q983">_xlfn.IFS(
A983="","",
AND(A983&lt;&gt;"",B983=""),"FALTA LANÇAMENTO",
AND(B983&lt;&gt;"",M983=""),"FALTA O PEDIDO",
AND(M983&lt;&gt;"",O983=""),"FALTA NF",
O983&lt;&gt;"","CONCLUÍDO")</f>
        <v>CONCLUÍDO</v>
      </c>
      <c r="R983" s="36"/>
    </row>
    <row r="984" spans="1:18" hidden="1">
      <c r="A984" s="16">
        <v>46099</v>
      </c>
      <c r="B984" s="16">
        <v>46114</v>
      </c>
      <c r="C984" s="21">
        <v>31521013</v>
      </c>
      <c r="D984" s="16" t="str">
        <f>IFERROR(VLOOKUP(Tabela5[[#This Row],[PREFIXO ]],Tabela4[#All],2,0),"CENTRO DE CUSTO")</f>
        <v>PULV AUTOPROP JACTO UNIPORT 3030</v>
      </c>
      <c r="E984" s="18" t="s">
        <v>49</v>
      </c>
      <c r="F984" s="21" t="s">
        <v>2688</v>
      </c>
      <c r="G984" s="22">
        <v>1765.08</v>
      </c>
      <c r="H984" s="22"/>
      <c r="I984" s="22">
        <f t="shared" si="16"/>
        <v>1765.08</v>
      </c>
      <c r="J984" s="18" t="s">
        <v>1265</v>
      </c>
      <c r="K984" s="18">
        <v>9814137</v>
      </c>
      <c r="L984" s="18">
        <v>900555</v>
      </c>
      <c r="M984" s="18" t="s">
        <v>2685</v>
      </c>
      <c r="N984" s="16" t="s">
        <v>2538</v>
      </c>
      <c r="O984" s="18" t="s">
        <v>2686</v>
      </c>
      <c r="P984" s="18" t="s">
        <v>2305</v>
      </c>
      <c r="Q984" s="29" t="str" cm="1">
        <f t="array" ref="Q984">_xlfn.IFS(
A984="","",
AND(A984&lt;&gt;"",B984=""),"FALTA LANÇAMENTO",
AND(B984&lt;&gt;"",M984=""),"FALTA O PEDIDO",
AND(M984&lt;&gt;"",O984=""),"FALTA NF",
O984&lt;&gt;"","CONCLUÍDO")</f>
        <v>CONCLUÍDO</v>
      </c>
      <c r="R984" s="36"/>
    </row>
    <row r="985" spans="1:18" hidden="1">
      <c r="A985" s="16">
        <v>46099</v>
      </c>
      <c r="B985" s="16">
        <v>46114</v>
      </c>
      <c r="C985" s="21">
        <v>31521016</v>
      </c>
      <c r="D985" s="16" t="str">
        <f>IFERROR(VLOOKUP(Tabela5[[#This Row],[PREFIXO ]],Tabela4[#All],2,0),"CENTRO DE CUSTO")</f>
        <v>PULV AUTOPROP JACTO UNIPORT 3030</v>
      </c>
      <c r="E985" s="18" t="s">
        <v>49</v>
      </c>
      <c r="F985" s="21" t="s">
        <v>2689</v>
      </c>
      <c r="G985" s="22">
        <v>1575</v>
      </c>
      <c r="H985" s="22"/>
      <c r="I985" s="22">
        <f t="shared" si="16"/>
        <v>1575</v>
      </c>
      <c r="J985" s="18" t="s">
        <v>1265</v>
      </c>
      <c r="K985" s="18">
        <v>9814134</v>
      </c>
      <c r="L985" s="18">
        <v>900555</v>
      </c>
      <c r="M985" s="18" t="s">
        <v>2685</v>
      </c>
      <c r="N985" s="16" t="s">
        <v>2538</v>
      </c>
      <c r="O985" s="18" t="s">
        <v>2686</v>
      </c>
      <c r="P985" s="18" t="s">
        <v>2305</v>
      </c>
      <c r="Q985" s="29" t="str" cm="1">
        <f t="array" ref="Q985">_xlfn.IFS(
A985="","",
AND(A985&lt;&gt;"",B985=""),"FALTA LANÇAMENTO",
AND(B985&lt;&gt;"",M985=""),"FALTA O PEDIDO",
AND(M985&lt;&gt;"",O985=""),"FALTA NF",
O985&lt;&gt;"","CONCLUÍDO")</f>
        <v>CONCLUÍDO</v>
      </c>
      <c r="R985" s="36"/>
    </row>
    <row r="986" spans="1:18" hidden="1">
      <c r="A986" s="16">
        <v>46099</v>
      </c>
      <c r="B986" s="16">
        <v>46114</v>
      </c>
      <c r="C986" s="21">
        <v>35005015</v>
      </c>
      <c r="D986" s="16" t="str">
        <f>IFERROR(VLOOKUP(Tabela5[[#This Row],[PREFIXO ]],Tabela4[#All],2,0),"CENTRO DE CUSTO")</f>
        <v>PULV AUTOPROP JACTO UNIPORT 3030</v>
      </c>
      <c r="E986" s="18" t="s">
        <v>49</v>
      </c>
      <c r="F986" s="21" t="s">
        <v>2690</v>
      </c>
      <c r="G986" s="22">
        <v>1575</v>
      </c>
      <c r="H986" s="22"/>
      <c r="I986" s="22">
        <f t="shared" si="16"/>
        <v>1575</v>
      </c>
      <c r="J986" s="18" t="s">
        <v>1265</v>
      </c>
      <c r="K986" s="18">
        <v>9814139</v>
      </c>
      <c r="L986" s="18">
        <v>900555</v>
      </c>
      <c r="M986" s="18" t="s">
        <v>2685</v>
      </c>
      <c r="N986" s="16" t="s">
        <v>2538</v>
      </c>
      <c r="O986" s="18" t="s">
        <v>2686</v>
      </c>
      <c r="P986" s="18" t="s">
        <v>2305</v>
      </c>
      <c r="Q986" s="29" t="str" cm="1">
        <f t="array" ref="Q986">_xlfn.IFS(
A986="","",
AND(A986&lt;&gt;"",B986=""),"FALTA LANÇAMENTO",
AND(B986&lt;&gt;"",M986=""),"FALTA O PEDIDO",
AND(M986&lt;&gt;"",O986=""),"FALTA NF",
O986&lt;&gt;"","CONCLUÍDO")</f>
        <v>CONCLUÍDO</v>
      </c>
      <c r="R986" s="36"/>
    </row>
    <row r="987" spans="1:18" hidden="1">
      <c r="A987" s="16">
        <v>46099</v>
      </c>
      <c r="B987" s="16">
        <v>46114</v>
      </c>
      <c r="C987" s="21">
        <v>31521043</v>
      </c>
      <c r="D987" s="16" t="str">
        <f>IFERROR(VLOOKUP(Tabela5[[#This Row],[PREFIXO ]],Tabela4[#All],2,0),"CENTRO DE CUSTO")</f>
        <v>ADUB AUTOPROP JACTO UNIPORT 5030NPK</v>
      </c>
      <c r="E987" s="18" t="s">
        <v>49</v>
      </c>
      <c r="F987" s="21" t="s">
        <v>2691</v>
      </c>
      <c r="G987" s="22">
        <v>1125</v>
      </c>
      <c r="H987" s="22"/>
      <c r="I987" s="22">
        <f t="shared" si="16"/>
        <v>1125</v>
      </c>
      <c r="J987" s="18" t="s">
        <v>1265</v>
      </c>
      <c r="K987" s="18">
        <v>9814223</v>
      </c>
      <c r="L987" s="18">
        <v>900555</v>
      </c>
      <c r="M987" s="18" t="s">
        <v>2685</v>
      </c>
      <c r="N987" s="16" t="s">
        <v>2538</v>
      </c>
      <c r="O987" s="18" t="s">
        <v>2686</v>
      </c>
      <c r="P987" s="18" t="s">
        <v>2305</v>
      </c>
      <c r="Q987" s="29" t="str" cm="1">
        <f t="array" ref="Q987">_xlfn.IFS(
A987="","",
AND(A987&lt;&gt;"",B987=""),"FALTA LANÇAMENTO",
AND(B987&lt;&gt;"",M987=""),"FALTA O PEDIDO",
AND(M987&lt;&gt;"",O987=""),"FALTA NF",
O987&lt;&gt;"","CONCLUÍDO")</f>
        <v>CONCLUÍDO</v>
      </c>
      <c r="R987" s="36"/>
    </row>
    <row r="988" spans="1:18" hidden="1">
      <c r="A988" s="16">
        <v>46099</v>
      </c>
      <c r="B988" s="16">
        <v>46114</v>
      </c>
      <c r="C988" s="21">
        <v>31521013</v>
      </c>
      <c r="D988" s="16" t="str">
        <f>IFERROR(VLOOKUP(Tabela5[[#This Row],[PREFIXO ]],Tabela4[#All],2,0),"CENTRO DE CUSTO")</f>
        <v>PULV AUTOPROP JACTO UNIPORT 3030</v>
      </c>
      <c r="E988" s="18" t="s">
        <v>49</v>
      </c>
      <c r="F988" s="21" t="s">
        <v>2167</v>
      </c>
      <c r="G988" s="22">
        <v>945.36</v>
      </c>
      <c r="H988" s="22"/>
      <c r="I988" s="22">
        <f t="shared" si="16"/>
        <v>945.36</v>
      </c>
      <c r="J988" s="18" t="s">
        <v>1265</v>
      </c>
      <c r="K988" s="18">
        <v>9814222</v>
      </c>
      <c r="L988" s="18">
        <v>900555</v>
      </c>
      <c r="M988" s="18" t="s">
        <v>2685</v>
      </c>
      <c r="N988" s="16" t="s">
        <v>2538</v>
      </c>
      <c r="O988" s="18" t="s">
        <v>2686</v>
      </c>
      <c r="P988" s="18" t="s">
        <v>2305</v>
      </c>
      <c r="Q988" s="29" t="str" cm="1">
        <f t="array" ref="Q988">_xlfn.IFS(
A988="","",
AND(A988&lt;&gt;"",B988=""),"FALTA LANÇAMENTO",
AND(B988&lt;&gt;"",M988=""),"FALTA O PEDIDO",
AND(M988&lt;&gt;"",O988=""),"FALTA NF",
O988&lt;&gt;"","CONCLUÍDO")</f>
        <v>CONCLUÍDO</v>
      </c>
      <c r="R988" s="36"/>
    </row>
    <row r="989" spans="1:18" hidden="1">
      <c r="A989" s="16">
        <v>46099</v>
      </c>
      <c r="B989" s="16">
        <v>46114</v>
      </c>
      <c r="C989" s="21">
        <v>31521026</v>
      </c>
      <c r="D989" s="16" t="str">
        <f>IFERROR(VLOOKUP(Tabela5[[#This Row],[PREFIXO ]],Tabela4[#All],2,0),"CENTRO DE CUSTO")</f>
        <v>PULV AUTOPROP JACTO UNIPORT 3030</v>
      </c>
      <c r="E989" s="18" t="s">
        <v>49</v>
      </c>
      <c r="F989" s="21" t="s">
        <v>2692</v>
      </c>
      <c r="G989" s="22">
        <v>750</v>
      </c>
      <c r="H989" s="22"/>
      <c r="I989" s="22">
        <f t="shared" si="16"/>
        <v>750</v>
      </c>
      <c r="J989" s="18" t="s">
        <v>1265</v>
      </c>
      <c r="K989" s="18">
        <v>9814133</v>
      </c>
      <c r="L989" s="18">
        <v>900555</v>
      </c>
      <c r="M989" s="18" t="s">
        <v>2685</v>
      </c>
      <c r="N989" s="16" t="s">
        <v>2538</v>
      </c>
      <c r="O989" s="18" t="s">
        <v>2686</v>
      </c>
      <c r="P989" s="18" t="s">
        <v>2305</v>
      </c>
      <c r="Q989" s="29" t="str" cm="1">
        <f t="array" ref="Q989">_xlfn.IFS(
A989="","",
AND(A989&lt;&gt;"",B989=""),"FALTA LANÇAMENTO",
AND(B989&lt;&gt;"",M989=""),"FALTA O PEDIDO",
AND(M989&lt;&gt;"",O989=""),"FALTA NF",
O989&lt;&gt;"","CONCLUÍDO")</f>
        <v>CONCLUÍDO</v>
      </c>
      <c r="R989" s="36"/>
    </row>
    <row r="990" spans="1:18" hidden="1">
      <c r="A990" s="16">
        <v>46099</v>
      </c>
      <c r="B990" s="16">
        <v>46114</v>
      </c>
      <c r="C990" s="21">
        <v>31521025</v>
      </c>
      <c r="D990" s="16" t="str">
        <f>IFERROR(VLOOKUP(Tabela5[[#This Row],[PREFIXO ]],Tabela4[#All],2,0),"CENTRO DE CUSTO")</f>
        <v>PULV AUTOPROP JACTO UNIPORT 3030</v>
      </c>
      <c r="E990" s="18" t="s">
        <v>49</v>
      </c>
      <c r="F990" s="21" t="s">
        <v>2165</v>
      </c>
      <c r="G990" s="22">
        <v>746.28</v>
      </c>
      <c r="H990" s="22"/>
      <c r="I990" s="22">
        <f t="shared" si="16"/>
        <v>746.28</v>
      </c>
      <c r="J990" s="18" t="s">
        <v>1265</v>
      </c>
      <c r="K990" s="18">
        <v>9814132</v>
      </c>
      <c r="L990" s="18">
        <v>900555</v>
      </c>
      <c r="M990" s="18" t="s">
        <v>2685</v>
      </c>
      <c r="N990" s="16" t="s">
        <v>2538</v>
      </c>
      <c r="O990" s="18" t="s">
        <v>2686</v>
      </c>
      <c r="P990" s="18" t="s">
        <v>2305</v>
      </c>
      <c r="Q990" s="29" t="str" cm="1">
        <f t="array" ref="Q990">_xlfn.IFS(
A990="","",
AND(A990&lt;&gt;"",B990=""),"FALTA LANÇAMENTO",
AND(B990&lt;&gt;"",M990=""),"FALTA O PEDIDO",
AND(M990&lt;&gt;"",O990=""),"FALTA NF",
O990&lt;&gt;"","CONCLUÍDO")</f>
        <v>CONCLUÍDO</v>
      </c>
      <c r="R990" s="36"/>
    </row>
    <row r="991" spans="1:18" hidden="1">
      <c r="A991" s="16">
        <v>46099</v>
      </c>
      <c r="B991" s="16">
        <v>46114</v>
      </c>
      <c r="C991" s="21">
        <v>61521091</v>
      </c>
      <c r="D991" s="16" t="str">
        <f>IFERROR(VLOOKUP(Tabela5[[#This Row],[PREFIXO ]],Tabela4[#All],2,0),"CENTRO DE CUSTO")</f>
        <v>PA CARREGADEIRA JOHN DEERE 524 K II</v>
      </c>
      <c r="E991" s="18" t="s">
        <v>49</v>
      </c>
      <c r="F991" s="21" t="s">
        <v>2171</v>
      </c>
      <c r="G991" s="22">
        <v>640.79999999999995</v>
      </c>
      <c r="H991" s="22"/>
      <c r="I991" s="22">
        <f t="shared" si="16"/>
        <v>640.79999999999995</v>
      </c>
      <c r="J991" s="18" t="s">
        <v>1265</v>
      </c>
      <c r="K991" s="18">
        <v>9814221</v>
      </c>
      <c r="L991" s="18">
        <v>900555</v>
      </c>
      <c r="M991" s="18" t="s">
        <v>2685</v>
      </c>
      <c r="N991" s="16" t="s">
        <v>2538</v>
      </c>
      <c r="O991" s="18" t="s">
        <v>2686</v>
      </c>
      <c r="P991" s="18" t="s">
        <v>2305</v>
      </c>
      <c r="Q991" s="29" t="str" cm="1">
        <f t="array" ref="Q991">_xlfn.IFS(
A991="","",
AND(A991&lt;&gt;"",B991=""),"FALTA LANÇAMENTO",
AND(B991&lt;&gt;"",M991=""),"FALTA O PEDIDO",
AND(M991&lt;&gt;"",O991=""),"FALTA NF",
O991&lt;&gt;"","CONCLUÍDO")</f>
        <v>CONCLUÍDO</v>
      </c>
      <c r="R991" s="36"/>
    </row>
    <row r="992" spans="1:18" hidden="1">
      <c r="A992" s="16">
        <v>46099</v>
      </c>
      <c r="B992" s="16">
        <v>46114</v>
      </c>
      <c r="C992" s="21">
        <v>31521029</v>
      </c>
      <c r="D992" s="16" t="str">
        <f>IFERROR(VLOOKUP(Tabela5[[#This Row],[PREFIXO ]],Tabela4[#All],2,0),"CENTRO DE CUSTO")</f>
        <v>PULV AUTOPROP JACTO UNIPORT 3030</v>
      </c>
      <c r="E992" s="18" t="s">
        <v>49</v>
      </c>
      <c r="F992" s="21" t="s">
        <v>2693</v>
      </c>
      <c r="G992" s="22">
        <v>574.79999999999995</v>
      </c>
      <c r="H992" s="22"/>
      <c r="I992" s="22">
        <f t="shared" si="16"/>
        <v>574.79999999999995</v>
      </c>
      <c r="J992" s="18" t="s">
        <v>1265</v>
      </c>
      <c r="K992" s="18">
        <v>9814135</v>
      </c>
      <c r="L992" s="18">
        <v>900555</v>
      </c>
      <c r="M992" s="18" t="s">
        <v>2685</v>
      </c>
      <c r="N992" s="16" t="s">
        <v>2538</v>
      </c>
      <c r="O992" s="18" t="s">
        <v>2686</v>
      </c>
      <c r="P992" s="18" t="s">
        <v>2305</v>
      </c>
      <c r="Q992" s="29" t="str" cm="1">
        <f t="array" ref="Q992">_xlfn.IFS(
A992="","",
AND(A992&lt;&gt;"",B992=""),"FALTA LANÇAMENTO",
AND(B992&lt;&gt;"",M992=""),"FALTA O PEDIDO",
AND(M992&lt;&gt;"",O992=""),"FALTA NF",
O992&lt;&gt;"","CONCLUÍDO")</f>
        <v>CONCLUÍDO</v>
      </c>
      <c r="R992" s="36"/>
    </row>
    <row r="993" spans="1:18" hidden="1">
      <c r="A993" s="16">
        <v>46099</v>
      </c>
      <c r="B993" s="16">
        <v>46114</v>
      </c>
      <c r="C993" s="21">
        <v>81521344</v>
      </c>
      <c r="D993" s="16" t="str">
        <f>IFERROR(VLOOKUP(Tabela5[[#This Row],[PREFIXO ]],Tabela4[#All],2,0),"CENTRO DE CUSTO")</f>
        <v>SEMI REBOQ TANQUE 45.000L AI</v>
      </c>
      <c r="E993" s="18" t="s">
        <v>62</v>
      </c>
      <c r="F993" s="21">
        <v>1173</v>
      </c>
      <c r="G993" s="22">
        <v>6944.5</v>
      </c>
      <c r="H993" s="22"/>
      <c r="I993" s="22">
        <f t="shared" si="16"/>
        <v>6944.5</v>
      </c>
      <c r="J993" s="18" t="s">
        <v>1199</v>
      </c>
      <c r="K993" s="18">
        <v>9813922</v>
      </c>
      <c r="L993" s="18">
        <v>900433</v>
      </c>
      <c r="M993" s="18" t="s">
        <v>2694</v>
      </c>
      <c r="N993" s="16" t="s">
        <v>2538</v>
      </c>
      <c r="O993" s="18" t="s">
        <v>2695</v>
      </c>
      <c r="P993" s="18" t="s">
        <v>2540</v>
      </c>
      <c r="Q993" s="29" t="str" cm="1">
        <f t="array" ref="Q993">_xlfn.IFS(
A993="","",
AND(A993&lt;&gt;"",B993=""),"FALTA LANÇAMENTO",
AND(B993&lt;&gt;"",M993=""),"FALTA O PEDIDO",
AND(M993&lt;&gt;"",O993=""),"FALTA NF",
O993&lt;&gt;"","CONCLUÍDO")</f>
        <v>CONCLUÍDO</v>
      </c>
      <c r="R993" s="36"/>
    </row>
    <row r="994" spans="1:18" hidden="1">
      <c r="A994" s="16">
        <v>46099</v>
      </c>
      <c r="B994" s="16">
        <v>46119</v>
      </c>
      <c r="C994" s="21">
        <v>500580070</v>
      </c>
      <c r="D994" s="16" t="str">
        <f>IFERROR(VLOOKUP(Tabela5[[#This Row],[PREFIXO ]],Tabela4[#All],2,0),"CENTRO DE CUSTO")</f>
        <v>Posto Abast./Lubrif.</v>
      </c>
      <c r="E994" s="18" t="s">
        <v>62</v>
      </c>
      <c r="F994" s="21">
        <v>491</v>
      </c>
      <c r="G994" s="22">
        <v>3800</v>
      </c>
      <c r="H994" s="22"/>
      <c r="I994" s="22">
        <f t="shared" si="16"/>
        <v>3800</v>
      </c>
      <c r="J994" s="18" t="s">
        <v>1257</v>
      </c>
      <c r="K994" s="18">
        <v>5020194</v>
      </c>
      <c r="L994" s="18" t="s">
        <v>1095</v>
      </c>
      <c r="M994" s="18" t="s">
        <v>1095</v>
      </c>
      <c r="N994" s="16" t="s">
        <v>1095</v>
      </c>
      <c r="O994" s="18" t="s">
        <v>1095</v>
      </c>
      <c r="P994" s="18" t="s">
        <v>1095</v>
      </c>
      <c r="Q994" s="29" t="str" cm="1">
        <f t="array" ref="Q994">_xlfn.IFS(
A994="","",
AND(A994&lt;&gt;"",B994=""),"FALTA LANÇAMENTO",
AND(B994&lt;&gt;"",M994=""),"FALTA O PEDIDO",
AND(M994&lt;&gt;"",O994=""),"FALTA NF",
O994&lt;&gt;"","CONCLUÍDO")</f>
        <v>CONCLUÍDO</v>
      </c>
      <c r="R994" s="36"/>
    </row>
    <row r="995" spans="1:18" hidden="1">
      <c r="A995" s="16">
        <v>46099</v>
      </c>
      <c r="B995" s="16">
        <v>46119</v>
      </c>
      <c r="C995" s="21">
        <v>500580220</v>
      </c>
      <c r="D995" s="16" t="str">
        <f>IFERROR(VLOOKUP(Tabela5[[#This Row],[PREFIXO ]],Tabela4[#All],2,0),"CENTRO DE CUSTO")</f>
        <v>Implementos</v>
      </c>
      <c r="E995" s="18" t="s">
        <v>62</v>
      </c>
      <c r="F995" s="21">
        <v>1187</v>
      </c>
      <c r="G995" s="22">
        <v>2920</v>
      </c>
      <c r="H995" s="22"/>
      <c r="I995" s="22">
        <f t="shared" si="16"/>
        <v>2920</v>
      </c>
      <c r="J995" s="18" t="s">
        <v>1199</v>
      </c>
      <c r="K995" s="18">
        <v>903121</v>
      </c>
      <c r="L995" s="18">
        <v>5020151</v>
      </c>
      <c r="M995" s="18" t="s">
        <v>2696</v>
      </c>
      <c r="N995" s="16" t="s">
        <v>2540</v>
      </c>
      <c r="O995" s="18" t="s">
        <v>1407</v>
      </c>
      <c r="P995" s="18" t="s">
        <v>2595</v>
      </c>
      <c r="Q995" s="29" t="str" cm="1">
        <f t="array" ref="Q995">_xlfn.IFS(
A995="","",
AND(A995&lt;&gt;"",B995=""),"FALTA LANÇAMENTO",
AND(B995&lt;&gt;"",M995=""),"FALTA O PEDIDO",
AND(M995&lt;&gt;"",O995=""),"FALTA NF",
O995&lt;&gt;"","CONCLUÍDO")</f>
        <v>CONCLUÍDO</v>
      </c>
      <c r="R995" s="36"/>
    </row>
    <row r="996" spans="1:18" hidden="1">
      <c r="A996" s="16">
        <v>46099</v>
      </c>
      <c r="B996" s="16">
        <v>46135</v>
      </c>
      <c r="C996" s="21">
        <v>1360004</v>
      </c>
      <c r="D996" s="16" t="str">
        <f>IFERROR(VLOOKUP(Tabela5[[#This Row],[PREFIXO ]],Tabela4[#All],2,0),"CENTRO DE CUSTO")</f>
        <v>CENTRO DE CUSTO</v>
      </c>
      <c r="E996" s="18" t="s">
        <v>66</v>
      </c>
      <c r="F996" s="21">
        <v>9212</v>
      </c>
      <c r="G996" s="22">
        <v>500</v>
      </c>
      <c r="H996" s="22">
        <v>12182.8</v>
      </c>
      <c r="I996" s="22">
        <f t="shared" si="16"/>
        <v>12682.8</v>
      </c>
      <c r="J996" s="18" t="s">
        <v>1265</v>
      </c>
      <c r="K996" s="18">
        <v>5020322</v>
      </c>
      <c r="L996" s="18">
        <v>915429</v>
      </c>
      <c r="M996" s="18" t="s">
        <v>2697</v>
      </c>
      <c r="N996" s="16" t="s">
        <v>2581</v>
      </c>
      <c r="O996" s="18" t="s">
        <v>2698</v>
      </c>
      <c r="P996" s="18" t="s">
        <v>2699</v>
      </c>
      <c r="Q996" s="29" t="str" cm="1">
        <f t="array" ref="Q996">_xlfn.IFS(
A996="","",
AND(A996&lt;&gt;"",B996=""),"FALTA LANÇAMENTO",
AND(B996&lt;&gt;"",M996=""),"FALTA O PEDIDO",
AND(M996&lt;&gt;"",O996=""),"FALTA NF",
O996&lt;&gt;"","CONCLUÍDO")</f>
        <v>CONCLUÍDO</v>
      </c>
      <c r="R996" s="36"/>
    </row>
    <row r="997" spans="1:18" hidden="1">
      <c r="A997" s="16">
        <v>46099</v>
      </c>
      <c r="B997" s="16">
        <v>46119</v>
      </c>
      <c r="C997" s="21">
        <v>81521309</v>
      </c>
      <c r="D997" s="16" t="str">
        <f>IFERROR(VLOOKUP(Tabela5[[#This Row],[PREFIXO ]],Tabela4[#All],2,0),"CENTRO DE CUSTO")</f>
        <v>DISTRIBUIDOR ADUBO JACTO TELLUS 10.000</v>
      </c>
      <c r="E997" s="18" t="s">
        <v>66</v>
      </c>
      <c r="F997" s="21">
        <v>9217</v>
      </c>
      <c r="G997" s="22">
        <v>300</v>
      </c>
      <c r="H997" s="22">
        <v>3642.94</v>
      </c>
      <c r="I997" s="22">
        <f t="shared" si="16"/>
        <v>3942.94</v>
      </c>
      <c r="J997" s="18" t="s">
        <v>1265</v>
      </c>
      <c r="K997" s="18">
        <v>9814148</v>
      </c>
      <c r="L997" s="18">
        <v>903082</v>
      </c>
      <c r="M997" s="18" t="s">
        <v>2700</v>
      </c>
      <c r="N997" s="16" t="s">
        <v>2540</v>
      </c>
      <c r="O997" s="18" t="s">
        <v>2701</v>
      </c>
      <c r="P997" s="18" t="s">
        <v>2597</v>
      </c>
      <c r="Q997" s="29" t="str" cm="1">
        <f t="array" ref="Q997">_xlfn.IFS(
A997="","",
AND(A997&lt;&gt;"",B997=""),"FALTA LANÇAMENTO",
AND(B997&lt;&gt;"",M997=""),"FALTA O PEDIDO",
AND(M997&lt;&gt;"",O997=""),"FALTA NF",
O997&lt;&gt;"","CONCLUÍDO")</f>
        <v>CONCLUÍDO</v>
      </c>
      <c r="R997" s="36"/>
    </row>
    <row r="998" spans="1:18" hidden="1">
      <c r="A998" s="16">
        <v>46099</v>
      </c>
      <c r="B998" s="16">
        <v>46119</v>
      </c>
      <c r="C998" s="21">
        <v>35005016</v>
      </c>
      <c r="D998" s="16" t="str">
        <f>IFERROR(VLOOKUP(Tabela5[[#This Row],[PREFIXO ]],Tabela4[#All],2,0),"CENTRO DE CUSTO")</f>
        <v>PULV AUTOPROP JACTO UNIPORT 3030</v>
      </c>
      <c r="E998" s="18" t="s">
        <v>66</v>
      </c>
      <c r="F998" s="21">
        <v>9216</v>
      </c>
      <c r="G998" s="22">
        <v>200</v>
      </c>
      <c r="H998" s="22">
        <v>1472.08</v>
      </c>
      <c r="I998" s="22">
        <f t="shared" si="16"/>
        <v>1672.08</v>
      </c>
      <c r="J998" s="18" t="s">
        <v>1265</v>
      </c>
      <c r="K998" s="18">
        <v>9814144</v>
      </c>
      <c r="L998" s="18">
        <v>903092</v>
      </c>
      <c r="M998" s="18" t="s">
        <v>2702</v>
      </c>
      <c r="N998" s="16" t="s">
        <v>2540</v>
      </c>
      <c r="O998" s="18" t="s">
        <v>2703</v>
      </c>
      <c r="P998" s="18" t="s">
        <v>2597</v>
      </c>
      <c r="Q998" s="29" t="str" cm="1">
        <f t="array" ref="Q998">_xlfn.IFS(
A998="","",
AND(A998&lt;&gt;"",B998=""),"FALTA LANÇAMENTO",
AND(B998&lt;&gt;"",M998=""),"FALTA O PEDIDO",
AND(M998&lt;&gt;"",O998=""),"FALTA NF",
O998&lt;&gt;"","CONCLUÍDO")</f>
        <v>CONCLUÍDO</v>
      </c>
      <c r="R998" s="36"/>
    </row>
    <row r="999" spans="1:18" hidden="1">
      <c r="A999" s="16">
        <v>46099</v>
      </c>
      <c r="B999" s="16">
        <v>46119</v>
      </c>
      <c r="C999" s="21">
        <v>31521015</v>
      </c>
      <c r="D999" s="16" t="str">
        <f>IFERROR(VLOOKUP(Tabela5[[#This Row],[PREFIXO ]],Tabela4[#All],2,0),"CENTRO DE CUSTO")</f>
        <v>PULV AUTOPROP JACTO UNIPORT 3030</v>
      </c>
      <c r="E999" s="18" t="s">
        <v>66</v>
      </c>
      <c r="F999" s="21">
        <v>9215</v>
      </c>
      <c r="G999" s="22">
        <v>200</v>
      </c>
      <c r="H999" s="22">
        <v>1029.72</v>
      </c>
      <c r="I999" s="22">
        <f t="shared" si="16"/>
        <v>1229.72</v>
      </c>
      <c r="J999" s="18" t="s">
        <v>1265</v>
      </c>
      <c r="K999" s="18">
        <v>9814140</v>
      </c>
      <c r="L999" s="18">
        <v>903140</v>
      </c>
      <c r="M999" s="18" t="s">
        <v>2704</v>
      </c>
      <c r="N999" s="16" t="s">
        <v>2540</v>
      </c>
      <c r="O999" s="18" t="s">
        <v>2705</v>
      </c>
      <c r="P999" s="18" t="s">
        <v>2706</v>
      </c>
      <c r="Q999" s="29" t="str" cm="1">
        <f t="array" ref="Q999">_xlfn.IFS(
A999="","",
AND(A999&lt;&gt;"",B999=""),"FALTA LANÇAMENTO",
AND(B999&lt;&gt;"",M999=""),"FALTA O PEDIDO",
AND(M999&lt;&gt;"",O999=""),"FALTA NF",
O999&lt;&gt;"","CONCLUÍDO")</f>
        <v>CONCLUÍDO</v>
      </c>
      <c r="R999" s="36"/>
    </row>
    <row r="1000" spans="1:18" hidden="1">
      <c r="A1000" s="16">
        <v>46099</v>
      </c>
      <c r="B1000" s="16">
        <v>46129</v>
      </c>
      <c r="C1000" s="21">
        <v>61521091</v>
      </c>
      <c r="D1000" s="16" t="str">
        <f>IFERROR(VLOOKUP(Tabela5[[#This Row],[PREFIXO ]],Tabela4[#All],2,0),"CENTRO DE CUSTO")</f>
        <v>PA CARREGADEIRA JOHN DEERE 524 K II</v>
      </c>
      <c r="E1000" s="18" t="s">
        <v>96</v>
      </c>
      <c r="F1000" s="21">
        <v>15373</v>
      </c>
      <c r="G1000" s="22"/>
      <c r="H1000" s="22">
        <v>2362.5</v>
      </c>
      <c r="I1000" s="22">
        <f t="shared" si="16"/>
        <v>2362.5</v>
      </c>
      <c r="J1000" s="18" t="s">
        <v>1265</v>
      </c>
      <c r="K1000" s="18">
        <v>9815978</v>
      </c>
      <c r="L1000" s="18">
        <v>912378</v>
      </c>
      <c r="M1000" s="18" t="s">
        <v>2707</v>
      </c>
      <c r="N1000" s="16" t="s">
        <v>2554</v>
      </c>
      <c r="O1000" s="18" t="s">
        <v>2708</v>
      </c>
      <c r="P1000" s="18" t="s">
        <v>2556</v>
      </c>
      <c r="Q1000" s="29" t="str" cm="1">
        <f t="array" ref="Q1000">_xlfn.IFS(
A1000="","",
AND(A1000&lt;&gt;"",B1000=""),"FALTA LANÇAMENTO",
AND(B1000&lt;&gt;"",M1000=""),"FALTA O PEDIDO",
AND(M1000&lt;&gt;"",O1000=""),"FALTA NF",
O1000&lt;&gt;"","CONCLUÍDO")</f>
        <v>CONCLUÍDO</v>
      </c>
      <c r="R1000" s="36"/>
    </row>
    <row r="1001" spans="1:18" hidden="1">
      <c r="A1001" s="16">
        <v>46099</v>
      </c>
      <c r="B1001" s="16">
        <v>46104</v>
      </c>
      <c r="C1001" s="21">
        <v>51521067</v>
      </c>
      <c r="D1001" s="16" t="str">
        <f>IFERROR(VLOOKUP(Tabela5[[#This Row],[PREFIXO ]],Tabela4[#All],2,0),"CENTRO DE CUSTO")</f>
        <v>COLHED ALGODÃO JOHN DEERE CP 690</v>
      </c>
      <c r="E1001" s="18" t="s">
        <v>96</v>
      </c>
      <c r="F1001" s="21">
        <v>4134</v>
      </c>
      <c r="G1001" s="22">
        <v>1760.83</v>
      </c>
      <c r="H1001" s="22"/>
      <c r="I1001" s="22">
        <f t="shared" si="16"/>
        <v>1760.83</v>
      </c>
      <c r="J1001" s="18" t="s">
        <v>1113</v>
      </c>
      <c r="K1001" s="18" t="s">
        <v>1095</v>
      </c>
      <c r="L1001" s="18" t="s">
        <v>1095</v>
      </c>
      <c r="M1001" s="18" t="s">
        <v>1095</v>
      </c>
      <c r="N1001" s="16" t="s">
        <v>1095</v>
      </c>
      <c r="O1001" s="18" t="s">
        <v>1095</v>
      </c>
      <c r="P1001" s="18" t="s">
        <v>1095</v>
      </c>
      <c r="Q1001" s="29" t="str" cm="1">
        <f t="array" ref="Q1001">_xlfn.IFS(
A1001="","",
AND(A1001&lt;&gt;"",B1001=""),"FALTA LANÇAMENTO",
AND(B1001&lt;&gt;"",M1001=""),"FALTA O PEDIDO",
AND(M1001&lt;&gt;"",O1001=""),"FALTA NF",
O1001&lt;&gt;"","CONCLUÍDO")</f>
        <v>CONCLUÍDO</v>
      </c>
      <c r="R1001" s="36"/>
    </row>
    <row r="1002" spans="1:18" hidden="1">
      <c r="A1002" s="16">
        <v>46099</v>
      </c>
      <c r="B1002" s="16">
        <v>46104</v>
      </c>
      <c r="C1002" s="21">
        <v>51521067</v>
      </c>
      <c r="D1002" s="16" t="str">
        <f>IFERROR(VLOOKUP(Tabela5[[#This Row],[PREFIXO ]],Tabela4[#All],2,0),"CENTRO DE CUSTO")</f>
        <v>COLHED ALGODÃO JOHN DEERE CP 690</v>
      </c>
      <c r="E1002" s="18" t="s">
        <v>96</v>
      </c>
      <c r="F1002" s="21">
        <v>15380</v>
      </c>
      <c r="G1002" s="22"/>
      <c r="H1002" s="22">
        <v>1044.3499999999999</v>
      </c>
      <c r="I1002" s="22">
        <f t="shared" si="16"/>
        <v>1044.3499999999999</v>
      </c>
      <c r="J1002" s="18" t="s">
        <v>1113</v>
      </c>
      <c r="K1002" s="18" t="s">
        <v>1095</v>
      </c>
      <c r="L1002" s="18" t="s">
        <v>1095</v>
      </c>
      <c r="M1002" s="18" t="s">
        <v>1095</v>
      </c>
      <c r="N1002" s="16" t="s">
        <v>1095</v>
      </c>
      <c r="O1002" s="18" t="s">
        <v>1095</v>
      </c>
      <c r="P1002" s="18" t="s">
        <v>1095</v>
      </c>
      <c r="Q1002" s="29" t="str" cm="1">
        <f t="array" ref="Q1002">_xlfn.IFS(
A1002="","",
AND(A1002&lt;&gt;"",B1002=""),"FALTA LANÇAMENTO",
AND(B1002&lt;&gt;"",M1002=""),"FALTA O PEDIDO",
AND(M1002&lt;&gt;"",O1002=""),"FALTA NF",
O1002&lt;&gt;"","CONCLUÍDO")</f>
        <v>CONCLUÍDO</v>
      </c>
      <c r="R1002" s="36"/>
    </row>
    <row r="1003" spans="1:18" hidden="1">
      <c r="A1003" s="16">
        <v>46099</v>
      </c>
      <c r="B1003" s="16">
        <v>46129</v>
      </c>
      <c r="C1003" s="21">
        <v>51521058</v>
      </c>
      <c r="D1003" s="16" t="str">
        <f>IFERROR(VLOOKUP(Tabela5[[#This Row],[PREFIXO ]],Tabela4[#All],2,0),"CENTRO DE CUSTO")</f>
        <v>COLHED ALGODÃO JOHN DEERE CP 690</v>
      </c>
      <c r="E1003" s="18" t="s">
        <v>96</v>
      </c>
      <c r="F1003" s="21">
        <v>15381</v>
      </c>
      <c r="G1003" s="22"/>
      <c r="H1003" s="22">
        <v>102.82</v>
      </c>
      <c r="I1003" s="22">
        <f t="shared" si="16"/>
        <v>102.82</v>
      </c>
      <c r="J1003" s="18" t="s">
        <v>1113</v>
      </c>
      <c r="K1003" s="18">
        <v>9815877</v>
      </c>
      <c r="L1003" s="18">
        <v>912367</v>
      </c>
      <c r="M1003" s="18" t="s">
        <v>2709</v>
      </c>
      <c r="N1003" s="16" t="s">
        <v>2554</v>
      </c>
      <c r="O1003" s="18" t="s">
        <v>2710</v>
      </c>
      <c r="P1003" s="18" t="s">
        <v>2556</v>
      </c>
      <c r="Q1003" s="29" t="str" cm="1">
        <f t="array" ref="Q1003">_xlfn.IFS(
A1003="","",
AND(A1003&lt;&gt;"",B1003=""),"FALTA LANÇAMENTO",
AND(B1003&lt;&gt;"",M1003=""),"FALTA O PEDIDO",
AND(M1003&lt;&gt;"",O1003=""),"FALTA NF",
O1003&lt;&gt;"","CONCLUÍDO")</f>
        <v>CONCLUÍDO</v>
      </c>
      <c r="R1003" s="36"/>
    </row>
    <row r="1004" spans="1:18" hidden="1">
      <c r="A1004" s="16">
        <v>46099</v>
      </c>
      <c r="B1004" s="16">
        <v>46129</v>
      </c>
      <c r="C1004" s="21">
        <v>61521091</v>
      </c>
      <c r="D1004" s="16" t="str">
        <f>IFERROR(VLOOKUP(Tabela5[[#This Row],[PREFIXO ]],Tabela4[#All],2,0),"CENTRO DE CUSTO")</f>
        <v>PA CARREGADEIRA JOHN DEERE 524 K II</v>
      </c>
      <c r="E1004" s="18" t="s">
        <v>96</v>
      </c>
      <c r="F1004" s="21">
        <v>4130</v>
      </c>
      <c r="G1004" s="22">
        <v>100</v>
      </c>
      <c r="H1004" s="22"/>
      <c r="I1004" s="22">
        <f t="shared" si="16"/>
        <v>100</v>
      </c>
      <c r="J1004" s="18" t="s">
        <v>1265</v>
      </c>
      <c r="K1004" s="18">
        <v>9815978</v>
      </c>
      <c r="L1004" s="18">
        <v>912378</v>
      </c>
      <c r="M1004" s="18" t="s">
        <v>2711</v>
      </c>
      <c r="N1004" s="16" t="s">
        <v>2554</v>
      </c>
      <c r="O1004" s="18" t="s">
        <v>2712</v>
      </c>
      <c r="P1004" s="18" t="s">
        <v>1526</v>
      </c>
      <c r="Q1004" s="29" t="str" cm="1">
        <f t="array" ref="Q1004">_xlfn.IFS(
A1004="","",
AND(A1004&lt;&gt;"",B1004=""),"FALTA LANÇAMENTO",
AND(B1004&lt;&gt;"",M1004=""),"FALTA O PEDIDO",
AND(M1004&lt;&gt;"",O1004=""),"FALTA NF",
O1004&lt;&gt;"","CONCLUÍDO")</f>
        <v>CONCLUÍDO</v>
      </c>
      <c r="R1004" s="36"/>
    </row>
    <row r="1005" spans="1:18" hidden="1">
      <c r="A1005" s="16">
        <v>46099</v>
      </c>
      <c r="B1005" s="16">
        <v>46129</v>
      </c>
      <c r="C1005" s="21">
        <v>51521058</v>
      </c>
      <c r="D1005" s="16" t="str">
        <f>IFERROR(VLOOKUP(Tabela5[[#This Row],[PREFIXO ]],Tabela4[#All],2,0),"CENTRO DE CUSTO")</f>
        <v>COLHED ALGODÃO JOHN DEERE CP 690</v>
      </c>
      <c r="E1005" s="18" t="s">
        <v>96</v>
      </c>
      <c r="F1005" s="21">
        <v>4135</v>
      </c>
      <c r="G1005" s="22">
        <v>90</v>
      </c>
      <c r="H1005" s="22"/>
      <c r="I1005" s="22">
        <f t="shared" si="16"/>
        <v>90</v>
      </c>
      <c r="J1005" s="18" t="s">
        <v>1113</v>
      </c>
      <c r="K1005" s="18">
        <v>9815877</v>
      </c>
      <c r="L1005" s="18">
        <v>912367</v>
      </c>
      <c r="M1005" s="18" t="s">
        <v>2713</v>
      </c>
      <c r="N1005" s="16" t="s">
        <v>2554</v>
      </c>
      <c r="O1005" s="18" t="s">
        <v>2480</v>
      </c>
      <c r="P1005" s="18" t="s">
        <v>1526</v>
      </c>
      <c r="Q1005" s="29" t="str" cm="1">
        <f t="array" ref="Q1005">_xlfn.IFS(
A1005="","",
AND(A1005&lt;&gt;"",B1005=""),"FALTA LANÇAMENTO",
AND(B1005&lt;&gt;"",M1005=""),"FALTA O PEDIDO",
AND(M1005&lt;&gt;"",O1005=""),"FALTA NF",
O1005&lt;&gt;"","CONCLUÍDO")</f>
        <v>CONCLUÍDO</v>
      </c>
      <c r="R1005" s="36"/>
    </row>
    <row r="1006" spans="1:18" hidden="1">
      <c r="A1006" s="16">
        <v>46099</v>
      </c>
      <c r="B1006" s="16">
        <v>46119</v>
      </c>
      <c r="C1006" s="21" t="s">
        <v>1134</v>
      </c>
      <c r="D1006" s="16" t="str">
        <f>IFERROR(VLOOKUP(Tabela5[[#This Row],[PREFIXO ]],Tabela4[#All],2,0),"CENTRO DE CUSTO")</f>
        <v>CENTRO DE CUSTO</v>
      </c>
      <c r="E1006" s="18" t="s">
        <v>121</v>
      </c>
      <c r="F1006" s="21">
        <v>69</v>
      </c>
      <c r="G1006" s="22">
        <v>1560.68</v>
      </c>
      <c r="H1006" s="22">
        <v>4655.58</v>
      </c>
      <c r="I1006" s="22">
        <f t="shared" si="16"/>
        <v>6216.26</v>
      </c>
      <c r="J1006" s="18" t="s">
        <v>1199</v>
      </c>
      <c r="K1006" s="18">
        <v>9814031</v>
      </c>
      <c r="L1006" s="18">
        <v>896798</v>
      </c>
      <c r="M1006" s="18" t="s">
        <v>2714</v>
      </c>
      <c r="N1006" s="16" t="s">
        <v>2540</v>
      </c>
      <c r="O1006" s="18" t="s">
        <v>2715</v>
      </c>
      <c r="P1006" s="18" t="s">
        <v>2716</v>
      </c>
      <c r="Q1006" s="29" t="str" cm="1">
        <f t="array" ref="Q1006">_xlfn.IFS(
A1006="","",
AND(A1006&lt;&gt;"",B1006=""),"FALTA LANÇAMENTO",
AND(B1006&lt;&gt;"",M1006=""),"FALTA O PEDIDO",
AND(M1006&lt;&gt;"",O1006=""),"FALTA NF",
O1006&lt;&gt;"","CONCLUÍDO")</f>
        <v>CONCLUÍDO</v>
      </c>
      <c r="R1006" s="36"/>
    </row>
    <row r="1007" spans="1:18" hidden="1">
      <c r="A1007" s="16">
        <v>46099</v>
      </c>
      <c r="B1007" s="16">
        <v>46119</v>
      </c>
      <c r="C1007" s="21">
        <v>61521051</v>
      </c>
      <c r="D1007" s="16" t="str">
        <f>IFERROR(VLOOKUP(Tabela5[[#This Row],[PREFIXO ]],Tabela4[#All],2,0),"CENTRO DE CUSTO")</f>
        <v>CENTRO DE CUSTO</v>
      </c>
      <c r="E1007" s="18" t="s">
        <v>121</v>
      </c>
      <c r="F1007" s="21">
        <v>70</v>
      </c>
      <c r="G1007" s="22">
        <v>237.5</v>
      </c>
      <c r="H1007" s="22">
        <v>1858.7</v>
      </c>
      <c r="I1007" s="22">
        <f t="shared" si="16"/>
        <v>2096.1999999999998</v>
      </c>
      <c r="J1007" s="18" t="s">
        <v>1199</v>
      </c>
      <c r="K1007" s="18">
        <v>9814784</v>
      </c>
      <c r="L1007" s="18">
        <v>903292</v>
      </c>
      <c r="M1007" s="18" t="s">
        <v>2717</v>
      </c>
      <c r="N1007" s="16" t="s">
        <v>2595</v>
      </c>
      <c r="O1007" s="18" t="s">
        <v>2718</v>
      </c>
      <c r="P1007" s="18" t="s">
        <v>2716</v>
      </c>
      <c r="Q1007" s="29" t="str" cm="1">
        <f t="array" ref="Q1007">_xlfn.IFS(
A1007="","",
AND(A1007&lt;&gt;"",B1007=""),"FALTA LANÇAMENTO",
AND(B1007&lt;&gt;"",M1007=""),"FALTA O PEDIDO",
AND(M1007&lt;&gt;"",O1007=""),"FALTA NF",
O1007&lt;&gt;"","CONCLUÍDO")</f>
        <v>CONCLUÍDO</v>
      </c>
      <c r="R1007" s="36"/>
    </row>
    <row r="1008" spans="1:18" hidden="1">
      <c r="A1008" s="16">
        <v>46099</v>
      </c>
      <c r="B1008" s="16">
        <v>46119</v>
      </c>
      <c r="C1008" s="21">
        <v>61519048</v>
      </c>
      <c r="D1008" s="16" t="str">
        <f>IFERROR(VLOOKUP(Tabela5[[#This Row],[PREFIXO ]],Tabela4[#All],2,0),"CENTRO DE CUSTO")</f>
        <v>CENTRO DE CUSTO</v>
      </c>
      <c r="E1008" s="18" t="s">
        <v>124</v>
      </c>
      <c r="F1008" s="21">
        <v>530</v>
      </c>
      <c r="G1008" s="22">
        <v>100</v>
      </c>
      <c r="H1008" s="22">
        <v>1380</v>
      </c>
      <c r="I1008" s="22">
        <f t="shared" si="16"/>
        <v>1480</v>
      </c>
      <c r="J1008" s="18" t="s">
        <v>1199</v>
      </c>
      <c r="K1008" s="18">
        <v>9814643</v>
      </c>
      <c r="L1008" s="18">
        <v>903492</v>
      </c>
      <c r="M1008" s="18" t="s">
        <v>2719</v>
      </c>
      <c r="N1008" s="16" t="s">
        <v>2540</v>
      </c>
      <c r="O1008" s="18" t="s">
        <v>2720</v>
      </c>
      <c r="P1008" s="18" t="s">
        <v>2595</v>
      </c>
      <c r="Q1008" s="29" t="str" cm="1">
        <f t="array" ref="Q1008">_xlfn.IFS(
A1008="","",
AND(A1008&lt;&gt;"",B1008=""),"FALTA LANÇAMENTO",
AND(B1008&lt;&gt;"",M1008=""),"FALTA O PEDIDO",
AND(M1008&lt;&gt;"",O1008=""),"FALTA NF",
O1008&lt;&gt;"","CONCLUÍDO")</f>
        <v>CONCLUÍDO</v>
      </c>
      <c r="R1008" s="36"/>
    </row>
    <row r="1009" spans="1:18" hidden="1">
      <c r="A1009" s="16">
        <v>46099</v>
      </c>
      <c r="B1009" s="16">
        <v>46120</v>
      </c>
      <c r="C1009" s="21" t="s">
        <v>1134</v>
      </c>
      <c r="D1009" s="16" t="str">
        <f>IFERROR(VLOOKUP(Tabela5[[#This Row],[PREFIXO ]],Tabela4[#All],2,0),"CENTRO DE CUSTO")</f>
        <v>CENTRO DE CUSTO</v>
      </c>
      <c r="E1009" s="18" t="s">
        <v>308</v>
      </c>
      <c r="F1009" s="21" t="s">
        <v>2171</v>
      </c>
      <c r="G1009" s="22">
        <v>7197</v>
      </c>
      <c r="H1009" s="22"/>
      <c r="I1009" s="22">
        <f t="shared" si="16"/>
        <v>7197</v>
      </c>
      <c r="J1009" s="18" t="s">
        <v>1113</v>
      </c>
      <c r="K1009" s="18">
        <v>5020193</v>
      </c>
      <c r="L1009" s="18">
        <v>903953</v>
      </c>
      <c r="M1009" s="18" t="s">
        <v>2721</v>
      </c>
      <c r="N1009" s="16" t="s">
        <v>2507</v>
      </c>
      <c r="O1009" s="18" t="s">
        <v>1758</v>
      </c>
      <c r="P1009" s="18" t="s">
        <v>2507</v>
      </c>
      <c r="Q1009" s="29" t="str" cm="1">
        <f t="array" ref="Q1009">_xlfn.IFS(
A1009="","",
AND(A1009&lt;&gt;"",B1009=""),"FALTA LANÇAMENTO",
AND(B1009&lt;&gt;"",M1009=""),"FALTA O PEDIDO",
AND(M1009&lt;&gt;"",O1009=""),"FALTA NF",
O1009&lt;&gt;"","CONCLUÍDO")</f>
        <v>CONCLUÍDO</v>
      </c>
      <c r="R1009" s="36"/>
    </row>
    <row r="1010" spans="1:18" hidden="1">
      <c r="A1010" s="16">
        <v>46099</v>
      </c>
      <c r="B1010" s="16">
        <v>46114</v>
      </c>
      <c r="C1010" s="21">
        <v>61521011</v>
      </c>
      <c r="D1010" s="16" t="str">
        <f>IFERROR(VLOOKUP(Tabela5[[#This Row],[PREFIXO ]],Tabela4[#All],2,0),"CENTRO DE CUSTO")</f>
        <v>CAM COMBOIO MERC BENZ ATRON 2729</v>
      </c>
      <c r="E1010" s="18" t="s">
        <v>351</v>
      </c>
      <c r="F1010" s="21" t="s">
        <v>1134</v>
      </c>
      <c r="G1010" s="22">
        <v>7366.4</v>
      </c>
      <c r="H1010" s="22"/>
      <c r="I1010" s="22">
        <f t="shared" si="16"/>
        <v>7366.4</v>
      </c>
      <c r="J1010" s="18" t="s">
        <v>2467</v>
      </c>
      <c r="K1010" s="18">
        <v>9813920</v>
      </c>
      <c r="L1010" s="18">
        <v>900436</v>
      </c>
      <c r="M1010" s="18" t="s">
        <v>2722</v>
      </c>
      <c r="N1010" s="16" t="s">
        <v>2538</v>
      </c>
      <c r="O1010" s="18" t="s">
        <v>2169</v>
      </c>
      <c r="P1010" s="18" t="s">
        <v>2585</v>
      </c>
      <c r="Q1010" s="29" t="str" cm="1">
        <f t="array" ref="Q1010">_xlfn.IFS(
A1010="","",
AND(A1010&lt;&gt;"",B1010=""),"FALTA LANÇAMENTO",
AND(B1010&lt;&gt;"",M1010=""),"FALTA O PEDIDO",
AND(M1010&lt;&gt;"",O1010=""),"FALTA NF",
O1010&lt;&gt;"","CONCLUÍDO")</f>
        <v>CONCLUÍDO</v>
      </c>
      <c r="R1010" s="36"/>
    </row>
    <row r="1011" spans="1:18" hidden="1">
      <c r="A1011" s="16">
        <v>46099</v>
      </c>
      <c r="B1011" s="16">
        <v>46119</v>
      </c>
      <c r="C1011" s="21">
        <v>31521019</v>
      </c>
      <c r="D1011" s="16" t="str">
        <f>IFERROR(VLOOKUP(Tabela5[[#This Row],[PREFIXO ]],Tabela4[#All],2,0),"CENTRO DE CUSTO")</f>
        <v>PULV AUTOPROP JACTO UNIPORT 3030</v>
      </c>
      <c r="E1011" s="18" t="s">
        <v>137</v>
      </c>
      <c r="F1011" s="21">
        <v>10164</v>
      </c>
      <c r="G1011" s="22">
        <v>940</v>
      </c>
      <c r="H1011" s="22"/>
      <c r="I1011" s="22">
        <f t="shared" si="16"/>
        <v>940</v>
      </c>
      <c r="J1011" s="18" t="s">
        <v>1265</v>
      </c>
      <c r="K1011" s="18">
        <v>9814525</v>
      </c>
      <c r="L1011" s="18">
        <v>903502</v>
      </c>
      <c r="M1011" s="18" t="s">
        <v>2723</v>
      </c>
      <c r="N1011" s="16" t="s">
        <v>2595</v>
      </c>
      <c r="O1011" s="18" t="s">
        <v>2724</v>
      </c>
      <c r="P1011" s="18" t="s">
        <v>2725</v>
      </c>
      <c r="Q1011" s="29" t="str" cm="1">
        <f t="array" ref="Q1011">_xlfn.IFS(
A1011="","",
AND(A1011&lt;&gt;"",B1011=""),"FALTA LANÇAMENTO",
AND(B1011&lt;&gt;"",M1011=""),"FALTA O PEDIDO",
AND(M1011&lt;&gt;"",O1011=""),"FALTA NF",
O1011&lt;&gt;"","CONCLUÍDO")</f>
        <v>CONCLUÍDO</v>
      </c>
      <c r="R1011" s="36"/>
    </row>
    <row r="1012" spans="1:18" hidden="1">
      <c r="A1012" s="16">
        <v>46099</v>
      </c>
      <c r="B1012" s="16">
        <v>46114</v>
      </c>
      <c r="C1012" s="21">
        <v>61521051</v>
      </c>
      <c r="D1012" s="16" t="str">
        <f>IFERROR(VLOOKUP(Tabela5[[#This Row],[PREFIXO ]],Tabela4[#All],2,0),"CENTRO DE CUSTO")</f>
        <v>CENTRO DE CUSTO</v>
      </c>
      <c r="E1012" s="18" t="s">
        <v>361</v>
      </c>
      <c r="F1012" s="21" t="s">
        <v>1134</v>
      </c>
      <c r="G1012" s="22">
        <v>980</v>
      </c>
      <c r="H1012" s="22"/>
      <c r="I1012" s="22">
        <f t="shared" si="16"/>
        <v>980</v>
      </c>
      <c r="J1012" s="18" t="s">
        <v>1199</v>
      </c>
      <c r="K1012" s="18">
        <v>9814054</v>
      </c>
      <c r="L1012" s="18" t="s">
        <v>1095</v>
      </c>
      <c r="M1012" s="18" t="s">
        <v>1095</v>
      </c>
      <c r="N1012" s="16" t="s">
        <v>1095</v>
      </c>
      <c r="O1012" s="18" t="s">
        <v>1095</v>
      </c>
      <c r="P1012" s="18" t="s">
        <v>1095</v>
      </c>
      <c r="Q1012" s="29" t="str" cm="1">
        <f t="array" ref="Q1012">_xlfn.IFS(
A1012="","",
AND(A1012&lt;&gt;"",B1012=""),"FALTA LANÇAMENTO",
AND(B1012&lt;&gt;"",M1012=""),"FALTA O PEDIDO",
AND(M1012&lt;&gt;"",O1012=""),"FALTA NF",
O1012&lt;&gt;"","CONCLUÍDO")</f>
        <v>CONCLUÍDO</v>
      </c>
      <c r="R1012" s="36"/>
    </row>
    <row r="1013" spans="1:18" hidden="1">
      <c r="A1013" s="16">
        <v>46099</v>
      </c>
      <c r="B1013" s="16">
        <v>46114</v>
      </c>
      <c r="C1013" s="21">
        <v>1173020</v>
      </c>
      <c r="D1013" s="16" t="str">
        <f>IFERROR(VLOOKUP(Tabela5[[#This Row],[PREFIXO ]],Tabela4[#All],2,0),"CENTRO DE CUSTO")</f>
        <v>TRAT PN MED N.HOLLAND 7630</v>
      </c>
      <c r="E1013" s="18" t="s">
        <v>148</v>
      </c>
      <c r="F1013" s="21">
        <v>79</v>
      </c>
      <c r="G1013" s="22">
        <v>3100</v>
      </c>
      <c r="H1013" s="22"/>
      <c r="I1013" s="22">
        <f t="shared" si="16"/>
        <v>3100</v>
      </c>
      <c r="J1013" s="18" t="s">
        <v>1199</v>
      </c>
      <c r="K1013" s="18">
        <v>9814063</v>
      </c>
      <c r="L1013" s="18">
        <v>900524</v>
      </c>
      <c r="M1013" s="18" t="s">
        <v>2726</v>
      </c>
      <c r="N1013" s="16" t="s">
        <v>2538</v>
      </c>
      <c r="O1013" s="18" t="s">
        <v>2679</v>
      </c>
      <c r="P1013" s="18" t="s">
        <v>2305</v>
      </c>
      <c r="Q1013" s="29" t="str" cm="1">
        <f t="array" ref="Q1013">_xlfn.IFS(
A1013="","",
AND(A1013&lt;&gt;"",B1013=""),"FALTA LANÇAMENTO",
AND(B1013&lt;&gt;"",M1013=""),"FALTA O PEDIDO",
AND(M1013&lt;&gt;"",O1013=""),"FALTA NF",
O1013&lt;&gt;"","CONCLUÍDO")</f>
        <v>CONCLUÍDO</v>
      </c>
      <c r="R1013" s="36"/>
    </row>
    <row r="1014" spans="1:18" hidden="1">
      <c r="A1014" s="16">
        <v>46099</v>
      </c>
      <c r="B1014" s="16">
        <v>46104</v>
      </c>
      <c r="C1014" s="21">
        <v>500580579</v>
      </c>
      <c r="D1014" s="16" t="str">
        <f>IFERROR(VLOOKUP(Tabela5[[#This Row],[PREFIXO ]],Tabela4[#All],2,0),"CENTRO DE CUSTO")</f>
        <v>Pátio de Vendas</v>
      </c>
      <c r="E1014" s="18" t="s">
        <v>224</v>
      </c>
      <c r="F1014" s="21">
        <v>1996</v>
      </c>
      <c r="G1014" s="22">
        <v>3675</v>
      </c>
      <c r="H1014" s="22"/>
      <c r="I1014" s="22">
        <f t="shared" si="16"/>
        <v>3675</v>
      </c>
      <c r="J1014" s="18" t="s">
        <v>1251</v>
      </c>
      <c r="K1014" s="18" t="s">
        <v>1095</v>
      </c>
      <c r="L1014" s="18" t="s">
        <v>1095</v>
      </c>
      <c r="M1014" s="18" t="s">
        <v>1095</v>
      </c>
      <c r="N1014" s="16" t="s">
        <v>1095</v>
      </c>
      <c r="O1014" s="18" t="s">
        <v>1095</v>
      </c>
      <c r="P1014" s="18" t="s">
        <v>1095</v>
      </c>
      <c r="Q1014" s="29" t="str" cm="1">
        <f t="array" ref="Q1014">_xlfn.IFS(
A1014="","",
AND(A1014&lt;&gt;"",B1014=""),"FALTA LANÇAMENTO",
AND(B1014&lt;&gt;"",M1014=""),"FALTA O PEDIDO",
AND(M1014&lt;&gt;"",O1014=""),"FALTA NF",
O1014&lt;&gt;"","CONCLUÍDO")</f>
        <v>CONCLUÍDO</v>
      </c>
      <c r="R1014" s="36"/>
    </row>
    <row r="1015" spans="1:18" hidden="1">
      <c r="A1015" s="16">
        <v>46099</v>
      </c>
      <c r="B1015" s="16">
        <v>46104</v>
      </c>
      <c r="C1015" s="21">
        <v>500580579</v>
      </c>
      <c r="D1015" s="16" t="str">
        <f>IFERROR(VLOOKUP(Tabela5[[#This Row],[PREFIXO ]],Tabela4[#All],2,0),"CENTRO DE CUSTO")</f>
        <v>Pátio de Vendas</v>
      </c>
      <c r="E1015" s="18" t="s">
        <v>224</v>
      </c>
      <c r="F1015" s="21">
        <v>1998</v>
      </c>
      <c r="G1015" s="22">
        <v>2850</v>
      </c>
      <c r="H1015" s="22"/>
      <c r="I1015" s="22">
        <f t="shared" si="16"/>
        <v>2850</v>
      </c>
      <c r="J1015" s="18" t="s">
        <v>1251</v>
      </c>
      <c r="K1015" s="18" t="s">
        <v>1095</v>
      </c>
      <c r="L1015" s="18" t="s">
        <v>1095</v>
      </c>
      <c r="M1015" s="18" t="s">
        <v>1095</v>
      </c>
      <c r="N1015" s="16" t="s">
        <v>1095</v>
      </c>
      <c r="O1015" s="18" t="s">
        <v>1095</v>
      </c>
      <c r="P1015" s="18" t="s">
        <v>1095</v>
      </c>
      <c r="Q1015" s="29" t="str" cm="1">
        <f t="array" ref="Q1015">_xlfn.IFS(
A1015="","",
AND(A1015&lt;&gt;"",B1015=""),"FALTA LANÇAMENTO",
AND(B1015&lt;&gt;"",M1015=""),"FALTA O PEDIDO",
AND(M1015&lt;&gt;"",O1015=""),"FALTA NF",
O1015&lt;&gt;"","CONCLUÍDO")</f>
        <v>CONCLUÍDO</v>
      </c>
      <c r="R1015" s="36"/>
    </row>
    <row r="1016" spans="1:18" hidden="1">
      <c r="A1016" s="16">
        <v>46099</v>
      </c>
      <c r="B1016" s="16">
        <v>46104</v>
      </c>
      <c r="C1016" s="21">
        <v>500580579</v>
      </c>
      <c r="D1016" s="16" t="str">
        <f>IFERROR(VLOOKUP(Tabela5[[#This Row],[PREFIXO ]],Tabela4[#All],2,0),"CENTRO DE CUSTO")</f>
        <v>Pátio de Vendas</v>
      </c>
      <c r="E1016" s="18" t="s">
        <v>224</v>
      </c>
      <c r="F1016" s="21">
        <v>2618</v>
      </c>
      <c r="G1016" s="22">
        <v>2325</v>
      </c>
      <c r="H1016" s="22"/>
      <c r="I1016" s="22">
        <f t="shared" si="16"/>
        <v>2325</v>
      </c>
      <c r="J1016" s="18" t="s">
        <v>1251</v>
      </c>
      <c r="K1016" s="18" t="s">
        <v>1095</v>
      </c>
      <c r="L1016" s="18" t="s">
        <v>1095</v>
      </c>
      <c r="M1016" s="18" t="s">
        <v>1095</v>
      </c>
      <c r="N1016" s="16" t="s">
        <v>1095</v>
      </c>
      <c r="O1016" s="18" t="s">
        <v>1095</v>
      </c>
      <c r="P1016" s="18" t="s">
        <v>1095</v>
      </c>
      <c r="Q1016" s="29" t="str" cm="1">
        <f t="array" ref="Q1016">_xlfn.IFS(
A1016="","",
AND(A1016&lt;&gt;"",B1016=""),"FALTA LANÇAMENTO",
AND(B1016&lt;&gt;"",M1016=""),"FALTA O PEDIDO",
AND(M1016&lt;&gt;"",O1016=""),"FALTA NF",
O1016&lt;&gt;"","CONCLUÍDO")</f>
        <v>CONCLUÍDO</v>
      </c>
      <c r="R1016" s="36"/>
    </row>
    <row r="1017" spans="1:18" hidden="1">
      <c r="A1017" s="16">
        <v>46099</v>
      </c>
      <c r="B1017" s="16">
        <v>46121</v>
      </c>
      <c r="C1017" s="21">
        <v>12010018</v>
      </c>
      <c r="D1017" s="16" t="str">
        <f>IFERROR(VLOOKUP(Tabela5[[#This Row],[PREFIXO ]],Tabela4[#All],2,0),"CENTRO DE CUSTO")</f>
        <v>CENTRO DE CUSTO</v>
      </c>
      <c r="E1017" s="18" t="s">
        <v>227</v>
      </c>
      <c r="F1017" s="21">
        <v>220335</v>
      </c>
      <c r="G1017" s="22"/>
      <c r="H1017" s="22">
        <v>3946.3</v>
      </c>
      <c r="I1017" s="22">
        <f t="shared" si="16"/>
        <v>3946.3</v>
      </c>
      <c r="J1017" s="18" t="s">
        <v>1199</v>
      </c>
      <c r="K1017" s="18">
        <v>9825419</v>
      </c>
      <c r="L1017" s="18" t="s">
        <v>2727</v>
      </c>
      <c r="M1017" s="18" t="s">
        <v>2728</v>
      </c>
      <c r="N1017" s="16">
        <v>46122</v>
      </c>
      <c r="O1017" s="18" t="s">
        <v>1095</v>
      </c>
      <c r="P1017" s="18" t="s">
        <v>1095</v>
      </c>
      <c r="Q1017" s="29" t="str" cm="1">
        <f t="array" ref="Q1017">_xlfn.IFS(
A1017="","",
AND(A1017&lt;&gt;"",B1017=""),"FALTA LANÇAMENTO",
AND(B1017&lt;&gt;"",M1017=""),"FALTA O PEDIDO",
AND(M1017&lt;&gt;"",O1017=""),"FALTA NF",
O1017&lt;&gt;"","CONCLUÍDO")</f>
        <v>CONCLUÍDO</v>
      </c>
      <c r="R1017" s="36"/>
    </row>
    <row r="1018" spans="1:18" hidden="1">
      <c r="A1018" s="16">
        <v>46099</v>
      </c>
      <c r="B1018" s="16">
        <v>46121</v>
      </c>
      <c r="C1018" s="21">
        <v>61521101</v>
      </c>
      <c r="D1018" s="16" t="str">
        <f>IFERROR(VLOOKUP(Tabela5[[#This Row],[PREFIXO ]],Tabela4[#All],2,0),"CENTRO DE CUSTO")</f>
        <v>CAM ROLL ON/OFF VOLVO VM 330</v>
      </c>
      <c r="E1018" s="18" t="s">
        <v>227</v>
      </c>
      <c r="F1018" s="21">
        <v>220262</v>
      </c>
      <c r="G1018" s="22">
        <v>460.75</v>
      </c>
      <c r="H1018" s="22"/>
      <c r="I1018" s="22">
        <f t="shared" si="16"/>
        <v>460.75</v>
      </c>
      <c r="J1018" s="18" t="s">
        <v>1199</v>
      </c>
      <c r="K1018" s="18">
        <v>9826791</v>
      </c>
      <c r="L1018" s="18" t="s">
        <v>1134</v>
      </c>
      <c r="M1018" s="18" t="s">
        <v>1095</v>
      </c>
      <c r="N1018" s="16" t="s">
        <v>1095</v>
      </c>
      <c r="O1018" s="18" t="s">
        <v>1095</v>
      </c>
      <c r="P1018" s="18" t="s">
        <v>1095</v>
      </c>
      <c r="Q1018" s="29" t="str" cm="1">
        <f t="array" ref="Q1018">_xlfn.IFS(
A1018="","",
AND(A1018&lt;&gt;"",B1018=""),"FALTA LANÇAMENTO",
AND(B1018&lt;&gt;"",M1018=""),"FALTA O PEDIDO",
AND(M1018&lt;&gt;"",O1018=""),"FALTA NF",
O1018&lt;&gt;"","CONCLUÍDO")</f>
        <v>CONCLUÍDO</v>
      </c>
      <c r="R1018" s="36"/>
    </row>
    <row r="1019" spans="1:18" hidden="1">
      <c r="A1019" s="16">
        <v>46099</v>
      </c>
      <c r="B1019" s="16">
        <v>46119</v>
      </c>
      <c r="C1019" s="21" t="s">
        <v>1134</v>
      </c>
      <c r="D1019" s="16" t="str">
        <f>IFERROR(VLOOKUP(Tabela5[[#This Row],[PREFIXO ]],Tabela4[#All],2,0),"CENTRO DE CUSTO")</f>
        <v>CENTRO DE CUSTO</v>
      </c>
      <c r="E1019" s="18" t="s">
        <v>227</v>
      </c>
      <c r="F1019" s="21">
        <v>223677</v>
      </c>
      <c r="G1019" s="22"/>
      <c r="H1019" s="22">
        <v>218.5</v>
      </c>
      <c r="I1019" s="22">
        <f t="shared" si="16"/>
        <v>218.5</v>
      </c>
      <c r="J1019" s="18" t="s">
        <v>1199</v>
      </c>
      <c r="K1019" s="18">
        <v>9822822</v>
      </c>
      <c r="L1019" s="18" t="s">
        <v>1095</v>
      </c>
      <c r="M1019" s="18" t="s">
        <v>1095</v>
      </c>
      <c r="N1019" s="16" t="s">
        <v>1095</v>
      </c>
      <c r="O1019" s="18" t="s">
        <v>1095</v>
      </c>
      <c r="P1019" s="18" t="s">
        <v>1095</v>
      </c>
      <c r="Q1019" s="29" t="str" cm="1">
        <f t="array" ref="Q1019">_xlfn.IFS(
A1019="","",
AND(A1019&lt;&gt;"",B1019=""),"FALTA LANÇAMENTO",
AND(B1019&lt;&gt;"",M1019=""),"FALTA O PEDIDO",
AND(M1019&lt;&gt;"",O1019=""),"FALTA NF",
O1019&lt;&gt;"","CONCLUÍDO")</f>
        <v>CONCLUÍDO</v>
      </c>
      <c r="R1019" s="36"/>
    </row>
    <row r="1020" spans="1:18" hidden="1">
      <c r="A1020" s="16">
        <v>46099</v>
      </c>
      <c r="B1020" s="16" t="s">
        <v>1095</v>
      </c>
      <c r="C1020" s="21" t="s">
        <v>1095</v>
      </c>
      <c r="D1020" s="16" t="str">
        <f>IFERROR(VLOOKUP(Tabela5[[#This Row],[PREFIXO ]],Tabela4[#All],2,0),"CENTRO DE CUSTO")</f>
        <v>Equipamento</v>
      </c>
      <c r="E1020" s="18" t="s">
        <v>356</v>
      </c>
      <c r="F1020" s="21">
        <v>7159</v>
      </c>
      <c r="G1020" s="22">
        <v>5987.5</v>
      </c>
      <c r="H1020" s="22">
        <v>11905.33</v>
      </c>
      <c r="I1020" s="22">
        <f t="shared" si="16"/>
        <v>17892.830000000002</v>
      </c>
      <c r="J1020" s="18" t="s">
        <v>1199</v>
      </c>
      <c r="K1020" s="18" t="s">
        <v>1095</v>
      </c>
      <c r="L1020" s="18" t="s">
        <v>1095</v>
      </c>
      <c r="M1020" s="18" t="s">
        <v>1095</v>
      </c>
      <c r="N1020" s="16" t="s">
        <v>1095</v>
      </c>
      <c r="O1020" s="18" t="s">
        <v>1095</v>
      </c>
      <c r="P1020" s="18" t="s">
        <v>1095</v>
      </c>
      <c r="Q1020" s="29" t="str" cm="1">
        <f t="array" ref="Q1020">_xlfn.IFS(
A1020="","",
AND(A1020&lt;&gt;"",B1020=""),"FALTA LANÇAMENTO",
AND(B1020&lt;&gt;"",M1020=""),"FALTA O PEDIDO",
AND(M1020&lt;&gt;"",O1020=""),"FALTA NF",
O1020&lt;&gt;"","CONCLUÍDO")</f>
        <v>CONCLUÍDO</v>
      </c>
      <c r="R1020" s="36" t="s">
        <v>2729</v>
      </c>
    </row>
    <row r="1021" spans="1:18" hidden="1">
      <c r="A1021" s="16">
        <v>46099</v>
      </c>
      <c r="B1021" s="16">
        <v>46119</v>
      </c>
      <c r="C1021" s="21">
        <v>61521061</v>
      </c>
      <c r="D1021" s="16" t="str">
        <f>IFERROR(VLOOKUP(Tabela5[[#This Row],[PREFIXO ]],Tabela4[#All],2,0),"CENTRO DE CUSTO")</f>
        <v>ONIB RODOVIÁRIO MERC BENZ MARCOPOLO TORI</v>
      </c>
      <c r="E1021" s="18" t="s">
        <v>235</v>
      </c>
      <c r="F1021" s="21">
        <v>2763</v>
      </c>
      <c r="G1021" s="22">
        <v>27270</v>
      </c>
      <c r="H1021" s="22">
        <v>38348</v>
      </c>
      <c r="I1021" s="22">
        <f t="shared" si="16"/>
        <v>65618</v>
      </c>
      <c r="J1021" s="18" t="s">
        <v>1199</v>
      </c>
      <c r="K1021" s="18">
        <v>9813912</v>
      </c>
      <c r="L1021" s="18">
        <v>896549</v>
      </c>
      <c r="M1021" s="18" t="s">
        <v>2730</v>
      </c>
      <c r="N1021" s="16" t="s">
        <v>2595</v>
      </c>
      <c r="O1021" s="18" t="s">
        <v>2731</v>
      </c>
      <c r="P1021" s="18" t="s">
        <v>2656</v>
      </c>
      <c r="Q1021" s="29" t="str" cm="1">
        <f t="array" ref="Q1021">_xlfn.IFS(
A1021="","",
AND(A1021&lt;&gt;"",B1021=""),"FALTA LANÇAMENTO",
AND(B1021&lt;&gt;"",M1021=""),"FALTA O PEDIDO",
AND(M1021&lt;&gt;"",O1021=""),"FALTA NF",
O1021&lt;&gt;"","CONCLUÍDO")</f>
        <v>CONCLUÍDO</v>
      </c>
      <c r="R1021" s="36"/>
    </row>
    <row r="1022" spans="1:18" hidden="1">
      <c r="A1022" s="16">
        <v>46099</v>
      </c>
      <c r="B1022" s="16">
        <v>46119</v>
      </c>
      <c r="C1022" s="21">
        <v>61521061</v>
      </c>
      <c r="D1022" s="16" t="str">
        <f>IFERROR(VLOOKUP(Tabela5[[#This Row],[PREFIXO ]],Tabela4[#All],2,0),"CENTRO DE CUSTO")</f>
        <v>ONIB RODOVIÁRIO MERC BENZ MARCOPOLO TORI</v>
      </c>
      <c r="E1022" s="18" t="s">
        <v>235</v>
      </c>
      <c r="F1022" s="21">
        <v>2764</v>
      </c>
      <c r="G1022" s="22">
        <v>3800</v>
      </c>
      <c r="H1022" s="22">
        <v>8280</v>
      </c>
      <c r="I1022" s="22">
        <f t="shared" si="16"/>
        <v>12080</v>
      </c>
      <c r="J1022" s="18" t="s">
        <v>1199</v>
      </c>
      <c r="K1022" s="18">
        <v>9814027</v>
      </c>
      <c r="L1022" s="18">
        <v>903288</v>
      </c>
      <c r="M1022" s="18" t="s">
        <v>2732</v>
      </c>
      <c r="N1022" s="16" t="s">
        <v>2540</v>
      </c>
      <c r="O1022" s="18" t="s">
        <v>2733</v>
      </c>
      <c r="P1022" s="18" t="s">
        <v>2597</v>
      </c>
      <c r="Q1022" s="29" t="str" cm="1">
        <f t="array" ref="Q1022">_xlfn.IFS(
A1022="","",
AND(A1022&lt;&gt;"",B1022=""),"FALTA LANÇAMENTO",
AND(B1022&lt;&gt;"",M1022=""),"FALTA O PEDIDO",
AND(M1022&lt;&gt;"",O1022=""),"FALTA NF",
O1022&lt;&gt;"","CONCLUÍDO")</f>
        <v>CONCLUÍDO</v>
      </c>
      <c r="R1022" s="36"/>
    </row>
    <row r="1023" spans="1:18" hidden="1">
      <c r="A1023" s="16">
        <v>46099</v>
      </c>
      <c r="B1023" s="16">
        <v>46119</v>
      </c>
      <c r="C1023" s="21">
        <v>61521061</v>
      </c>
      <c r="D1023" s="16" t="str">
        <f>IFERROR(VLOOKUP(Tabela5[[#This Row],[PREFIXO ]],Tabela4[#All],2,0),"CENTRO DE CUSTO")</f>
        <v>ONIB RODOVIÁRIO MERC BENZ MARCOPOLO TORI</v>
      </c>
      <c r="E1023" s="18" t="s">
        <v>235</v>
      </c>
      <c r="F1023" s="21">
        <v>2777</v>
      </c>
      <c r="G1023" s="22">
        <v>250</v>
      </c>
      <c r="H1023" s="22">
        <v>1306</v>
      </c>
      <c r="I1023" s="22">
        <f t="shared" si="16"/>
        <v>1556</v>
      </c>
      <c r="J1023" s="18" t="s">
        <v>1199</v>
      </c>
      <c r="K1023" s="18">
        <v>9813998</v>
      </c>
      <c r="L1023" s="18">
        <v>903409</v>
      </c>
      <c r="M1023" s="18" t="s">
        <v>2734</v>
      </c>
      <c r="N1023" s="16" t="s">
        <v>2540</v>
      </c>
      <c r="O1023" s="18" t="s">
        <v>2735</v>
      </c>
      <c r="P1023" s="18" t="s">
        <v>2597</v>
      </c>
      <c r="Q1023" s="29" t="str" cm="1">
        <f t="array" ref="Q1023">_xlfn.IFS(
A1023="","",
AND(A1023&lt;&gt;"",B1023=""),"FALTA LANÇAMENTO",
AND(B1023&lt;&gt;"",M1023=""),"FALTA O PEDIDO",
AND(M1023&lt;&gt;"",O1023=""),"FALTA NF",
O1023&lt;&gt;"","CONCLUÍDO")</f>
        <v>CONCLUÍDO</v>
      </c>
      <c r="R1023" s="36"/>
    </row>
    <row r="1024" spans="1:18" hidden="1">
      <c r="A1024" s="16">
        <v>46099</v>
      </c>
      <c r="B1024" s="16">
        <v>46125</v>
      </c>
      <c r="C1024" s="21">
        <v>31521040</v>
      </c>
      <c r="D1024" s="16" t="str">
        <f>IFERROR(VLOOKUP(Tabela5[[#This Row],[PREFIXO ]],Tabela4[#All],2,0),"CENTRO DE CUSTO")</f>
        <v>ADUB AUTOPROP KUHN ACCURA ST 7000</v>
      </c>
      <c r="E1024" s="18" t="s">
        <v>247</v>
      </c>
      <c r="F1024" s="21" t="s">
        <v>2736</v>
      </c>
      <c r="G1024" s="22">
        <v>1348.5</v>
      </c>
      <c r="H1024" s="22">
        <v>3527.95</v>
      </c>
      <c r="I1024" s="22">
        <f t="shared" ref="I1024:I1087" si="17">G1024+H1024</f>
        <v>4876.45</v>
      </c>
      <c r="J1024" s="18" t="s">
        <v>1265</v>
      </c>
      <c r="K1024" s="18">
        <v>9814096</v>
      </c>
      <c r="L1024" s="18">
        <v>906988</v>
      </c>
      <c r="M1024" s="18" t="s">
        <v>2737</v>
      </c>
      <c r="N1024" s="16" t="s">
        <v>2643</v>
      </c>
      <c r="O1024" s="18" t="s">
        <v>2738</v>
      </c>
      <c r="P1024" s="18" t="s">
        <v>2645</v>
      </c>
      <c r="Q1024" s="29" t="str" cm="1">
        <f t="array" ref="Q1024">_xlfn.IFS(
A1024="","",
AND(A1024&lt;&gt;"",B1024=""),"FALTA LANÇAMENTO",
AND(B1024&lt;&gt;"",M1024=""),"FALTA O PEDIDO",
AND(M1024&lt;&gt;"",O1024=""),"FALTA NF",
O1024&lt;&gt;"","CONCLUÍDO")</f>
        <v>CONCLUÍDO</v>
      </c>
      <c r="R1024" s="36"/>
    </row>
    <row r="1025" spans="1:18" hidden="1">
      <c r="A1025" s="16">
        <v>46099</v>
      </c>
      <c r="B1025" s="16">
        <v>46119</v>
      </c>
      <c r="C1025" s="21">
        <v>61521075</v>
      </c>
      <c r="D1025" s="16" t="str">
        <f>IFERROR(VLOOKUP(Tabela5[[#This Row],[PREFIXO ]],Tabela4[#All],2,0),"CENTRO DE CUSTO")</f>
        <v>CAV MEC PES VOLVO VM 220</v>
      </c>
      <c r="E1025" s="18" t="s">
        <v>250</v>
      </c>
      <c r="F1025" s="21">
        <v>40152</v>
      </c>
      <c r="G1025" s="22">
        <v>960</v>
      </c>
      <c r="H1025" s="22">
        <v>2512.9499999999998</v>
      </c>
      <c r="I1025" s="22">
        <f t="shared" si="17"/>
        <v>3472.95</v>
      </c>
      <c r="J1025" s="18" t="s">
        <v>1199</v>
      </c>
      <c r="K1025" s="18">
        <v>9814030</v>
      </c>
      <c r="L1025" s="18">
        <v>903255</v>
      </c>
      <c r="M1025" s="18" t="s">
        <v>2739</v>
      </c>
      <c r="N1025" s="16" t="s">
        <v>2540</v>
      </c>
      <c r="O1025" s="18" t="s">
        <v>2740</v>
      </c>
      <c r="P1025" s="18" t="s">
        <v>2587</v>
      </c>
      <c r="Q1025" s="29" t="str" cm="1">
        <f t="array" ref="Q1025">_xlfn.IFS(
A1025="","",
AND(A1025&lt;&gt;"",B1025=""),"FALTA LANÇAMENTO",
AND(B1025&lt;&gt;"",M1025=""),"FALTA O PEDIDO",
AND(M1025&lt;&gt;"",O1025=""),"FALTA NF",
O1025&lt;&gt;"","CONCLUÍDO")</f>
        <v>CONCLUÍDO</v>
      </c>
      <c r="R1025" s="36"/>
    </row>
    <row r="1026" spans="1:18" hidden="1">
      <c r="A1026" s="16">
        <v>46099</v>
      </c>
      <c r="B1026" s="16">
        <v>46119</v>
      </c>
      <c r="C1026" s="21" t="s">
        <v>1134</v>
      </c>
      <c r="D1026" s="16" t="str">
        <f>IFERROR(VLOOKUP(Tabela5[[#This Row],[PREFIXO ]],Tabela4[#All],2,0),"CENTRO DE CUSTO")</f>
        <v>CENTRO DE CUSTO</v>
      </c>
      <c r="E1026" s="18" t="s">
        <v>259</v>
      </c>
      <c r="F1026" s="21" t="s">
        <v>2741</v>
      </c>
      <c r="G1026" s="22">
        <v>49.28</v>
      </c>
      <c r="H1026" s="22">
        <v>4568.67</v>
      </c>
      <c r="I1026" s="22">
        <f t="shared" si="17"/>
        <v>4617.95</v>
      </c>
      <c r="J1026" s="18" t="s">
        <v>1199</v>
      </c>
      <c r="K1026" s="18">
        <v>9814619</v>
      </c>
      <c r="L1026" s="18">
        <v>903501</v>
      </c>
      <c r="M1026" s="18" t="s">
        <v>2742</v>
      </c>
      <c r="N1026" s="16" t="s">
        <v>2595</v>
      </c>
      <c r="O1026" s="18" t="s">
        <v>2743</v>
      </c>
      <c r="P1026" s="18" t="s">
        <v>2744</v>
      </c>
      <c r="Q1026" s="29" t="str" cm="1">
        <f t="array" ref="Q1026">_xlfn.IFS(
A1026="","",
AND(A1026&lt;&gt;"",B1026=""),"FALTA LANÇAMENTO",
AND(B1026&lt;&gt;"",M1026=""),"FALTA O PEDIDO",
AND(M1026&lt;&gt;"",O1026=""),"FALTA NF",
O1026&lt;&gt;"","CONCLUÍDO")</f>
        <v>CONCLUÍDO</v>
      </c>
      <c r="R1026" s="36"/>
    </row>
    <row r="1027" spans="1:18" hidden="1">
      <c r="A1027" s="16">
        <v>46099</v>
      </c>
      <c r="B1027" s="16">
        <v>46121</v>
      </c>
      <c r="C1027" s="21">
        <v>500580263</v>
      </c>
      <c r="D1027" s="16" t="str">
        <f>IFERROR(VLOOKUP(Tabela5[[#This Row],[PREFIXO ]],Tabela4[#All],2,0),"CENTRO DE CUSTO")</f>
        <v>Colheit. Grãos-Axial</v>
      </c>
      <c r="E1027" s="18" t="s">
        <v>346</v>
      </c>
      <c r="F1027" s="21" t="s">
        <v>1308</v>
      </c>
      <c r="G1027" s="22">
        <v>12625</v>
      </c>
      <c r="H1027" s="22"/>
      <c r="I1027" s="22">
        <f t="shared" si="17"/>
        <v>12625</v>
      </c>
      <c r="J1027" s="18" t="s">
        <v>1113</v>
      </c>
      <c r="K1027" s="18">
        <v>5020196</v>
      </c>
      <c r="L1027" s="18">
        <v>905372</v>
      </c>
      <c r="M1027" s="18" t="s">
        <v>2745</v>
      </c>
      <c r="N1027" s="16" t="s">
        <v>2585</v>
      </c>
      <c r="O1027" s="18" t="s">
        <v>1409</v>
      </c>
      <c r="P1027" s="18" t="s">
        <v>2619</v>
      </c>
      <c r="Q1027" s="29" t="str" cm="1">
        <f t="array" ref="Q1027">_xlfn.IFS(
A1027="","",
AND(A1027&lt;&gt;"",B1027=""),"FALTA LANÇAMENTO",
AND(B1027&lt;&gt;"",M1027=""),"FALTA O PEDIDO",
AND(M1027&lt;&gt;"",O1027=""),"FALTA NF",
O1027&lt;&gt;"","CONCLUÍDO")</f>
        <v>CONCLUÍDO</v>
      </c>
      <c r="R1027" s="36"/>
    </row>
    <row r="1028" spans="1:18" hidden="1">
      <c r="A1028" s="16">
        <v>46099</v>
      </c>
      <c r="B1028" s="16">
        <v>46119</v>
      </c>
      <c r="C1028" s="21" t="s">
        <v>1134</v>
      </c>
      <c r="D1028" s="16" t="str">
        <f>IFERROR(VLOOKUP(Tabela5[[#This Row],[PREFIXO ]],Tabela4[#All],2,0),"CENTRO DE CUSTO")</f>
        <v>CENTRO DE CUSTO</v>
      </c>
      <c r="E1028" s="18" t="s">
        <v>346</v>
      </c>
      <c r="F1028" s="21" t="s">
        <v>1310</v>
      </c>
      <c r="G1028" s="22">
        <v>6897</v>
      </c>
      <c r="H1028" s="22"/>
      <c r="I1028" s="22">
        <f t="shared" si="17"/>
        <v>6897</v>
      </c>
      <c r="J1028" s="18" t="s">
        <v>1113</v>
      </c>
      <c r="K1028" s="18">
        <v>5020197</v>
      </c>
      <c r="L1028" s="18">
        <v>903560</v>
      </c>
      <c r="M1028" s="18" t="s">
        <v>2746</v>
      </c>
      <c r="N1028" s="16" t="s">
        <v>2595</v>
      </c>
      <c r="O1028" s="18" t="s">
        <v>2487</v>
      </c>
      <c r="P1028" s="18" t="s">
        <v>2507</v>
      </c>
      <c r="Q1028" s="29" t="str" cm="1">
        <f t="array" ref="Q1028">_xlfn.IFS(
A1028="","",
AND(A1028&lt;&gt;"",B1028=""),"FALTA LANÇAMENTO",
AND(B1028&lt;&gt;"",M1028=""),"FALTA O PEDIDO",
AND(M1028&lt;&gt;"",O1028=""),"FALTA NF",
O1028&lt;&gt;"","CONCLUÍDO")</f>
        <v>CONCLUÍDO</v>
      </c>
      <c r="R1028" s="36"/>
    </row>
    <row r="1029" spans="1:18" hidden="1">
      <c r="A1029" s="16">
        <v>46099</v>
      </c>
      <c r="B1029" s="16">
        <v>46119</v>
      </c>
      <c r="C1029" s="21" t="s">
        <v>1134</v>
      </c>
      <c r="D1029" s="16" t="str">
        <f>IFERROR(VLOOKUP(Tabela5[[#This Row],[PREFIXO ]],Tabela4[#All],2,0),"CENTRO DE CUSTO")</f>
        <v>CENTRO DE CUSTO</v>
      </c>
      <c r="E1029" s="18" t="s">
        <v>346</v>
      </c>
      <c r="F1029" s="21" t="s">
        <v>1306</v>
      </c>
      <c r="G1029" s="22">
        <v>2129</v>
      </c>
      <c r="H1029" s="22"/>
      <c r="I1029" s="22">
        <f t="shared" si="17"/>
        <v>2129</v>
      </c>
      <c r="J1029" s="18" t="s">
        <v>1113</v>
      </c>
      <c r="K1029" s="18">
        <v>5020195</v>
      </c>
      <c r="L1029" s="18">
        <v>903560</v>
      </c>
      <c r="M1029" s="18" t="s">
        <v>2746</v>
      </c>
      <c r="N1029" s="16" t="s">
        <v>2595</v>
      </c>
      <c r="O1029" s="18" t="s">
        <v>2487</v>
      </c>
      <c r="P1029" s="18" t="s">
        <v>2507</v>
      </c>
      <c r="Q1029" s="29" t="str" cm="1">
        <f t="array" ref="Q1029">_xlfn.IFS(
A1029="","",
AND(A1029&lt;&gt;"",B1029=""),"FALTA LANÇAMENTO",
AND(B1029&lt;&gt;"",M1029=""),"FALTA O PEDIDO",
AND(M1029&lt;&gt;"",O1029=""),"FALTA NF",
O1029&lt;&gt;"","CONCLUÍDO")</f>
        <v>CONCLUÍDO</v>
      </c>
      <c r="R1029" s="36"/>
    </row>
    <row r="1030" spans="1:18" hidden="1">
      <c r="A1030" s="16">
        <v>46101</v>
      </c>
      <c r="B1030" s="16">
        <v>46101</v>
      </c>
      <c r="C1030" s="21">
        <v>13070001</v>
      </c>
      <c r="D1030" s="16" t="str">
        <f>IFERROR(VLOOKUP(Tabela5[[#This Row],[PREFIXO ]],Tabela4[#All],2,0),"CENTRO DE CUSTO")</f>
        <v>CENTRO DE CUSTO</v>
      </c>
      <c r="E1030" s="18" t="s">
        <v>359</v>
      </c>
      <c r="F1030" s="21" t="s">
        <v>2747</v>
      </c>
      <c r="G1030" s="22">
        <v>17212.5</v>
      </c>
      <c r="H1030" s="22"/>
      <c r="I1030" s="22">
        <f t="shared" si="17"/>
        <v>17212.5</v>
      </c>
      <c r="J1030" s="18" t="s">
        <v>1199</v>
      </c>
      <c r="K1030" s="18">
        <v>9804522</v>
      </c>
      <c r="L1030" s="18">
        <v>891916</v>
      </c>
      <c r="M1030" s="18" t="s">
        <v>2748</v>
      </c>
      <c r="N1030" s="16" t="s">
        <v>2749</v>
      </c>
      <c r="O1030" s="18" t="s">
        <v>1347</v>
      </c>
      <c r="P1030" s="18" t="s">
        <v>2307</v>
      </c>
      <c r="Q1030" s="29" t="str" cm="1">
        <f t="array" ref="Q1030">_xlfn.IFS(
A1030="","",
AND(A1030&lt;&gt;"",B1030=""),"FALTA LANÇAMENTO",
AND(B1030&lt;&gt;"",M1030=""),"FALTA O PEDIDO",
AND(M1030&lt;&gt;"",O1030=""),"FALTA NF",
O1030&lt;&gt;"","CONCLUÍDO")</f>
        <v>CONCLUÍDO</v>
      </c>
      <c r="R1030" s="36"/>
    </row>
    <row r="1031" spans="1:18" hidden="1">
      <c r="A1031" s="16">
        <v>46101</v>
      </c>
      <c r="B1031" s="16">
        <v>46101</v>
      </c>
      <c r="C1031" s="21">
        <v>15750003</v>
      </c>
      <c r="D1031" s="16" t="str">
        <f>IFERROR(VLOOKUP(Tabela5[[#This Row],[PREFIXO ]],Tabela4[#All],2,0),"CENTRO DE CUSTO")</f>
        <v>ARRANCAD AMENDOIM KBM AIA FLEX12L</v>
      </c>
      <c r="E1031" s="18" t="s">
        <v>359</v>
      </c>
      <c r="F1031" s="21" t="s">
        <v>2687</v>
      </c>
      <c r="G1031" s="22">
        <v>3000</v>
      </c>
      <c r="H1031" s="22"/>
      <c r="I1031" s="22">
        <f t="shared" si="17"/>
        <v>3000</v>
      </c>
      <c r="J1031" s="18" t="s">
        <v>1199</v>
      </c>
      <c r="K1031" s="18">
        <v>9804277</v>
      </c>
      <c r="L1031" s="18">
        <v>891916</v>
      </c>
      <c r="M1031" s="18" t="s">
        <v>2748</v>
      </c>
      <c r="N1031" s="16" t="s">
        <v>2749</v>
      </c>
      <c r="O1031" s="18" t="s">
        <v>1347</v>
      </c>
      <c r="P1031" s="18" t="s">
        <v>2307</v>
      </c>
      <c r="Q1031" s="29" t="str" cm="1">
        <f t="array" ref="Q1031">_xlfn.IFS(
A1031="","",
AND(A1031&lt;&gt;"",B1031=""),"FALTA LANÇAMENTO",
AND(B1031&lt;&gt;"",M1031=""),"FALTA O PEDIDO",
AND(M1031&lt;&gt;"",O1031=""),"FALTA NF",
O1031&lt;&gt;"","CONCLUÍDO")</f>
        <v>CONCLUÍDO</v>
      </c>
      <c r="R1031" s="36"/>
    </row>
    <row r="1032" spans="1:18" hidden="1">
      <c r="A1032" s="16">
        <v>46101</v>
      </c>
      <c r="B1032" s="16">
        <v>46101</v>
      </c>
      <c r="C1032" s="21">
        <v>15750001</v>
      </c>
      <c r="D1032" s="16" t="str">
        <f>IFERROR(VLOOKUP(Tabela5[[#This Row],[PREFIXO ]],Tabela4[#All],2,0),"CENTRO DE CUSTO")</f>
        <v>ARRANCAD AMENDOIM KBM AIA FLEX6L</v>
      </c>
      <c r="E1032" s="18" t="s">
        <v>359</v>
      </c>
      <c r="F1032" s="21" t="s">
        <v>2750</v>
      </c>
      <c r="G1032" s="22">
        <v>3000</v>
      </c>
      <c r="H1032" s="22"/>
      <c r="I1032" s="22">
        <f t="shared" si="17"/>
        <v>3000</v>
      </c>
      <c r="J1032" s="18" t="s">
        <v>1199</v>
      </c>
      <c r="K1032" s="18">
        <v>9804276</v>
      </c>
      <c r="L1032" s="18">
        <v>891916</v>
      </c>
      <c r="M1032" s="18" t="s">
        <v>2748</v>
      </c>
      <c r="N1032" s="16" t="s">
        <v>2749</v>
      </c>
      <c r="O1032" s="18" t="s">
        <v>1347</v>
      </c>
      <c r="P1032" s="18" t="s">
        <v>2307</v>
      </c>
      <c r="Q1032" s="29" t="str" cm="1">
        <f t="array" ref="Q1032">_xlfn.IFS(
A1032="","",
AND(A1032&lt;&gt;"",B1032=""),"FALTA LANÇAMENTO",
AND(B1032&lt;&gt;"",M1032=""),"FALTA O PEDIDO",
AND(M1032&lt;&gt;"",O1032=""),"FALTA NF",
O1032&lt;&gt;"","CONCLUÍDO")</f>
        <v>CONCLUÍDO</v>
      </c>
      <c r="R1032" s="36"/>
    </row>
    <row r="1033" spans="1:18" hidden="1">
      <c r="A1033" s="16">
        <v>46101</v>
      </c>
      <c r="B1033" s="16">
        <v>46101</v>
      </c>
      <c r="C1033" s="21">
        <v>15750002</v>
      </c>
      <c r="D1033" s="16" t="str">
        <f>IFERROR(VLOOKUP(Tabela5[[#This Row],[PREFIXO ]],Tabela4[#All],2,0),"CENTRO DE CUSTO")</f>
        <v>ARRANCAD AMENDOIM KBM AIA FLEX6L</v>
      </c>
      <c r="E1033" s="18" t="s">
        <v>359</v>
      </c>
      <c r="F1033" s="21" t="s">
        <v>2691</v>
      </c>
      <c r="G1033" s="22">
        <v>3000</v>
      </c>
      <c r="H1033" s="22"/>
      <c r="I1033" s="22">
        <f t="shared" si="17"/>
        <v>3000</v>
      </c>
      <c r="J1033" s="18" t="s">
        <v>1199</v>
      </c>
      <c r="K1033" s="18">
        <v>9804275</v>
      </c>
      <c r="L1033" s="18">
        <v>891916</v>
      </c>
      <c r="M1033" s="18" t="s">
        <v>2748</v>
      </c>
      <c r="N1033" s="16" t="s">
        <v>2749</v>
      </c>
      <c r="O1033" s="18" t="s">
        <v>1347</v>
      </c>
      <c r="P1033" s="18" t="s">
        <v>2307</v>
      </c>
      <c r="Q1033" s="29" t="str" cm="1">
        <f t="array" ref="Q1033">_xlfn.IFS(
A1033="","",
AND(A1033&lt;&gt;"",B1033=""),"FALTA LANÇAMENTO",
AND(B1033&lt;&gt;"",M1033=""),"FALTA O PEDIDO",
AND(M1033&lt;&gt;"",O1033=""),"FALTA NF",
O1033&lt;&gt;"","CONCLUÍDO")</f>
        <v>CONCLUÍDO</v>
      </c>
      <c r="R1033" s="36"/>
    </row>
    <row r="1034" spans="1:18" hidden="1">
      <c r="A1034" s="16">
        <v>46101</v>
      </c>
      <c r="B1034" s="16">
        <v>46101</v>
      </c>
      <c r="C1034" s="21">
        <v>15750004</v>
      </c>
      <c r="D1034" s="16" t="str">
        <f>IFERROR(VLOOKUP(Tabela5[[#This Row],[PREFIXO ]],Tabela4[#All],2,0),"CENTRO DE CUSTO")</f>
        <v>CENTRO DE CUSTO</v>
      </c>
      <c r="E1034" s="18" t="s">
        <v>359</v>
      </c>
      <c r="F1034" s="21" t="s">
        <v>1381</v>
      </c>
      <c r="G1034" s="22">
        <v>3000</v>
      </c>
      <c r="H1034" s="22"/>
      <c r="I1034" s="22">
        <f t="shared" si="17"/>
        <v>3000</v>
      </c>
      <c r="J1034" s="18" t="s">
        <v>1199</v>
      </c>
      <c r="K1034" s="18">
        <v>9804274</v>
      </c>
      <c r="L1034" s="18">
        <v>891916</v>
      </c>
      <c r="M1034" s="18" t="s">
        <v>2748</v>
      </c>
      <c r="N1034" s="16" t="s">
        <v>2749</v>
      </c>
      <c r="O1034" s="18" t="s">
        <v>1347</v>
      </c>
      <c r="P1034" s="18" t="s">
        <v>2307</v>
      </c>
      <c r="Q1034" s="29" t="str" cm="1">
        <f t="array" ref="Q1034">_xlfn.IFS(
A1034="","",
AND(A1034&lt;&gt;"",B1034=""),"FALTA LANÇAMENTO",
AND(B1034&lt;&gt;"",M1034=""),"FALTA O PEDIDO",
AND(M1034&lt;&gt;"",O1034=""),"FALTA NF",
O1034&lt;&gt;"","CONCLUÍDO")</f>
        <v>CONCLUÍDO</v>
      </c>
      <c r="R1034" s="36"/>
    </row>
    <row r="1035" spans="1:18" hidden="1">
      <c r="A1035" s="16">
        <v>46101</v>
      </c>
      <c r="B1035" s="16">
        <v>46101</v>
      </c>
      <c r="C1035" s="21">
        <v>151900036</v>
      </c>
      <c r="D1035" s="16" t="str">
        <f>IFERROR(VLOOKUP(Tabela5[[#This Row],[PREFIXO ]],Tabela4[#All],2,0),"CENTRO DE CUSTO")</f>
        <v>CENTRO DE CUSTO</v>
      </c>
      <c r="E1035" s="18" t="s">
        <v>359</v>
      </c>
      <c r="F1035" s="21" t="s">
        <v>1558</v>
      </c>
      <c r="G1035" s="22">
        <v>1071.22</v>
      </c>
      <c r="H1035" s="22"/>
      <c r="I1035" s="22">
        <f t="shared" si="17"/>
        <v>1071.22</v>
      </c>
      <c r="J1035" s="18" t="s">
        <v>1199</v>
      </c>
      <c r="K1035" s="18">
        <v>9804525</v>
      </c>
      <c r="L1035" s="18">
        <v>891916</v>
      </c>
      <c r="M1035" s="18" t="s">
        <v>2748</v>
      </c>
      <c r="N1035" s="16" t="s">
        <v>2749</v>
      </c>
      <c r="O1035" s="18" t="s">
        <v>1347</v>
      </c>
      <c r="P1035" s="18" t="s">
        <v>2307</v>
      </c>
      <c r="Q1035" s="29" t="str" cm="1">
        <f t="array" ref="Q1035">_xlfn.IFS(
A1035="","",
AND(A1035&lt;&gt;"",B1035=""),"FALTA LANÇAMENTO",
AND(B1035&lt;&gt;"",M1035=""),"FALTA O PEDIDO",
AND(M1035&lt;&gt;"",O1035=""),"FALTA NF",
O1035&lt;&gt;"","CONCLUÍDO")</f>
        <v>CONCLUÍDO</v>
      </c>
      <c r="R1035" s="36"/>
    </row>
    <row r="1036" spans="1:18" hidden="1">
      <c r="A1036" s="16">
        <v>46101</v>
      </c>
      <c r="B1036" s="16">
        <v>46101</v>
      </c>
      <c r="C1036" s="21">
        <v>15690001</v>
      </c>
      <c r="D1036" s="16" t="str">
        <f>IFERROR(VLOOKUP(Tabela5[[#This Row],[PREFIXO ]],Tabela4[#All],2,0),"CENTRO DE CUSTO")</f>
        <v>COLHE FORRAGEM CASALE CRC-180 AP</v>
      </c>
      <c r="E1036" s="18" t="s">
        <v>359</v>
      </c>
      <c r="F1036" s="21" t="s">
        <v>2621</v>
      </c>
      <c r="G1036" s="22">
        <v>623.20000000000005</v>
      </c>
      <c r="H1036" s="22"/>
      <c r="I1036" s="22">
        <f t="shared" si="17"/>
        <v>623.20000000000005</v>
      </c>
      <c r="J1036" s="18" t="s">
        <v>1199</v>
      </c>
      <c r="K1036" s="18">
        <v>9804521</v>
      </c>
      <c r="L1036" s="18">
        <v>891916</v>
      </c>
      <c r="M1036" s="18" t="s">
        <v>2748</v>
      </c>
      <c r="N1036" s="16" t="s">
        <v>2749</v>
      </c>
      <c r="O1036" s="18" t="s">
        <v>1347</v>
      </c>
      <c r="P1036" s="18" t="s">
        <v>2307</v>
      </c>
      <c r="Q1036" s="29" t="str" cm="1">
        <f t="array" ref="Q1036">_xlfn.IFS(
A1036="","",
AND(A1036&lt;&gt;"",B1036=""),"FALTA LANÇAMENTO",
AND(B1036&lt;&gt;"",M1036=""),"FALTA O PEDIDO",
AND(M1036&lt;&gt;"",O1036=""),"FALTA NF",
O1036&lt;&gt;"","CONCLUÍDO")</f>
        <v>CONCLUÍDO</v>
      </c>
      <c r="R1036" s="36"/>
    </row>
    <row r="1037" spans="1:18" hidden="1">
      <c r="A1037" s="16">
        <v>46101</v>
      </c>
      <c r="B1037" s="16">
        <v>46101</v>
      </c>
      <c r="C1037" s="21">
        <v>8157072</v>
      </c>
      <c r="D1037" s="16" t="str">
        <f>IFERROR(VLOOKUP(Tabela5[[#This Row],[PREFIXO ]],Tabela4[#All],2,0),"CENTRO DE CUSTO")</f>
        <v>GRADE ARADORA ECO GSP 22X32"</v>
      </c>
      <c r="E1037" s="18" t="s">
        <v>359</v>
      </c>
      <c r="F1037" s="21" t="s">
        <v>2618</v>
      </c>
      <c r="G1037" s="22">
        <v>610</v>
      </c>
      <c r="H1037" s="22"/>
      <c r="I1037" s="22">
        <f t="shared" si="17"/>
        <v>610</v>
      </c>
      <c r="J1037" s="18" t="s">
        <v>1199</v>
      </c>
      <c r="K1037" s="18">
        <v>9804524</v>
      </c>
      <c r="L1037" s="18">
        <v>891916</v>
      </c>
      <c r="M1037" s="18" t="s">
        <v>2748</v>
      </c>
      <c r="N1037" s="16" t="s">
        <v>2749</v>
      </c>
      <c r="O1037" s="18" t="s">
        <v>1347</v>
      </c>
      <c r="P1037" s="18" t="s">
        <v>2307</v>
      </c>
      <c r="Q1037" s="29" t="str" cm="1">
        <f t="array" ref="Q1037">_xlfn.IFS(
A1037="","",
AND(A1037&lt;&gt;"",B1037=""),"FALTA LANÇAMENTO",
AND(B1037&lt;&gt;"",M1037=""),"FALTA O PEDIDO",
AND(M1037&lt;&gt;"",O1037=""),"FALTA NF",
O1037&lt;&gt;"","CONCLUÍDO")</f>
        <v>CONCLUÍDO</v>
      </c>
      <c r="R1037" s="36"/>
    </row>
    <row r="1038" spans="1:18" hidden="1">
      <c r="A1038" s="16">
        <v>46101</v>
      </c>
      <c r="B1038" s="16">
        <v>46101</v>
      </c>
      <c r="C1038" s="21">
        <v>500580086</v>
      </c>
      <c r="D1038" s="16" t="str">
        <f>IFERROR(VLOOKUP(Tabela5[[#This Row],[PREFIXO ]],Tabela4[#All],2,0),"CENTRO DE CUSTO")</f>
        <v>Veículos Leves</v>
      </c>
      <c r="E1038" s="18" t="s">
        <v>356</v>
      </c>
      <c r="F1038" s="21">
        <v>7018</v>
      </c>
      <c r="G1038" s="22">
        <v>120</v>
      </c>
      <c r="H1038" s="22">
        <v>1690</v>
      </c>
      <c r="I1038" s="22">
        <f t="shared" si="17"/>
        <v>1810</v>
      </c>
      <c r="J1038" s="18" t="s">
        <v>1199</v>
      </c>
      <c r="K1038" s="18">
        <v>5020006</v>
      </c>
      <c r="L1038" s="18">
        <v>891648</v>
      </c>
      <c r="M1038" s="18" t="s">
        <v>2751</v>
      </c>
      <c r="N1038" s="16" t="s">
        <v>2502</v>
      </c>
      <c r="O1038" s="18" t="s">
        <v>2752</v>
      </c>
      <c r="P1038" s="18" t="s">
        <v>2593</v>
      </c>
      <c r="Q1038" s="29" t="str" cm="1">
        <f t="array" ref="Q1038">_xlfn.IFS(
A1038="","",
AND(A1038&lt;&gt;"",B1038=""),"FALTA LANÇAMENTO",
AND(B1038&lt;&gt;"",M1038=""),"FALTA O PEDIDO",
AND(M1038&lt;&gt;"",O1038=""),"FALTA NF",
O1038&lt;&gt;"","CONCLUÍDO")</f>
        <v>CONCLUÍDO</v>
      </c>
      <c r="R1038" s="36"/>
    </row>
    <row r="1039" spans="1:18" hidden="1">
      <c r="A1039" s="16">
        <v>46101</v>
      </c>
      <c r="B1039" s="16">
        <v>46101</v>
      </c>
      <c r="C1039" s="21">
        <v>81521297</v>
      </c>
      <c r="D1039" s="16" t="str">
        <f>IFERROR(VLOOKUP(Tabela5[[#This Row],[PREFIXO ]],Tabela4[#All],2,0),"CENTRO DE CUSTO")</f>
        <v>PLANT GRÃOS CASE FAST RISER 60 LINHAS</v>
      </c>
      <c r="E1039" s="18" t="s">
        <v>255</v>
      </c>
      <c r="F1039" s="21">
        <v>865</v>
      </c>
      <c r="G1039" s="22">
        <v>1530</v>
      </c>
      <c r="H1039" s="22"/>
      <c r="I1039" s="22">
        <f t="shared" si="17"/>
        <v>1530</v>
      </c>
      <c r="J1039" s="18" t="s">
        <v>1113</v>
      </c>
      <c r="K1039" s="18">
        <v>9804014</v>
      </c>
      <c r="L1039" s="18">
        <v>891575</v>
      </c>
      <c r="M1039" s="18" t="s">
        <v>2753</v>
      </c>
      <c r="N1039" s="16" t="s">
        <v>2502</v>
      </c>
      <c r="O1039" s="18" t="s">
        <v>1536</v>
      </c>
      <c r="P1039" s="18" t="s">
        <v>2502</v>
      </c>
      <c r="Q1039" s="29" t="str" cm="1">
        <f t="array" ref="Q1039">_xlfn.IFS(
A1039="","",
AND(A1039&lt;&gt;"",B1039=""),"FALTA LANÇAMENTO",
AND(B1039&lt;&gt;"",M1039=""),"FALTA O PEDIDO",
AND(M1039&lt;&gt;"",O1039=""),"FALTA NF",
O1039&lt;&gt;"","CONCLUÍDO")</f>
        <v>CONCLUÍDO</v>
      </c>
      <c r="R1039" s="36"/>
    </row>
    <row r="1040" spans="1:18" hidden="1">
      <c r="A1040" s="16">
        <v>46101</v>
      </c>
      <c r="B1040" s="16">
        <v>46101</v>
      </c>
      <c r="C1040" s="21">
        <v>51521063</v>
      </c>
      <c r="D1040" s="16" t="str">
        <f>IFERROR(VLOOKUP(Tabela5[[#This Row],[PREFIXO ]],Tabela4[#All],2,0),"CENTRO DE CUSTO")</f>
        <v>COLHED ALGODÃO JOHN DEERE CP 690</v>
      </c>
      <c r="E1040" s="18" t="s">
        <v>255</v>
      </c>
      <c r="F1040" s="21">
        <v>869</v>
      </c>
      <c r="G1040" s="22">
        <v>1450</v>
      </c>
      <c r="H1040" s="22"/>
      <c r="I1040" s="22">
        <f t="shared" si="17"/>
        <v>1450</v>
      </c>
      <c r="J1040" s="18" t="s">
        <v>1113</v>
      </c>
      <c r="K1040" s="18">
        <v>9804003</v>
      </c>
      <c r="L1040" s="18">
        <v>891575</v>
      </c>
      <c r="M1040" s="18" t="s">
        <v>2753</v>
      </c>
      <c r="N1040" s="16" t="s">
        <v>2502</v>
      </c>
      <c r="O1040" s="18" t="s">
        <v>1536</v>
      </c>
      <c r="P1040" s="18" t="s">
        <v>2502</v>
      </c>
      <c r="Q1040" s="29" t="str" cm="1">
        <f t="array" ref="Q1040">_xlfn.IFS(
A1040="","",
AND(A1040&lt;&gt;"",B1040=""),"FALTA LANÇAMENTO",
AND(B1040&lt;&gt;"",M1040=""),"FALTA O PEDIDO",
AND(M1040&lt;&gt;"",O1040=""),"FALTA NF",
O1040&lt;&gt;"","CONCLUÍDO")</f>
        <v>CONCLUÍDO</v>
      </c>
      <c r="R1040" s="36"/>
    </row>
    <row r="1041" spans="1:18" hidden="1">
      <c r="A1041" s="16">
        <v>46101</v>
      </c>
      <c r="B1041" s="16">
        <v>46101</v>
      </c>
      <c r="C1041" s="21" t="s">
        <v>2754</v>
      </c>
      <c r="D1041" s="16" t="str">
        <f>IFERROR(VLOOKUP(Tabela5[[#This Row],[PREFIXO ]],Tabela4[#All],2,0),"CENTRO DE CUSTO")</f>
        <v>CENTRO DE CUSTO</v>
      </c>
      <c r="E1041" s="18" t="s">
        <v>255</v>
      </c>
      <c r="F1041" s="21">
        <v>867</v>
      </c>
      <c r="G1041" s="22">
        <v>1300</v>
      </c>
      <c r="H1041" s="22"/>
      <c r="I1041" s="22">
        <f t="shared" si="17"/>
        <v>1300</v>
      </c>
      <c r="J1041" s="18" t="s">
        <v>1113</v>
      </c>
      <c r="K1041" s="18" t="s">
        <v>2755</v>
      </c>
      <c r="L1041" s="18">
        <v>891575</v>
      </c>
      <c r="M1041" s="18" t="s">
        <v>2753</v>
      </c>
      <c r="N1041" s="16" t="s">
        <v>2502</v>
      </c>
      <c r="O1041" s="18" t="s">
        <v>1536</v>
      </c>
      <c r="P1041" s="18" t="s">
        <v>2502</v>
      </c>
      <c r="Q1041" s="29" t="str" cm="1">
        <f t="array" ref="Q1041">_xlfn.IFS(
A1041="","",
AND(A1041&lt;&gt;"",B1041=""),"FALTA LANÇAMENTO",
AND(B1041&lt;&gt;"",M1041=""),"FALTA O PEDIDO",
AND(M1041&lt;&gt;"",O1041=""),"FALTA NF",
O1041&lt;&gt;"","CONCLUÍDO")</f>
        <v>CONCLUÍDO</v>
      </c>
      <c r="R1041" s="36"/>
    </row>
    <row r="1042" spans="1:18" hidden="1">
      <c r="A1042" s="16">
        <v>46101</v>
      </c>
      <c r="B1042" s="16">
        <v>46101</v>
      </c>
      <c r="C1042" s="21">
        <v>85048096</v>
      </c>
      <c r="D1042" s="16" t="str">
        <f>IFERROR(VLOOKUP(Tabela5[[#This Row],[PREFIXO ]],Tabela4[#All],2,0),"CENTRO DE CUSTO")</f>
        <v>CENTRO DE CUSTO</v>
      </c>
      <c r="E1042" s="18" t="s">
        <v>255</v>
      </c>
      <c r="F1042" s="21">
        <v>863</v>
      </c>
      <c r="G1042" s="22">
        <v>1282</v>
      </c>
      <c r="H1042" s="22"/>
      <c r="I1042" s="22">
        <f t="shared" si="17"/>
        <v>1282</v>
      </c>
      <c r="J1042" s="18" t="s">
        <v>1113</v>
      </c>
      <c r="K1042" s="18">
        <v>9804005</v>
      </c>
      <c r="L1042" s="18">
        <v>891575</v>
      </c>
      <c r="M1042" s="18" t="s">
        <v>2753</v>
      </c>
      <c r="N1042" s="16" t="s">
        <v>2502</v>
      </c>
      <c r="O1042" s="18" t="s">
        <v>1536</v>
      </c>
      <c r="P1042" s="18" t="s">
        <v>2502</v>
      </c>
      <c r="Q1042" s="29" t="str" cm="1">
        <f t="array" ref="Q1042">_xlfn.IFS(
A1042="","",
AND(A1042&lt;&gt;"",B1042=""),"FALTA LANÇAMENTO",
AND(B1042&lt;&gt;"",M1042=""),"FALTA O PEDIDO",
AND(M1042&lt;&gt;"",O1042=""),"FALTA NF",
O1042&lt;&gt;"","CONCLUÍDO")</f>
        <v>CONCLUÍDO</v>
      </c>
      <c r="R1042" s="36"/>
    </row>
    <row r="1043" spans="1:18" hidden="1">
      <c r="A1043" s="16">
        <v>46101</v>
      </c>
      <c r="B1043" s="16">
        <v>46101</v>
      </c>
      <c r="C1043" s="21">
        <v>17320833</v>
      </c>
      <c r="D1043" s="16" t="str">
        <f>IFERROR(VLOOKUP(Tabela5[[#This Row],[PREFIXO ]],Tabela4[#All],2,0),"CENTRO DE CUSTO")</f>
        <v>PLANTADEIRA CASE IH FAST RISER 6100</v>
      </c>
      <c r="E1043" s="18" t="s">
        <v>255</v>
      </c>
      <c r="F1043" s="21">
        <v>864</v>
      </c>
      <c r="G1043" s="22">
        <v>900</v>
      </c>
      <c r="H1043" s="22"/>
      <c r="I1043" s="22">
        <f t="shared" si="17"/>
        <v>900</v>
      </c>
      <c r="J1043" s="18" t="s">
        <v>1199</v>
      </c>
      <c r="K1043" s="18">
        <v>9804002</v>
      </c>
      <c r="L1043" s="18">
        <v>891575</v>
      </c>
      <c r="M1043" s="18" t="s">
        <v>2753</v>
      </c>
      <c r="N1043" s="16" t="s">
        <v>2502</v>
      </c>
      <c r="O1043" s="18" t="s">
        <v>1536</v>
      </c>
      <c r="P1043" s="18" t="s">
        <v>2502</v>
      </c>
      <c r="Q1043" s="29" t="str" cm="1">
        <f t="array" ref="Q1043">_xlfn.IFS(
A1043="","",
AND(A1043&lt;&gt;"",B1043=""),"FALTA LANÇAMENTO",
AND(B1043&lt;&gt;"",M1043=""),"FALTA O PEDIDO",
AND(M1043&lt;&gt;"",O1043=""),"FALTA NF",
O1043&lt;&gt;"","CONCLUÍDO")</f>
        <v>CONCLUÍDO</v>
      </c>
      <c r="R1043" s="36"/>
    </row>
    <row r="1044" spans="1:18" hidden="1">
      <c r="A1044" s="16">
        <v>46101</v>
      </c>
      <c r="B1044" s="16">
        <v>46101</v>
      </c>
      <c r="C1044" s="21">
        <v>45190002</v>
      </c>
      <c r="D1044" s="16" t="str">
        <f>IFERROR(VLOOKUP(Tabela5[[#This Row],[PREFIXO ]],Tabela4[#All],2,0),"CENTRO DE CUSTO")</f>
        <v>SUBSOLADOR HORSCH EVO TL 9.45</v>
      </c>
      <c r="E1044" s="18" t="s">
        <v>255</v>
      </c>
      <c r="F1044" s="21">
        <v>866</v>
      </c>
      <c r="G1044" s="22">
        <v>565</v>
      </c>
      <c r="H1044" s="22"/>
      <c r="I1044" s="22">
        <f t="shared" si="17"/>
        <v>565</v>
      </c>
      <c r="J1044" s="18" t="s">
        <v>1199</v>
      </c>
      <c r="K1044" s="18">
        <v>9804001</v>
      </c>
      <c r="L1044" s="18">
        <v>891575</v>
      </c>
      <c r="M1044" s="18" t="s">
        <v>2753</v>
      </c>
      <c r="N1044" s="16" t="s">
        <v>2502</v>
      </c>
      <c r="O1044" s="18" t="s">
        <v>1536</v>
      </c>
      <c r="P1044" s="18" t="s">
        <v>2502</v>
      </c>
      <c r="Q1044" s="29" t="str" cm="1">
        <f t="array" ref="Q1044">_xlfn.IFS(
A1044="","",
AND(A1044&lt;&gt;"",B1044=""),"FALTA LANÇAMENTO",
AND(B1044&lt;&gt;"",M1044=""),"FALTA O PEDIDO",
AND(M1044&lt;&gt;"",O1044=""),"FALTA NF",
O1044&lt;&gt;"","CONCLUÍDO")</f>
        <v>CONCLUÍDO</v>
      </c>
      <c r="R1044" s="36"/>
    </row>
    <row r="1045" spans="1:18" hidden="1">
      <c r="A1045" s="16">
        <v>46101</v>
      </c>
      <c r="B1045" s="16">
        <v>46101</v>
      </c>
      <c r="C1045" s="21">
        <v>51521065</v>
      </c>
      <c r="D1045" s="16" t="str">
        <f>IFERROR(VLOOKUP(Tabela5[[#This Row],[PREFIXO ]],Tabela4[#All],2,0),"CENTRO DE CUSTO")</f>
        <v>COLHED ALGODÃO JOHN DEERE CP 690</v>
      </c>
      <c r="E1045" s="18" t="s">
        <v>255</v>
      </c>
      <c r="F1045" s="21">
        <v>868</v>
      </c>
      <c r="G1045" s="22">
        <v>515</v>
      </c>
      <c r="H1045" s="22"/>
      <c r="I1045" s="22">
        <f t="shared" si="17"/>
        <v>515</v>
      </c>
      <c r="J1045" s="18" t="s">
        <v>1113</v>
      </c>
      <c r="K1045" s="18">
        <v>9804000</v>
      </c>
      <c r="L1045" s="18">
        <v>891575</v>
      </c>
      <c r="M1045" s="18" t="s">
        <v>2753</v>
      </c>
      <c r="N1045" s="16" t="s">
        <v>2502</v>
      </c>
      <c r="O1045" s="18" t="s">
        <v>1536</v>
      </c>
      <c r="P1045" s="18" t="s">
        <v>2502</v>
      </c>
      <c r="Q1045" s="29" t="str" cm="1">
        <f t="array" ref="Q1045">_xlfn.IFS(
A1045="","",
AND(A1045&lt;&gt;"",B1045=""),"FALTA LANÇAMENTO",
AND(B1045&lt;&gt;"",M1045=""),"FALTA O PEDIDO",
AND(M1045&lt;&gt;"",O1045=""),"FALTA NF",
O1045&lt;&gt;"","CONCLUÍDO")</f>
        <v>CONCLUÍDO</v>
      </c>
      <c r="R1045" s="36"/>
    </row>
    <row r="1046" spans="1:18" hidden="1">
      <c r="A1046" s="16">
        <v>46101</v>
      </c>
      <c r="B1046" s="16">
        <v>46101</v>
      </c>
      <c r="C1046" s="21">
        <v>45190002</v>
      </c>
      <c r="D1046" s="16" t="str">
        <f>IFERROR(VLOOKUP(Tabela5[[#This Row],[PREFIXO ]],Tabela4[#All],2,0),"CENTRO DE CUSTO")</f>
        <v>SUBSOLADOR HORSCH EVO TL 9.45</v>
      </c>
      <c r="E1046" s="18" t="s">
        <v>312</v>
      </c>
      <c r="F1046" s="21" t="s">
        <v>2624</v>
      </c>
      <c r="G1046" s="22">
        <v>887.6</v>
      </c>
      <c r="H1046" s="22"/>
      <c r="I1046" s="22">
        <f t="shared" si="17"/>
        <v>887.6</v>
      </c>
      <c r="J1046" s="18" t="s">
        <v>1199</v>
      </c>
      <c r="K1046" s="18">
        <v>9804520</v>
      </c>
      <c r="L1046" s="18">
        <v>891906</v>
      </c>
      <c r="M1046" s="18" t="s">
        <v>2756</v>
      </c>
      <c r="N1046" s="16" t="s">
        <v>2749</v>
      </c>
      <c r="O1046" s="18" t="s">
        <v>1538</v>
      </c>
      <c r="P1046" s="18" t="s">
        <v>2305</v>
      </c>
      <c r="Q1046" s="29" t="str" cm="1">
        <f t="array" ref="Q1046">_xlfn.IFS(
A1046="","",
AND(A1046&lt;&gt;"",B1046=""),"FALTA LANÇAMENTO",
AND(B1046&lt;&gt;"",M1046=""),"FALTA O PEDIDO",
AND(M1046&lt;&gt;"",O1046=""),"FALTA NF",
O1046&lt;&gt;"","CONCLUÍDO")</f>
        <v>CONCLUÍDO</v>
      </c>
      <c r="R1046" s="36"/>
    </row>
    <row r="1047" spans="1:18" hidden="1">
      <c r="A1047" s="16">
        <v>46101</v>
      </c>
      <c r="B1047" s="16">
        <v>46101</v>
      </c>
      <c r="C1047" s="21">
        <v>11521002</v>
      </c>
      <c r="D1047" s="16" t="str">
        <f>IFERROR(VLOOKUP(Tabela5[[#This Row],[PREFIXO ]],Tabela4[#All],2,0),"CENTRO DE CUSTO")</f>
        <v>TRAT PN EXT PES CASE STEIGER 620</v>
      </c>
      <c r="E1047" s="18" t="s">
        <v>312</v>
      </c>
      <c r="F1047" s="21" t="s">
        <v>1752</v>
      </c>
      <c r="G1047" s="22">
        <v>871</v>
      </c>
      <c r="H1047" s="22"/>
      <c r="I1047" s="22">
        <f t="shared" si="17"/>
        <v>871</v>
      </c>
      <c r="J1047" s="18" t="s">
        <v>1199</v>
      </c>
      <c r="K1047" s="18">
        <v>9804279</v>
      </c>
      <c r="L1047" s="18">
        <v>891703</v>
      </c>
      <c r="M1047" s="18" t="s">
        <v>2757</v>
      </c>
      <c r="N1047" s="16" t="s">
        <v>2749</v>
      </c>
      <c r="O1047" s="18" t="s">
        <v>1536</v>
      </c>
      <c r="P1047" s="18" t="s">
        <v>2305</v>
      </c>
      <c r="Q1047" s="29" t="str" cm="1">
        <f t="array" ref="Q1047">_xlfn.IFS(
A1047="","",
AND(A1047&lt;&gt;"",B1047=""),"FALTA LANÇAMENTO",
AND(B1047&lt;&gt;"",M1047=""),"FALTA O PEDIDO",
AND(M1047&lt;&gt;"",O1047=""),"FALTA NF",
O1047&lt;&gt;"","CONCLUÍDO")</f>
        <v>CONCLUÍDO</v>
      </c>
      <c r="R1047" s="36"/>
    </row>
    <row r="1048" spans="1:18" hidden="1">
      <c r="A1048" s="16">
        <v>46104</v>
      </c>
      <c r="B1048" s="16">
        <v>46119</v>
      </c>
      <c r="C1048" s="21" t="s">
        <v>1134</v>
      </c>
      <c r="D1048" s="16" t="str">
        <f>IFERROR(VLOOKUP(Tabela5[[#This Row],[PREFIXO ]],Tabela4[#All],2,0),"CENTRO DE CUSTO")</f>
        <v>CENTRO DE CUSTO</v>
      </c>
      <c r="E1048" s="18" t="s">
        <v>40</v>
      </c>
      <c r="F1048" s="21">
        <v>140383</v>
      </c>
      <c r="G1048" s="22">
        <v>316</v>
      </c>
      <c r="H1048" s="22">
        <v>1569.17</v>
      </c>
      <c r="I1048" s="22">
        <f t="shared" si="17"/>
        <v>1885.17</v>
      </c>
      <c r="J1048" s="18" t="s">
        <v>1199</v>
      </c>
      <c r="K1048" s="18">
        <v>9814752</v>
      </c>
      <c r="L1048" s="18">
        <v>903371</v>
      </c>
      <c r="M1048" s="18" t="s">
        <v>2758</v>
      </c>
      <c r="N1048" s="16" t="s">
        <v>2540</v>
      </c>
      <c r="O1048" s="18" t="s">
        <v>2759</v>
      </c>
      <c r="P1048" s="18" t="s">
        <v>2587</v>
      </c>
      <c r="Q1048" s="29" t="str" cm="1">
        <f t="array" ref="Q1048">_xlfn.IFS(
A1048="","",
AND(A1048&lt;&gt;"",B1048=""),"FALTA LANÇAMENTO",
AND(B1048&lt;&gt;"",M1048=""),"FALTA O PEDIDO",
AND(M1048&lt;&gt;"",O1048=""),"FALTA NF",
O1048&lt;&gt;"","CONCLUÍDO")</f>
        <v>CONCLUÍDO</v>
      </c>
      <c r="R1048" s="36"/>
    </row>
    <row r="1049" spans="1:18" hidden="1">
      <c r="A1049" s="16">
        <v>46104</v>
      </c>
      <c r="B1049" s="16">
        <v>46119</v>
      </c>
      <c r="C1049" s="21" t="s">
        <v>1134</v>
      </c>
      <c r="D1049" s="16" t="str">
        <f>IFERROR(VLOOKUP(Tabela5[[#This Row],[PREFIXO ]],Tabela4[#All],2,0),"CENTRO DE CUSTO")</f>
        <v>CENTRO DE CUSTO</v>
      </c>
      <c r="E1049" s="18" t="s">
        <v>40</v>
      </c>
      <c r="F1049" s="21">
        <v>140382</v>
      </c>
      <c r="G1049" s="22">
        <v>286</v>
      </c>
      <c r="H1049" s="22">
        <v>1220.5</v>
      </c>
      <c r="I1049" s="22">
        <f t="shared" si="17"/>
        <v>1506.5</v>
      </c>
      <c r="J1049" s="18" t="s">
        <v>1199</v>
      </c>
      <c r="K1049" s="18">
        <v>9814754</v>
      </c>
      <c r="L1049" s="18">
        <v>903340</v>
      </c>
      <c r="M1049" s="18" t="s">
        <v>2760</v>
      </c>
      <c r="N1049" s="16" t="s">
        <v>2540</v>
      </c>
      <c r="O1049" s="18" t="s">
        <v>2761</v>
      </c>
      <c r="P1049" s="18" t="s">
        <v>2587</v>
      </c>
      <c r="Q1049" s="29" t="str" cm="1">
        <f t="array" ref="Q1049">_xlfn.IFS(
A1049="","",
AND(A1049&lt;&gt;"",B1049=""),"FALTA LANÇAMENTO",
AND(B1049&lt;&gt;"",M1049=""),"FALTA O PEDIDO",
AND(M1049&lt;&gt;"",O1049=""),"FALTA NF",
O1049&lt;&gt;"","CONCLUÍDO")</f>
        <v>CONCLUÍDO</v>
      </c>
      <c r="R1049" s="36"/>
    </row>
    <row r="1050" spans="1:18" hidden="1">
      <c r="A1050" s="16">
        <v>46104</v>
      </c>
      <c r="B1050" s="16">
        <v>46119</v>
      </c>
      <c r="C1050" s="21" t="s">
        <v>1134</v>
      </c>
      <c r="D1050" s="16" t="str">
        <f>IFERROR(VLOOKUP(Tabela5[[#This Row],[PREFIXO ]],Tabela4[#All],2,0),"CENTRO DE CUSTO")</f>
        <v>CENTRO DE CUSTO</v>
      </c>
      <c r="E1050" s="18" t="s">
        <v>284</v>
      </c>
      <c r="F1050" s="21">
        <v>4306</v>
      </c>
      <c r="G1050" s="22">
        <v>456</v>
      </c>
      <c r="H1050" s="22">
        <v>1547</v>
      </c>
      <c r="I1050" s="22">
        <f t="shared" si="17"/>
        <v>2003</v>
      </c>
      <c r="J1050" s="18" t="s">
        <v>1199</v>
      </c>
      <c r="K1050" s="18">
        <v>9814085</v>
      </c>
      <c r="L1050" s="18">
        <v>903163</v>
      </c>
      <c r="M1050" s="18" t="s">
        <v>2762</v>
      </c>
      <c r="N1050" s="16" t="s">
        <v>2540</v>
      </c>
      <c r="O1050" s="18" t="s">
        <v>2763</v>
      </c>
      <c r="P1050" s="18" t="s">
        <v>2764</v>
      </c>
      <c r="Q1050" s="29" t="str" cm="1">
        <f t="array" ref="Q1050">_xlfn.IFS(
A1050="","",
AND(A1050&lt;&gt;"",B1050=""),"FALTA LANÇAMENTO",
AND(B1050&lt;&gt;"",M1050=""),"FALTA O PEDIDO",
AND(M1050&lt;&gt;"",O1050=""),"FALTA NF",
O1050&lt;&gt;"","CONCLUÍDO")</f>
        <v>CONCLUÍDO</v>
      </c>
      <c r="R1050" s="36"/>
    </row>
    <row r="1051" spans="1:18" hidden="1">
      <c r="A1051" s="16">
        <v>46104</v>
      </c>
      <c r="B1051" s="16">
        <v>46119</v>
      </c>
      <c r="C1051" s="21" t="s">
        <v>1134</v>
      </c>
      <c r="D1051" s="16" t="str">
        <f>IFERROR(VLOOKUP(Tabela5[[#This Row],[PREFIXO ]],Tabela4[#All],2,0),"CENTRO DE CUSTO")</f>
        <v>CENTRO DE CUSTO</v>
      </c>
      <c r="E1051" s="18" t="s">
        <v>284</v>
      </c>
      <c r="F1051" s="21">
        <v>4309</v>
      </c>
      <c r="G1051" s="22">
        <v>341.6</v>
      </c>
      <c r="H1051" s="22">
        <v>1381</v>
      </c>
      <c r="I1051" s="22">
        <f t="shared" si="17"/>
        <v>1722.6</v>
      </c>
      <c r="J1051" s="18" t="s">
        <v>1199</v>
      </c>
      <c r="K1051" s="18">
        <v>9814745</v>
      </c>
      <c r="L1051" s="18">
        <v>903518</v>
      </c>
      <c r="M1051" s="18" t="s">
        <v>2765</v>
      </c>
      <c r="N1051" s="16" t="s">
        <v>2540</v>
      </c>
      <c r="O1051" s="18" t="s">
        <v>2766</v>
      </c>
      <c r="P1051" s="18" t="s">
        <v>2767</v>
      </c>
      <c r="Q1051" s="29" t="str" cm="1">
        <f t="array" ref="Q1051">_xlfn.IFS(
A1051="","",
AND(A1051&lt;&gt;"",B1051=""),"FALTA LANÇAMENTO",
AND(B1051&lt;&gt;"",M1051=""),"FALTA O PEDIDO",
AND(M1051&lt;&gt;"",O1051=""),"FALTA NF",
O1051&lt;&gt;"","CONCLUÍDO")</f>
        <v>CONCLUÍDO</v>
      </c>
      <c r="R1051" s="36"/>
    </row>
    <row r="1052" spans="1:18" hidden="1">
      <c r="A1052" s="16">
        <v>46104</v>
      </c>
      <c r="B1052" s="16">
        <v>46114</v>
      </c>
      <c r="C1052" s="21">
        <v>13130034</v>
      </c>
      <c r="D1052" s="16" t="str">
        <f>IFERROR(VLOOKUP(Tabela5[[#This Row],[PREFIXO ]],Tabela4[#All],2,0),"CENTRO DE CUSTO")</f>
        <v>PULV AUTOPROP JOHN DEERE M4030</v>
      </c>
      <c r="E1052" s="18" t="s">
        <v>49</v>
      </c>
      <c r="F1052" s="21" t="s">
        <v>2768</v>
      </c>
      <c r="G1052" s="22">
        <v>1216.08</v>
      </c>
      <c r="H1052" s="22"/>
      <c r="I1052" s="22">
        <f t="shared" si="17"/>
        <v>1216.08</v>
      </c>
      <c r="J1052" s="18" t="s">
        <v>1265</v>
      </c>
      <c r="K1052" s="18">
        <v>9814126</v>
      </c>
      <c r="L1052" s="18">
        <v>900555</v>
      </c>
      <c r="M1052" s="18" t="s">
        <v>2685</v>
      </c>
      <c r="N1052" s="16" t="s">
        <v>2538</v>
      </c>
      <c r="O1052" s="18" t="s">
        <v>2686</v>
      </c>
      <c r="P1052" s="18" t="s">
        <v>2305</v>
      </c>
      <c r="Q1052" s="29" t="str" cm="1">
        <f t="array" ref="Q1052">_xlfn.IFS(
A1052="","",
AND(A1052&lt;&gt;"",B1052=""),"FALTA LANÇAMENTO",
AND(B1052&lt;&gt;"",M1052=""),"FALTA O PEDIDO",
AND(M1052&lt;&gt;"",O1052=""),"FALTA NF",
O1052&lt;&gt;"","CONCLUÍDO")</f>
        <v>CONCLUÍDO</v>
      </c>
      <c r="R1052" s="36"/>
    </row>
    <row r="1053" spans="1:18" hidden="1">
      <c r="A1053" s="16">
        <v>46104</v>
      </c>
      <c r="B1053" s="16">
        <v>46114</v>
      </c>
      <c r="C1053" s="21">
        <v>13130034</v>
      </c>
      <c r="D1053" s="16" t="str">
        <f>IFERROR(VLOOKUP(Tabela5[[#This Row],[PREFIXO ]],Tabela4[#All],2,0),"CENTRO DE CUSTO")</f>
        <v>PULV AUTOPROP JOHN DEERE M4030</v>
      </c>
      <c r="E1053" s="18" t="s">
        <v>49</v>
      </c>
      <c r="F1053" s="21" t="s">
        <v>1381</v>
      </c>
      <c r="G1053" s="22">
        <v>353.4</v>
      </c>
      <c r="H1053" s="22"/>
      <c r="I1053" s="22">
        <f t="shared" si="17"/>
        <v>353.4</v>
      </c>
      <c r="J1053" s="18" t="s">
        <v>1265</v>
      </c>
      <c r="K1053" s="18">
        <v>9814125</v>
      </c>
      <c r="L1053" s="18">
        <v>900555</v>
      </c>
      <c r="M1053" s="18" t="s">
        <v>2685</v>
      </c>
      <c r="N1053" s="16" t="s">
        <v>2538</v>
      </c>
      <c r="O1053" s="18" t="s">
        <v>2686</v>
      </c>
      <c r="P1053" s="18" t="s">
        <v>2305</v>
      </c>
      <c r="Q1053" s="29" t="str" cm="1">
        <f t="array" ref="Q1053">_xlfn.IFS(
A1053="","",
AND(A1053&lt;&gt;"",B1053=""),"FALTA LANÇAMENTO",
AND(B1053&lt;&gt;"",M1053=""),"FALTA O PEDIDO",
AND(M1053&lt;&gt;"",O1053=""),"FALTA NF",
O1053&lt;&gt;"","CONCLUÍDO")</f>
        <v>CONCLUÍDO</v>
      </c>
      <c r="R1053" s="36"/>
    </row>
    <row r="1054" spans="1:18" hidden="1">
      <c r="A1054" s="16">
        <v>46104</v>
      </c>
      <c r="B1054" s="16">
        <v>46114</v>
      </c>
      <c r="C1054" s="21">
        <v>13130037</v>
      </c>
      <c r="D1054" s="16" t="str">
        <f>IFERROR(VLOOKUP(Tabela5[[#This Row],[PREFIXO ]],Tabela4[#All],2,0),"CENTRO DE CUSTO")</f>
        <v>PULV AUTOPROP JOHN DEERE M4030</v>
      </c>
      <c r="E1054" s="18" t="s">
        <v>49</v>
      </c>
      <c r="F1054" s="21" t="s">
        <v>2769</v>
      </c>
      <c r="G1054" s="22">
        <v>344.6</v>
      </c>
      <c r="H1054" s="22"/>
      <c r="I1054" s="22">
        <f t="shared" si="17"/>
        <v>344.6</v>
      </c>
      <c r="J1054" s="18" t="s">
        <v>1265</v>
      </c>
      <c r="K1054" s="18">
        <v>9814127</v>
      </c>
      <c r="L1054" s="18">
        <v>900555</v>
      </c>
      <c r="M1054" s="18" t="s">
        <v>2685</v>
      </c>
      <c r="N1054" s="16" t="s">
        <v>2538</v>
      </c>
      <c r="O1054" s="18" t="s">
        <v>2686</v>
      </c>
      <c r="P1054" s="18" t="s">
        <v>2305</v>
      </c>
      <c r="Q1054" s="29" t="str" cm="1">
        <f t="array" ref="Q1054">_xlfn.IFS(
A1054="","",
AND(A1054&lt;&gt;"",B1054=""),"FALTA LANÇAMENTO",
AND(B1054&lt;&gt;"",M1054=""),"FALTA O PEDIDO",
AND(M1054&lt;&gt;"",O1054=""),"FALTA NF",
O1054&lt;&gt;"","CONCLUÍDO")</f>
        <v>CONCLUÍDO</v>
      </c>
      <c r="R1054" s="36"/>
    </row>
    <row r="1055" spans="1:18" hidden="1">
      <c r="A1055" s="16">
        <v>46104</v>
      </c>
      <c r="B1055" s="16">
        <v>46119</v>
      </c>
      <c r="C1055" s="21">
        <v>31521043</v>
      </c>
      <c r="D1055" s="16" t="str">
        <f>IFERROR(VLOOKUP(Tabela5[[#This Row],[PREFIXO ]],Tabela4[#All],2,0),"CENTRO DE CUSTO")</f>
        <v>ADUB AUTOPROP JACTO UNIPORT 5030NPK</v>
      </c>
      <c r="E1055" s="18" t="s">
        <v>66</v>
      </c>
      <c r="F1055" s="21">
        <v>9214</v>
      </c>
      <c r="G1055" s="22">
        <v>325</v>
      </c>
      <c r="H1055" s="22">
        <v>7093.08</v>
      </c>
      <c r="I1055" s="22">
        <f t="shared" si="17"/>
        <v>7418.08</v>
      </c>
      <c r="J1055" s="18" t="s">
        <v>1265</v>
      </c>
      <c r="K1055" s="18">
        <v>9814725</v>
      </c>
      <c r="L1055" s="18">
        <v>903454</v>
      </c>
      <c r="M1055" s="18" t="s">
        <v>2770</v>
      </c>
      <c r="N1055" s="16" t="s">
        <v>2595</v>
      </c>
      <c r="O1055" s="18" t="s">
        <v>2771</v>
      </c>
      <c r="P1055" s="18" t="s">
        <v>2772</v>
      </c>
      <c r="Q1055" s="29" t="str" cm="1">
        <f t="array" ref="Q1055">_xlfn.IFS(
A1055="","",
AND(A1055&lt;&gt;"",B1055=""),"FALTA LANÇAMENTO",
AND(B1055&lt;&gt;"",M1055=""),"FALTA O PEDIDO",
AND(M1055&lt;&gt;"",O1055=""),"FALTA NF",
O1055&lt;&gt;"","CONCLUÍDO")</f>
        <v>CONCLUÍDO</v>
      </c>
      <c r="R1055" s="36"/>
    </row>
    <row r="1056" spans="1:18" hidden="1">
      <c r="A1056" s="16">
        <v>46104</v>
      </c>
      <c r="B1056" s="16">
        <v>46114</v>
      </c>
      <c r="C1056" s="21" t="s">
        <v>2773</v>
      </c>
      <c r="D1056" s="16" t="str">
        <f>IFERROR(VLOOKUP(Tabela5[[#This Row],[PREFIXO ]],Tabela4[#All],2,0),"CENTRO DE CUSTO")</f>
        <v>CENTRO DE CUSTO</v>
      </c>
      <c r="E1056" s="18" t="s">
        <v>66</v>
      </c>
      <c r="F1056" s="21">
        <v>9351</v>
      </c>
      <c r="G1056" s="22">
        <v>758.4</v>
      </c>
      <c r="H1056" s="22">
        <v>4000</v>
      </c>
      <c r="I1056" s="22">
        <f t="shared" si="17"/>
        <v>4758.3999999999996</v>
      </c>
      <c r="J1056" s="18" t="s">
        <v>1265</v>
      </c>
      <c r="K1056" s="18" t="s">
        <v>2774</v>
      </c>
      <c r="L1056" s="18">
        <v>901030</v>
      </c>
      <c r="M1056" s="18" t="s">
        <v>2775</v>
      </c>
      <c r="N1056" s="16" t="s">
        <v>2305</v>
      </c>
      <c r="O1056" s="18" t="s">
        <v>2776</v>
      </c>
      <c r="P1056" s="18" t="s">
        <v>2777</v>
      </c>
      <c r="Q1056" s="29" t="str" cm="1">
        <f t="array" ref="Q1056">_xlfn.IFS(
A1056="","",
AND(A1056&lt;&gt;"",B1056=""),"FALTA LANÇAMENTO",
AND(B1056&lt;&gt;"",M1056=""),"FALTA O PEDIDO",
AND(M1056&lt;&gt;"",O1056=""),"FALTA NF",
O1056&lt;&gt;"","CONCLUÍDO")</f>
        <v>CONCLUÍDO</v>
      </c>
      <c r="R1056" s="36"/>
    </row>
    <row r="1057" spans="1:18" hidden="1">
      <c r="A1057" s="16">
        <v>46104</v>
      </c>
      <c r="B1057" s="16">
        <v>46119</v>
      </c>
      <c r="C1057" s="21" t="s">
        <v>2778</v>
      </c>
      <c r="D1057" s="16" t="str">
        <f>IFERROR(VLOOKUP(Tabela5[[#This Row],[PREFIXO ]],Tabela4[#All],2,0),"CENTRO DE CUSTO")</f>
        <v>CENTRO DE CUSTO</v>
      </c>
      <c r="E1057" s="18" t="s">
        <v>66</v>
      </c>
      <c r="F1057" s="21">
        <v>9350</v>
      </c>
      <c r="G1057" s="22">
        <v>758.4</v>
      </c>
      <c r="H1057" s="22">
        <v>4000</v>
      </c>
      <c r="I1057" s="22">
        <f t="shared" si="17"/>
        <v>4758.3999999999996</v>
      </c>
      <c r="J1057" s="18" t="s">
        <v>1265</v>
      </c>
      <c r="K1057" s="18" t="s">
        <v>2779</v>
      </c>
      <c r="L1057" s="18">
        <v>902686</v>
      </c>
      <c r="M1057" s="18" t="s">
        <v>2780</v>
      </c>
      <c r="N1057" s="16" t="s">
        <v>2540</v>
      </c>
      <c r="O1057" s="18" t="s">
        <v>2781</v>
      </c>
      <c r="P1057" s="18" t="s">
        <v>2782</v>
      </c>
      <c r="Q1057" s="29" t="str" cm="1">
        <f t="array" ref="Q1057">_xlfn.IFS(
A1057="","",
AND(A1057&lt;&gt;"",B1057=""),"FALTA LANÇAMENTO",
AND(B1057&lt;&gt;"",M1057=""),"FALTA O PEDIDO",
AND(M1057&lt;&gt;"",O1057=""),"FALTA NF",
O1057&lt;&gt;"","CONCLUÍDO")</f>
        <v>CONCLUÍDO</v>
      </c>
      <c r="R1057" s="36"/>
    </row>
    <row r="1058" spans="1:18" hidden="1">
      <c r="A1058" s="16">
        <v>46104</v>
      </c>
      <c r="B1058" s="16">
        <v>46119</v>
      </c>
      <c r="C1058" s="21">
        <v>13150007</v>
      </c>
      <c r="D1058" s="16" t="str">
        <f>IFERROR(VLOOKUP(Tabela5[[#This Row],[PREFIXO ]],Tabela4[#All],2,0),"CENTRO DE CUSTO")</f>
        <v>CENTRO DE CUSTO</v>
      </c>
      <c r="E1058" s="18" t="s">
        <v>66</v>
      </c>
      <c r="F1058" s="21">
        <v>9319</v>
      </c>
      <c r="G1058" s="22">
        <v>325</v>
      </c>
      <c r="H1058" s="22">
        <v>2267.36</v>
      </c>
      <c r="I1058" s="22">
        <f t="shared" si="17"/>
        <v>2592.36</v>
      </c>
      <c r="J1058" s="18" t="s">
        <v>1265</v>
      </c>
      <c r="K1058" s="18">
        <v>9814034</v>
      </c>
      <c r="L1058" s="18">
        <v>903180</v>
      </c>
      <c r="M1058" s="18" t="s">
        <v>2783</v>
      </c>
      <c r="N1058" s="16" t="s">
        <v>2595</v>
      </c>
      <c r="O1058" s="18" t="s">
        <v>2784</v>
      </c>
      <c r="P1058" s="18" t="s">
        <v>2785</v>
      </c>
      <c r="Q1058" s="29" t="str" cm="1">
        <f t="array" ref="Q1058">_xlfn.IFS(
A1058="","",
AND(A1058&lt;&gt;"",B1058=""),"FALTA LANÇAMENTO",
AND(B1058&lt;&gt;"",M1058=""),"FALTA O PEDIDO",
AND(M1058&lt;&gt;"",O1058=""),"FALTA NF",
O1058&lt;&gt;"","CONCLUÍDO")</f>
        <v>CONCLUÍDO</v>
      </c>
      <c r="R1058" s="36"/>
    </row>
    <row r="1059" spans="1:18" hidden="1">
      <c r="A1059" s="16">
        <v>46104</v>
      </c>
      <c r="B1059" s="16">
        <v>46114</v>
      </c>
      <c r="C1059" s="21">
        <v>31521025</v>
      </c>
      <c r="D1059" s="16" t="str">
        <f>IFERROR(VLOOKUP(Tabela5[[#This Row],[PREFIXO ]],Tabela4[#All],2,0),"CENTRO DE CUSTO")</f>
        <v>PULV AUTOPROP JACTO UNIPORT 3030</v>
      </c>
      <c r="E1059" s="18" t="s">
        <v>67</v>
      </c>
      <c r="F1059" s="21">
        <v>131</v>
      </c>
      <c r="G1059" s="22">
        <v>27000</v>
      </c>
      <c r="H1059" s="22"/>
      <c r="I1059" s="22">
        <f t="shared" si="17"/>
        <v>27000</v>
      </c>
      <c r="J1059" s="18" t="s">
        <v>1265</v>
      </c>
      <c r="K1059" s="18">
        <v>9814010</v>
      </c>
      <c r="L1059" s="18">
        <v>900438</v>
      </c>
      <c r="M1059" s="18" t="s">
        <v>2786</v>
      </c>
      <c r="N1059" s="16" t="s">
        <v>2538</v>
      </c>
      <c r="O1059" s="18" t="s">
        <v>2539</v>
      </c>
      <c r="P1059" s="18" t="s">
        <v>2305</v>
      </c>
      <c r="Q1059" s="29" t="str" cm="1">
        <f t="array" ref="Q1059">_xlfn.IFS(
A1059="","",
AND(A1059&lt;&gt;"",B1059=""),"FALTA LANÇAMENTO",
AND(B1059&lt;&gt;"",M1059=""),"FALTA O PEDIDO",
AND(M1059&lt;&gt;"",O1059=""),"FALTA NF",
O1059&lt;&gt;"","CONCLUÍDO")</f>
        <v>CONCLUÍDO</v>
      </c>
      <c r="R1059" s="36"/>
    </row>
    <row r="1060" spans="1:18" hidden="1">
      <c r="A1060" s="16">
        <v>46104</v>
      </c>
      <c r="B1060" s="16">
        <v>46119</v>
      </c>
      <c r="C1060" s="21">
        <v>31521025</v>
      </c>
      <c r="D1060" s="16" t="str">
        <f>IFERROR(VLOOKUP(Tabela5[[#This Row],[PREFIXO ]],Tabela4[#All],2,0),"CENTRO DE CUSTO")</f>
        <v>PULV AUTOPROP JACTO UNIPORT 3030</v>
      </c>
      <c r="E1060" s="18" t="s">
        <v>67</v>
      </c>
      <c r="F1060" s="21">
        <v>130</v>
      </c>
      <c r="G1060" s="22">
        <v>21800</v>
      </c>
      <c r="H1060" s="22"/>
      <c r="I1060" s="22">
        <f t="shared" si="17"/>
        <v>21800</v>
      </c>
      <c r="J1060" s="18" t="s">
        <v>1265</v>
      </c>
      <c r="K1060" s="18">
        <v>9814009</v>
      </c>
      <c r="L1060" s="18">
        <v>900723</v>
      </c>
      <c r="M1060" s="18" t="s">
        <v>2787</v>
      </c>
      <c r="N1060" s="16" t="s">
        <v>2540</v>
      </c>
      <c r="O1060" s="18" t="s">
        <v>2682</v>
      </c>
      <c r="P1060" s="18" t="s">
        <v>2595</v>
      </c>
      <c r="Q1060" s="29" t="str" cm="1">
        <f t="array" ref="Q1060">_xlfn.IFS(
A1060="","",
AND(A1060&lt;&gt;"",B1060=""),"FALTA LANÇAMENTO",
AND(B1060&lt;&gt;"",M1060=""),"FALTA O PEDIDO",
AND(M1060&lt;&gt;"",O1060=""),"FALTA NF",
O1060&lt;&gt;"","CONCLUÍDO")</f>
        <v>CONCLUÍDO</v>
      </c>
      <c r="R1060" s="36"/>
    </row>
    <row r="1061" spans="1:18" hidden="1">
      <c r="A1061" s="16">
        <v>46104</v>
      </c>
      <c r="B1061" s="16">
        <v>46120</v>
      </c>
      <c r="C1061" s="21">
        <v>51519058</v>
      </c>
      <c r="D1061" s="16" t="str">
        <f>IFERROR(VLOOKUP(Tabela5[[#This Row],[PREFIXO ]],Tabela4[#All],2,0),"CENTRO DE CUSTO")</f>
        <v>CENTRO DE CUSTO</v>
      </c>
      <c r="E1061" s="18" t="s">
        <v>67</v>
      </c>
      <c r="F1061" s="21">
        <v>122</v>
      </c>
      <c r="G1061" s="22">
        <v>1800</v>
      </c>
      <c r="H1061" s="22">
        <v>6300</v>
      </c>
      <c r="I1061" s="22">
        <f t="shared" si="17"/>
        <v>8100</v>
      </c>
      <c r="J1061" s="18" t="s">
        <v>1265</v>
      </c>
      <c r="K1061" s="18">
        <v>9814669</v>
      </c>
      <c r="L1061" s="18">
        <v>903887</v>
      </c>
      <c r="M1061" s="18" t="s">
        <v>2788</v>
      </c>
      <c r="N1061" s="16" t="s">
        <v>2507</v>
      </c>
      <c r="O1061" s="18" t="s">
        <v>2789</v>
      </c>
      <c r="P1061" s="18" t="s">
        <v>2645</v>
      </c>
      <c r="Q1061" s="29" t="str" cm="1">
        <f t="array" ref="Q1061">_xlfn.IFS(
A1061="","",
AND(A1061&lt;&gt;"",B1061=""),"FALTA LANÇAMENTO",
AND(B1061&lt;&gt;"",M1061=""),"FALTA O PEDIDO",
AND(M1061&lt;&gt;"",O1061=""),"FALTA NF",
O1061&lt;&gt;"","CONCLUÍDO")</f>
        <v>CONCLUÍDO</v>
      </c>
      <c r="R1061" s="36"/>
    </row>
    <row r="1062" spans="1:18" hidden="1">
      <c r="A1062" s="16">
        <v>46104</v>
      </c>
      <c r="B1062" s="16">
        <v>46119</v>
      </c>
      <c r="C1062" s="21" t="s">
        <v>2790</v>
      </c>
      <c r="D1062" s="16" t="str">
        <f>IFERROR(VLOOKUP(Tabela5[[#This Row],[PREFIXO ]],Tabela4[#All],2,0),"CENTRO DE CUSTO")</f>
        <v>CENTRO DE CUSTO</v>
      </c>
      <c r="E1062" s="18" t="s">
        <v>67</v>
      </c>
      <c r="F1062" s="21">
        <v>132</v>
      </c>
      <c r="G1062" s="22">
        <v>4400</v>
      </c>
      <c r="H1062" s="22"/>
      <c r="I1062" s="22">
        <f t="shared" si="17"/>
        <v>4400</v>
      </c>
      <c r="J1062" s="18" t="s">
        <v>1265</v>
      </c>
      <c r="K1062" s="18" t="s">
        <v>2791</v>
      </c>
      <c r="L1062" s="18">
        <v>900723</v>
      </c>
      <c r="M1062" s="18" t="s">
        <v>2787</v>
      </c>
      <c r="N1062" s="16" t="s">
        <v>2540</v>
      </c>
      <c r="O1062" s="18" t="s">
        <v>2682</v>
      </c>
      <c r="P1062" s="18" t="s">
        <v>2595</v>
      </c>
      <c r="Q1062" s="29" t="str" cm="1">
        <f t="array" ref="Q1062">_xlfn.IFS(
A1062="","",
AND(A1062&lt;&gt;"",B1062=""),"FALTA LANÇAMENTO",
AND(B1062&lt;&gt;"",M1062=""),"FALTA O PEDIDO",
AND(M1062&lt;&gt;"",O1062=""),"FALTA NF",
O1062&lt;&gt;"","CONCLUÍDO")</f>
        <v>CONCLUÍDO</v>
      </c>
      <c r="R1062" s="36"/>
    </row>
    <row r="1063" spans="1:18" hidden="1">
      <c r="A1063" s="16">
        <v>46104</v>
      </c>
      <c r="B1063" s="16">
        <v>46061</v>
      </c>
      <c r="C1063" s="21">
        <v>51521059</v>
      </c>
      <c r="D1063" s="16" t="str">
        <f>IFERROR(VLOOKUP(Tabela5[[#This Row],[PREFIXO ]],Tabela4[#All],2,0),"CENTRO DE CUSTO")</f>
        <v>COLHED ALGODÃO JOHN DEERE CP 690</v>
      </c>
      <c r="E1063" s="18" t="s">
        <v>67</v>
      </c>
      <c r="F1063" s="21">
        <v>127</v>
      </c>
      <c r="G1063" s="22">
        <v>900</v>
      </c>
      <c r="H1063" s="22">
        <v>3150</v>
      </c>
      <c r="I1063" s="22">
        <f t="shared" si="17"/>
        <v>4050</v>
      </c>
      <c r="J1063" s="18" t="s">
        <v>1265</v>
      </c>
      <c r="K1063" s="18">
        <v>9814662</v>
      </c>
      <c r="L1063" s="18">
        <v>903999</v>
      </c>
      <c r="M1063" s="18" t="s">
        <v>2792</v>
      </c>
      <c r="N1063" s="16" t="s">
        <v>2507</v>
      </c>
      <c r="O1063" s="18" t="s">
        <v>2793</v>
      </c>
      <c r="P1063" s="18" t="s">
        <v>2645</v>
      </c>
      <c r="Q1063" s="29" t="str" cm="1">
        <f t="array" ref="Q1063">_xlfn.IFS(
A1063="","",
AND(A1063&lt;&gt;"",B1063=""),"FALTA LANÇAMENTO",
AND(B1063&lt;&gt;"",M1063=""),"FALTA O PEDIDO",
AND(M1063&lt;&gt;"",O1063=""),"FALTA NF",
O1063&lt;&gt;"","CONCLUÍDO")</f>
        <v>CONCLUÍDO</v>
      </c>
      <c r="R1063" s="36"/>
    </row>
    <row r="1064" spans="1:18" hidden="1">
      <c r="A1064" s="16">
        <v>46104</v>
      </c>
      <c r="B1064" s="16">
        <v>46120</v>
      </c>
      <c r="C1064" s="21">
        <v>51521047</v>
      </c>
      <c r="D1064" s="16" t="str">
        <f>IFERROR(VLOOKUP(Tabela5[[#This Row],[PREFIXO ]],Tabela4[#All],2,0),"CENTRO DE CUSTO")</f>
        <v>COLHED ALGODÃO JOHN DEERE CP 690</v>
      </c>
      <c r="E1064" s="18" t="s">
        <v>67</v>
      </c>
      <c r="F1064" s="21">
        <v>126</v>
      </c>
      <c r="G1064" s="22">
        <v>900</v>
      </c>
      <c r="H1064" s="22">
        <v>3150</v>
      </c>
      <c r="I1064" s="22">
        <f t="shared" si="17"/>
        <v>4050</v>
      </c>
      <c r="J1064" s="18" t="s">
        <v>1265</v>
      </c>
      <c r="K1064" s="18">
        <v>9814665</v>
      </c>
      <c r="L1064" s="18">
        <v>903989</v>
      </c>
      <c r="M1064" s="18" t="s">
        <v>2794</v>
      </c>
      <c r="N1064" s="16" t="s">
        <v>2507</v>
      </c>
      <c r="O1064" s="18" t="s">
        <v>2795</v>
      </c>
      <c r="P1064" s="18" t="s">
        <v>2645</v>
      </c>
      <c r="Q1064" s="29" t="str" cm="1">
        <f t="array" ref="Q1064">_xlfn.IFS(
A1064="","",
AND(A1064&lt;&gt;"",B1064=""),"FALTA LANÇAMENTO",
AND(B1064&lt;&gt;"",M1064=""),"FALTA O PEDIDO",
AND(M1064&lt;&gt;"",O1064=""),"FALTA NF",
O1064&lt;&gt;"","CONCLUÍDO")</f>
        <v>CONCLUÍDO</v>
      </c>
      <c r="R1064" s="36"/>
    </row>
    <row r="1065" spans="1:18" hidden="1">
      <c r="A1065" s="16">
        <v>46104</v>
      </c>
      <c r="B1065" s="16">
        <v>46114</v>
      </c>
      <c r="C1065" s="21">
        <v>31521025</v>
      </c>
      <c r="D1065" s="16" t="str">
        <f>IFERROR(VLOOKUP(Tabela5[[#This Row],[PREFIXO ]],Tabela4[#All],2,0),"CENTRO DE CUSTO")</f>
        <v>PULV AUTOPROP JACTO UNIPORT 3030</v>
      </c>
      <c r="E1065" s="18" t="s">
        <v>67</v>
      </c>
      <c r="F1065" s="21">
        <v>129</v>
      </c>
      <c r="G1065" s="22">
        <v>3600</v>
      </c>
      <c r="H1065" s="22"/>
      <c r="I1065" s="22">
        <f t="shared" si="17"/>
        <v>3600</v>
      </c>
      <c r="J1065" s="18" t="s">
        <v>1265</v>
      </c>
      <c r="K1065" s="18">
        <v>9814007</v>
      </c>
      <c r="L1065" s="18">
        <v>900438</v>
      </c>
      <c r="M1065" s="18" t="s">
        <v>2786</v>
      </c>
      <c r="N1065" s="16" t="s">
        <v>2538</v>
      </c>
      <c r="O1065" s="18" t="s">
        <v>2539</v>
      </c>
      <c r="P1065" s="18" t="s">
        <v>2305</v>
      </c>
      <c r="Q1065" s="29" t="str" cm="1">
        <f t="array" ref="Q1065">_xlfn.IFS(
A1065="","",
AND(A1065&lt;&gt;"",B1065=""),"FALTA LANÇAMENTO",
AND(B1065&lt;&gt;"",M1065=""),"FALTA O PEDIDO",
AND(M1065&lt;&gt;"",O1065=""),"FALTA NF",
O1065&lt;&gt;"","CONCLUÍDO")</f>
        <v>CONCLUÍDO</v>
      </c>
      <c r="R1065" s="36"/>
    </row>
    <row r="1066" spans="1:18" hidden="1">
      <c r="A1066" s="16">
        <v>46104</v>
      </c>
      <c r="B1066" s="16">
        <v>46114</v>
      </c>
      <c r="C1066" s="21">
        <v>61521091</v>
      </c>
      <c r="D1066" s="16" t="str">
        <f>IFERROR(VLOOKUP(Tabela5[[#This Row],[PREFIXO ]],Tabela4[#All],2,0),"CENTRO DE CUSTO")</f>
        <v>PA CARREGADEIRA JOHN DEERE 524 K II</v>
      </c>
      <c r="E1066" s="18" t="s">
        <v>67</v>
      </c>
      <c r="F1066" s="21">
        <v>113</v>
      </c>
      <c r="G1066" s="22">
        <v>2834.64</v>
      </c>
      <c r="H1066" s="22"/>
      <c r="I1066" s="22">
        <f t="shared" si="17"/>
        <v>2834.64</v>
      </c>
      <c r="J1066" s="18" t="s">
        <v>1265</v>
      </c>
      <c r="K1066" s="18">
        <v>9813925</v>
      </c>
      <c r="L1066" s="18">
        <v>900438</v>
      </c>
      <c r="M1066" s="18" t="s">
        <v>2786</v>
      </c>
      <c r="N1066" s="16" t="s">
        <v>2538</v>
      </c>
      <c r="O1066" s="18" t="s">
        <v>2539</v>
      </c>
      <c r="P1066" s="18" t="s">
        <v>2305</v>
      </c>
      <c r="Q1066" s="29" t="str" cm="1">
        <f t="array" ref="Q1066">_xlfn.IFS(
A1066="","",
AND(A1066&lt;&gt;"",B1066=""),"FALTA LANÇAMENTO",
AND(B1066&lt;&gt;"",M1066=""),"FALTA O PEDIDO",
AND(M1066&lt;&gt;"",O1066=""),"FALTA NF",
O1066&lt;&gt;"","CONCLUÍDO")</f>
        <v>CONCLUÍDO</v>
      </c>
      <c r="R1066" s="36"/>
    </row>
    <row r="1067" spans="1:18" hidden="1">
      <c r="A1067" s="16">
        <v>46104</v>
      </c>
      <c r="B1067" s="16">
        <v>46114</v>
      </c>
      <c r="C1067" s="21">
        <v>13150004</v>
      </c>
      <c r="D1067" s="16" t="str">
        <f>IFERROR(VLOOKUP(Tabela5[[#This Row],[PREFIXO ]],Tabela4[#All],2,0),"CENTRO DE CUSTO")</f>
        <v>ADUB AUTOPROP JACTO UNIPORT 8030NPK</v>
      </c>
      <c r="E1067" s="18" t="s">
        <v>67</v>
      </c>
      <c r="F1067" s="21">
        <v>125</v>
      </c>
      <c r="G1067" s="22">
        <v>2775</v>
      </c>
      <c r="H1067" s="22"/>
      <c r="I1067" s="22">
        <f t="shared" si="17"/>
        <v>2775</v>
      </c>
      <c r="J1067" s="18" t="s">
        <v>1265</v>
      </c>
      <c r="K1067" s="18">
        <v>9814004</v>
      </c>
      <c r="L1067" s="18">
        <v>900438</v>
      </c>
      <c r="M1067" s="18" t="s">
        <v>2786</v>
      </c>
      <c r="N1067" s="16" t="s">
        <v>2538</v>
      </c>
      <c r="O1067" s="18" t="s">
        <v>2539</v>
      </c>
      <c r="P1067" s="18" t="s">
        <v>2305</v>
      </c>
      <c r="Q1067" s="29" t="str" cm="1">
        <f t="array" ref="Q1067">_xlfn.IFS(
A1067="","",
AND(A1067&lt;&gt;"",B1067=""),"FALTA LANÇAMENTO",
AND(B1067&lt;&gt;"",M1067=""),"FALTA O PEDIDO",
AND(M1067&lt;&gt;"",O1067=""),"FALTA NF",
O1067&lt;&gt;"","CONCLUÍDO")</f>
        <v>CONCLUÍDO</v>
      </c>
      <c r="R1067" s="36"/>
    </row>
    <row r="1068" spans="1:18" hidden="1">
      <c r="A1068" s="16">
        <v>46104</v>
      </c>
      <c r="B1068" s="16">
        <v>46120</v>
      </c>
      <c r="C1068" s="21">
        <v>51521049</v>
      </c>
      <c r="D1068" s="16" t="str">
        <f>IFERROR(VLOOKUP(Tabela5[[#This Row],[PREFIXO ]],Tabela4[#All],2,0),"CENTRO DE CUSTO")</f>
        <v>COLHED ALGODÃO JOHN DEERE CP 690</v>
      </c>
      <c r="E1068" s="18" t="s">
        <v>67</v>
      </c>
      <c r="F1068" s="21">
        <v>120</v>
      </c>
      <c r="G1068" s="22">
        <v>2000</v>
      </c>
      <c r="H1068" s="22">
        <v>395</v>
      </c>
      <c r="I1068" s="22">
        <f t="shared" si="17"/>
        <v>2395</v>
      </c>
      <c r="J1068" s="18" t="s">
        <v>1265</v>
      </c>
      <c r="K1068" s="18">
        <v>9814025</v>
      </c>
      <c r="L1068" s="18">
        <v>903960</v>
      </c>
      <c r="M1068" s="18" t="s">
        <v>2796</v>
      </c>
      <c r="N1068" s="16" t="s">
        <v>2507</v>
      </c>
      <c r="O1068" s="18" t="s">
        <v>2797</v>
      </c>
      <c r="P1068" s="18" t="s">
        <v>2645</v>
      </c>
      <c r="Q1068" s="29" t="str" cm="1">
        <f t="array" ref="Q1068">_xlfn.IFS(
A1068="","",
AND(A1068&lt;&gt;"",B1068=""),"FALTA LANÇAMENTO",
AND(B1068&lt;&gt;"",M1068=""),"FALTA O PEDIDO",
AND(M1068&lt;&gt;"",O1068=""),"FALTA NF",
O1068&lt;&gt;"","CONCLUÍDO")</f>
        <v>CONCLUÍDO</v>
      </c>
      <c r="R1068" s="36"/>
    </row>
    <row r="1069" spans="1:18" hidden="1">
      <c r="A1069" s="16">
        <v>46104</v>
      </c>
      <c r="B1069" s="16">
        <v>46114</v>
      </c>
      <c r="C1069" s="21">
        <v>13130047</v>
      </c>
      <c r="D1069" s="16" t="str">
        <f>IFERROR(VLOOKUP(Tabela5[[#This Row],[PREFIXO ]],Tabela4[#All],2,0),"CENTRO DE CUSTO")</f>
        <v>PULV AUTOPROP JOHN DEERE M4030</v>
      </c>
      <c r="E1069" s="18" t="s">
        <v>67</v>
      </c>
      <c r="F1069" s="21">
        <v>116</v>
      </c>
      <c r="G1069" s="22">
        <v>2187.36</v>
      </c>
      <c r="H1069" s="22"/>
      <c r="I1069" s="22">
        <f t="shared" si="17"/>
        <v>2187.36</v>
      </c>
      <c r="J1069" s="18" t="s">
        <v>1265</v>
      </c>
      <c r="K1069" s="18">
        <v>9813933</v>
      </c>
      <c r="L1069" s="18">
        <v>900438</v>
      </c>
      <c r="M1069" s="18" t="s">
        <v>2786</v>
      </c>
      <c r="N1069" s="16" t="s">
        <v>2538</v>
      </c>
      <c r="O1069" s="18" t="s">
        <v>2539</v>
      </c>
      <c r="P1069" s="18" t="s">
        <v>2305</v>
      </c>
      <c r="Q1069" s="29" t="str" cm="1">
        <f t="array" ref="Q1069">_xlfn.IFS(
A1069="","",
AND(A1069&lt;&gt;"",B1069=""),"FALTA LANÇAMENTO",
AND(B1069&lt;&gt;"",M1069=""),"FALTA O PEDIDO",
AND(M1069&lt;&gt;"",O1069=""),"FALTA NF",
O1069&lt;&gt;"","CONCLUÍDO")</f>
        <v>CONCLUÍDO</v>
      </c>
      <c r="R1069" s="36"/>
    </row>
    <row r="1070" spans="1:18" hidden="1">
      <c r="A1070" s="16">
        <v>46104</v>
      </c>
      <c r="B1070" s="16">
        <v>46120</v>
      </c>
      <c r="C1070" s="21">
        <v>51521050</v>
      </c>
      <c r="D1070" s="16" t="str">
        <f>IFERROR(VLOOKUP(Tabela5[[#This Row],[PREFIXO ]],Tabela4[#All],2,0),"CENTRO DE CUSTO")</f>
        <v>COLHED ALGODÃO JOHN DEERE CP 690</v>
      </c>
      <c r="E1070" s="18" t="s">
        <v>67</v>
      </c>
      <c r="F1070" s="21">
        <v>119</v>
      </c>
      <c r="G1070" s="22">
        <v>1500</v>
      </c>
      <c r="H1070" s="22">
        <v>395</v>
      </c>
      <c r="I1070" s="22">
        <f t="shared" si="17"/>
        <v>1895</v>
      </c>
      <c r="J1070" s="18" t="s">
        <v>1265</v>
      </c>
      <c r="K1070" s="18">
        <v>9814024</v>
      </c>
      <c r="L1070" s="18">
        <v>903977</v>
      </c>
      <c r="M1070" s="18" t="s">
        <v>2798</v>
      </c>
      <c r="N1070" s="16" t="s">
        <v>2595</v>
      </c>
      <c r="O1070" s="18" t="s">
        <v>2799</v>
      </c>
      <c r="P1070" s="18" t="s">
        <v>2656</v>
      </c>
      <c r="Q1070" s="29" t="str" cm="1">
        <f t="array" ref="Q1070">_xlfn.IFS(
A1070="","",
AND(A1070&lt;&gt;"",B1070=""),"FALTA LANÇAMENTO",
AND(B1070&lt;&gt;"",M1070=""),"FALTA O PEDIDO",
AND(M1070&lt;&gt;"",O1070=""),"FALTA NF",
O1070&lt;&gt;"","CONCLUÍDO")</f>
        <v>CONCLUÍDO</v>
      </c>
      <c r="R1070" s="36"/>
    </row>
    <row r="1071" spans="1:18" hidden="1">
      <c r="A1071" s="16">
        <v>46104</v>
      </c>
      <c r="B1071" s="16">
        <v>46114</v>
      </c>
      <c r="C1071" s="21">
        <v>13130034</v>
      </c>
      <c r="D1071" s="16" t="str">
        <f>IFERROR(VLOOKUP(Tabela5[[#This Row],[PREFIXO ]],Tabela4[#All],2,0),"CENTRO DE CUSTO")</f>
        <v>PULV AUTOPROP JOHN DEERE M4030</v>
      </c>
      <c r="E1071" s="18" t="s">
        <v>67</v>
      </c>
      <c r="F1071" s="21">
        <v>123</v>
      </c>
      <c r="G1071" s="22">
        <v>1504.44</v>
      </c>
      <c r="H1071" s="22"/>
      <c r="I1071" s="22">
        <f t="shared" si="17"/>
        <v>1504.44</v>
      </c>
      <c r="J1071" s="18" t="s">
        <v>1265</v>
      </c>
      <c r="K1071" s="18">
        <v>9813939</v>
      </c>
      <c r="L1071" s="18">
        <v>900438</v>
      </c>
      <c r="M1071" s="18" t="s">
        <v>2786</v>
      </c>
      <c r="N1071" s="16" t="s">
        <v>2538</v>
      </c>
      <c r="O1071" s="18" t="s">
        <v>2539</v>
      </c>
      <c r="P1071" s="18" t="s">
        <v>2305</v>
      </c>
      <c r="Q1071" s="29" t="str" cm="1">
        <f t="array" ref="Q1071">_xlfn.IFS(
A1071="","",
AND(A1071&lt;&gt;"",B1071=""),"FALTA LANÇAMENTO",
AND(B1071&lt;&gt;"",M1071=""),"FALTA O PEDIDO",
AND(M1071&lt;&gt;"",O1071=""),"FALTA NF",
O1071&lt;&gt;"","CONCLUÍDO")</f>
        <v>CONCLUÍDO</v>
      </c>
      <c r="R1071" s="36"/>
    </row>
    <row r="1072" spans="1:18" hidden="1">
      <c r="A1072" s="16">
        <v>46104</v>
      </c>
      <c r="B1072" s="16">
        <v>46114</v>
      </c>
      <c r="C1072" s="21">
        <v>13130046</v>
      </c>
      <c r="D1072" s="16" t="str">
        <f>IFERROR(VLOOKUP(Tabela5[[#This Row],[PREFIXO ]],Tabela4[#All],2,0),"CENTRO DE CUSTO")</f>
        <v>PULV AUTOPROP JOHN DEERE M4030</v>
      </c>
      <c r="E1072" s="18" t="s">
        <v>67</v>
      </c>
      <c r="F1072" s="21">
        <v>114</v>
      </c>
      <c r="G1072" s="22">
        <v>1425.24</v>
      </c>
      <c r="H1072" s="22"/>
      <c r="I1072" s="22">
        <f t="shared" si="17"/>
        <v>1425.24</v>
      </c>
      <c r="J1072" s="18" t="s">
        <v>1265</v>
      </c>
      <c r="K1072" s="18">
        <v>9813927</v>
      </c>
      <c r="L1072" s="18">
        <v>900438</v>
      </c>
      <c r="M1072" s="18" t="s">
        <v>2786</v>
      </c>
      <c r="N1072" s="16" t="s">
        <v>2538</v>
      </c>
      <c r="O1072" s="18" t="s">
        <v>2539</v>
      </c>
      <c r="P1072" s="18" t="s">
        <v>2305</v>
      </c>
      <c r="Q1072" s="29" t="str" cm="1">
        <f t="array" ref="Q1072">_xlfn.IFS(
A1072="","",
AND(A1072&lt;&gt;"",B1072=""),"FALTA LANÇAMENTO",
AND(B1072&lt;&gt;"",M1072=""),"FALTA O PEDIDO",
AND(M1072&lt;&gt;"",O1072=""),"FALTA NF",
O1072&lt;&gt;"","CONCLUÍDO")</f>
        <v>CONCLUÍDO</v>
      </c>
      <c r="R1072" s="36"/>
    </row>
    <row r="1073" spans="1:18" hidden="1">
      <c r="A1073" s="16">
        <v>46104</v>
      </c>
      <c r="B1073" s="16">
        <v>46114</v>
      </c>
      <c r="C1073" s="21">
        <v>13130037</v>
      </c>
      <c r="D1073" s="16" t="str">
        <f>IFERROR(VLOOKUP(Tabela5[[#This Row],[PREFIXO ]],Tabela4[#All],2,0),"CENTRO DE CUSTO")</f>
        <v>PULV AUTOPROP JOHN DEERE M4030</v>
      </c>
      <c r="E1073" s="18" t="s">
        <v>67</v>
      </c>
      <c r="F1073" s="21">
        <v>115</v>
      </c>
      <c r="G1073" s="22">
        <v>1235.8800000000001</v>
      </c>
      <c r="H1073" s="22"/>
      <c r="I1073" s="22">
        <f t="shared" si="17"/>
        <v>1235.8800000000001</v>
      </c>
      <c r="J1073" s="18" t="s">
        <v>1265</v>
      </c>
      <c r="K1073" s="18">
        <v>9813929</v>
      </c>
      <c r="L1073" s="18">
        <v>900438</v>
      </c>
      <c r="M1073" s="18" t="s">
        <v>2786</v>
      </c>
      <c r="N1073" s="16" t="s">
        <v>2538</v>
      </c>
      <c r="O1073" s="18" t="s">
        <v>2539</v>
      </c>
      <c r="P1073" s="18" t="s">
        <v>2305</v>
      </c>
      <c r="Q1073" s="29" t="str" cm="1">
        <f t="array" ref="Q1073">_xlfn.IFS(
A1073="","",
AND(A1073&lt;&gt;"",B1073=""),"FALTA LANÇAMENTO",
AND(B1073&lt;&gt;"",M1073=""),"FALTA O PEDIDO",
AND(M1073&lt;&gt;"",O1073=""),"FALTA NF",
O1073&lt;&gt;"","CONCLUÍDO")</f>
        <v>CONCLUÍDO</v>
      </c>
      <c r="R1073" s="36"/>
    </row>
    <row r="1074" spans="1:18" hidden="1">
      <c r="A1074" s="16">
        <v>46104</v>
      </c>
      <c r="B1074" s="16">
        <v>46114</v>
      </c>
      <c r="C1074" s="21">
        <v>13150004</v>
      </c>
      <c r="D1074" s="16" t="str">
        <f>IFERROR(VLOOKUP(Tabela5[[#This Row],[PREFIXO ]],Tabela4[#All],2,0),"CENTRO DE CUSTO")</f>
        <v>ADUB AUTOPROP JACTO UNIPORT 8030NPK</v>
      </c>
      <c r="E1074" s="18" t="s">
        <v>67</v>
      </c>
      <c r="F1074" s="21">
        <v>124</v>
      </c>
      <c r="G1074" s="22">
        <v>1221.8</v>
      </c>
      <c r="H1074" s="22"/>
      <c r="I1074" s="22">
        <f t="shared" si="17"/>
        <v>1221.8</v>
      </c>
      <c r="J1074" s="18" t="s">
        <v>1265</v>
      </c>
      <c r="K1074" s="18">
        <v>9814001</v>
      </c>
      <c r="L1074" s="18">
        <v>900438</v>
      </c>
      <c r="M1074" s="18" t="s">
        <v>2786</v>
      </c>
      <c r="N1074" s="16" t="s">
        <v>2538</v>
      </c>
      <c r="O1074" s="18" t="s">
        <v>2539</v>
      </c>
      <c r="P1074" s="18" t="s">
        <v>2305</v>
      </c>
      <c r="Q1074" s="29" t="str" cm="1">
        <f t="array" ref="Q1074">_xlfn.IFS(
A1074="","",
AND(A1074&lt;&gt;"",B1074=""),"FALTA LANÇAMENTO",
AND(B1074&lt;&gt;"",M1074=""),"FALTA O PEDIDO",
AND(M1074&lt;&gt;"",O1074=""),"FALTA NF",
O1074&lt;&gt;"","CONCLUÍDO")</f>
        <v>CONCLUÍDO</v>
      </c>
      <c r="R1074" s="36"/>
    </row>
    <row r="1075" spans="1:18" hidden="1">
      <c r="A1075" s="16">
        <v>46104</v>
      </c>
      <c r="B1075" s="16">
        <v>46119</v>
      </c>
      <c r="C1075" s="21">
        <v>51521072</v>
      </c>
      <c r="D1075" s="16" t="str">
        <f>IFERROR(VLOOKUP(Tabela5[[#This Row],[PREFIXO ]],Tabela4[#All],2,0),"CENTRO DE CUSTO")</f>
        <v>COLHED ALGODÃO JOHN DEERE CP 690</v>
      </c>
      <c r="E1075" s="18" t="s">
        <v>67</v>
      </c>
      <c r="F1075" s="21">
        <v>121</v>
      </c>
      <c r="G1075" s="22">
        <v>850</v>
      </c>
      <c r="H1075" s="22"/>
      <c r="I1075" s="22">
        <f t="shared" si="17"/>
        <v>850</v>
      </c>
      <c r="J1075" s="18" t="s">
        <v>1265</v>
      </c>
      <c r="K1075" s="18">
        <v>9813924</v>
      </c>
      <c r="L1075" s="18">
        <v>903539</v>
      </c>
      <c r="M1075" s="18" t="s">
        <v>2800</v>
      </c>
      <c r="N1075" s="16" t="s">
        <v>2595</v>
      </c>
      <c r="O1075" s="18" t="s">
        <v>2679</v>
      </c>
      <c r="P1075" s="18" t="s">
        <v>2595</v>
      </c>
      <c r="Q1075" s="29" t="str" cm="1">
        <f t="array" ref="Q1075">_xlfn.IFS(
A1075="","",
AND(A1075&lt;&gt;"",B1075=""),"FALTA LANÇAMENTO",
AND(B1075&lt;&gt;"",M1075=""),"FALTA O PEDIDO",
AND(M1075&lt;&gt;"",O1075=""),"FALTA NF",
O1075&lt;&gt;"","CONCLUÍDO")</f>
        <v>CONCLUÍDO</v>
      </c>
      <c r="R1075" s="36"/>
    </row>
    <row r="1076" spans="1:18" hidden="1">
      <c r="A1076" s="16">
        <v>46104</v>
      </c>
      <c r="B1076" s="16">
        <v>46114</v>
      </c>
      <c r="C1076" s="21">
        <v>2305008</v>
      </c>
      <c r="D1076" s="16" t="str">
        <f>IFERROR(VLOOKUP(Tabela5[[#This Row],[PREFIXO ]],Tabela4[#All],2,0),"CENTRO DE CUSTO")</f>
        <v>CENTRO DE CUSTO</v>
      </c>
      <c r="E1076" s="18" t="s">
        <v>67</v>
      </c>
      <c r="F1076" s="21">
        <v>118</v>
      </c>
      <c r="G1076" s="22">
        <v>833.6</v>
      </c>
      <c r="H1076" s="22"/>
      <c r="I1076" s="22">
        <f t="shared" si="17"/>
        <v>833.6</v>
      </c>
      <c r="J1076" s="18" t="s">
        <v>1265</v>
      </c>
      <c r="K1076" s="18">
        <v>9813937</v>
      </c>
      <c r="L1076" s="18">
        <v>900438</v>
      </c>
      <c r="M1076" s="18" t="s">
        <v>2786</v>
      </c>
      <c r="N1076" s="16" t="s">
        <v>2538</v>
      </c>
      <c r="O1076" s="18" t="s">
        <v>2539</v>
      </c>
      <c r="P1076" s="18" t="s">
        <v>2305</v>
      </c>
      <c r="Q1076" s="29" t="str" cm="1">
        <f t="array" ref="Q1076">_xlfn.IFS(
A1076="","",
AND(A1076&lt;&gt;"",B1076=""),"FALTA LANÇAMENTO",
AND(B1076&lt;&gt;"",M1076=""),"FALTA O PEDIDO",
AND(M1076&lt;&gt;"",O1076=""),"FALTA NF",
O1076&lt;&gt;"","CONCLUÍDO")</f>
        <v>CONCLUÍDO</v>
      </c>
      <c r="R1076" s="36"/>
    </row>
    <row r="1077" spans="1:18" hidden="1">
      <c r="A1077" s="16">
        <v>46104</v>
      </c>
      <c r="B1077" s="16">
        <v>46114</v>
      </c>
      <c r="C1077" s="21">
        <v>31521010</v>
      </c>
      <c r="D1077" s="16" t="str">
        <f>IFERROR(VLOOKUP(Tabela5[[#This Row],[PREFIXO ]],Tabela4[#All],2,0),"CENTRO DE CUSTO")</f>
        <v>PULV AUTOPROP JACTO UNIPORT 3030</v>
      </c>
      <c r="E1077" s="18" t="s">
        <v>67</v>
      </c>
      <c r="F1077" s="21">
        <v>117</v>
      </c>
      <c r="G1077" s="22">
        <v>500</v>
      </c>
      <c r="H1077" s="22"/>
      <c r="I1077" s="22">
        <f t="shared" si="17"/>
        <v>500</v>
      </c>
      <c r="J1077" s="18" t="s">
        <v>1265</v>
      </c>
      <c r="K1077" s="18">
        <v>9813936</v>
      </c>
      <c r="L1077" s="18">
        <v>900438</v>
      </c>
      <c r="M1077" s="18" t="s">
        <v>2786</v>
      </c>
      <c r="N1077" s="16" t="s">
        <v>2538</v>
      </c>
      <c r="O1077" s="18" t="s">
        <v>2539</v>
      </c>
      <c r="P1077" s="18" t="s">
        <v>2305</v>
      </c>
      <c r="Q1077" s="29" t="str" cm="1">
        <f t="array" ref="Q1077">_xlfn.IFS(
A1077="","",
AND(A1077&lt;&gt;"",B1077=""),"FALTA LANÇAMENTO",
AND(B1077&lt;&gt;"",M1077=""),"FALTA O PEDIDO",
AND(M1077&lt;&gt;"",O1077=""),"FALTA NF",
O1077&lt;&gt;"","CONCLUÍDO")</f>
        <v>CONCLUÍDO</v>
      </c>
      <c r="R1077" s="36"/>
    </row>
    <row r="1078" spans="1:18" hidden="1">
      <c r="A1078" s="16">
        <v>46104</v>
      </c>
      <c r="B1078" s="16">
        <v>46129</v>
      </c>
      <c r="C1078" s="21">
        <v>31521037</v>
      </c>
      <c r="D1078" s="16" t="str">
        <f>IFERROR(VLOOKUP(Tabela5[[#This Row],[PREFIXO ]],Tabela4[#All],2,0),"CENTRO DE CUSTO")</f>
        <v>ADUB AUTOPROP KUHN ACCURA ST 7000</v>
      </c>
      <c r="E1078" s="18" t="s">
        <v>96</v>
      </c>
      <c r="F1078" s="21">
        <v>4141</v>
      </c>
      <c r="G1078" s="22">
        <v>2000</v>
      </c>
      <c r="H1078" s="22"/>
      <c r="I1078" s="22">
        <f t="shared" si="17"/>
        <v>2000</v>
      </c>
      <c r="J1078" s="18" t="s">
        <v>1265</v>
      </c>
      <c r="K1078" s="18">
        <v>9814039</v>
      </c>
      <c r="L1078" s="18">
        <v>912336</v>
      </c>
      <c r="M1078" s="18" t="s">
        <v>2801</v>
      </c>
      <c r="N1078" s="16" t="s">
        <v>2554</v>
      </c>
      <c r="O1078" s="18" t="s">
        <v>2802</v>
      </c>
      <c r="P1078" s="18" t="s">
        <v>1526</v>
      </c>
      <c r="Q1078" s="29" t="str" cm="1">
        <f t="array" ref="Q1078">_xlfn.IFS(
A1078="","",
AND(A1078&lt;&gt;"",B1078=""),"FALTA LANÇAMENTO",
AND(B1078&lt;&gt;"",M1078=""),"FALTA O PEDIDO",
AND(M1078&lt;&gt;"",O1078=""),"FALTA NF",
O1078&lt;&gt;"","CONCLUÍDO")</f>
        <v>CONCLUÍDO</v>
      </c>
      <c r="R1078" s="36"/>
    </row>
    <row r="1079" spans="1:18" hidden="1">
      <c r="A1079" s="16">
        <v>46104</v>
      </c>
      <c r="B1079" s="16">
        <v>46129</v>
      </c>
      <c r="C1079" s="21">
        <v>31521037</v>
      </c>
      <c r="D1079" s="16" t="str">
        <f>IFERROR(VLOOKUP(Tabela5[[#This Row],[PREFIXO ]],Tabela4[#All],2,0),"CENTRO DE CUSTO")</f>
        <v>ADUB AUTOPROP KUHN ACCURA ST 7000</v>
      </c>
      <c r="E1079" s="18" t="s">
        <v>96</v>
      </c>
      <c r="F1079" s="21">
        <v>15404</v>
      </c>
      <c r="G1079" s="22"/>
      <c r="H1079" s="22">
        <v>1600</v>
      </c>
      <c r="I1079" s="22">
        <f t="shared" si="17"/>
        <v>1600</v>
      </c>
      <c r="J1079" s="18" t="s">
        <v>1265</v>
      </c>
      <c r="K1079" s="18">
        <v>9814039</v>
      </c>
      <c r="L1079" s="18">
        <v>912336</v>
      </c>
      <c r="M1079" s="18" t="s">
        <v>2803</v>
      </c>
      <c r="N1079" s="16" t="s">
        <v>2554</v>
      </c>
      <c r="O1079" s="18" t="s">
        <v>2804</v>
      </c>
      <c r="P1079" s="18" t="s">
        <v>2556</v>
      </c>
      <c r="Q1079" s="29" t="str" cm="1">
        <f t="array" ref="Q1079">_xlfn.IFS(
A1079="","",
AND(A1079&lt;&gt;"",B1079=""),"FALTA LANÇAMENTO",
AND(B1079&lt;&gt;"",M1079=""),"FALTA O PEDIDO",
AND(M1079&lt;&gt;"",O1079=""),"FALTA NF",
O1079&lt;&gt;"","CONCLUÍDO")</f>
        <v>CONCLUÍDO</v>
      </c>
      <c r="R1079" s="36"/>
    </row>
    <row r="1080" spans="1:18" hidden="1">
      <c r="A1080" s="16">
        <v>46104</v>
      </c>
      <c r="B1080" s="16">
        <v>46129</v>
      </c>
      <c r="C1080" s="21">
        <v>1732414</v>
      </c>
      <c r="D1080" s="16" t="str">
        <f>IFERROR(VLOOKUP(Tabela5[[#This Row],[PREFIXO ]],Tabela4[#All],2,0),"CENTRO DE CUSTO")</f>
        <v>MOTONIVELADORA JOHN DEERE 770 G</v>
      </c>
      <c r="E1080" s="18" t="s">
        <v>96</v>
      </c>
      <c r="F1080" s="21">
        <v>15402</v>
      </c>
      <c r="G1080" s="22"/>
      <c r="H1080" s="22">
        <v>1260</v>
      </c>
      <c r="I1080" s="22">
        <f t="shared" si="17"/>
        <v>1260</v>
      </c>
      <c r="J1080" s="18" t="s">
        <v>1265</v>
      </c>
      <c r="K1080" s="18">
        <v>9814036</v>
      </c>
      <c r="L1080" s="18">
        <v>912323</v>
      </c>
      <c r="M1080" s="18" t="s">
        <v>2805</v>
      </c>
      <c r="N1080" s="16" t="s">
        <v>2554</v>
      </c>
      <c r="O1080" s="18" t="s">
        <v>2806</v>
      </c>
      <c r="P1080" s="18" t="s">
        <v>1526</v>
      </c>
      <c r="Q1080" s="29" t="str" cm="1">
        <f t="array" ref="Q1080">_xlfn.IFS(
A1080="","",
AND(A1080&lt;&gt;"",B1080=""),"FALTA LANÇAMENTO",
AND(B1080&lt;&gt;"",M1080=""),"FALTA O PEDIDO",
AND(M1080&lt;&gt;"",O1080=""),"FALTA NF",
O1080&lt;&gt;"","CONCLUÍDO")</f>
        <v>CONCLUÍDO</v>
      </c>
      <c r="R1080" s="36"/>
    </row>
    <row r="1081" spans="1:18" hidden="1">
      <c r="A1081" s="16">
        <v>46104</v>
      </c>
      <c r="B1081" s="16">
        <v>46129</v>
      </c>
      <c r="C1081" s="21">
        <v>17320832</v>
      </c>
      <c r="D1081" s="16" t="str">
        <f>IFERROR(VLOOKUP(Tabela5[[#This Row],[PREFIXO ]],Tabela4[#All],2,0),"CENTRO DE CUSTO")</f>
        <v>PLANTADEIRA CASE IH FAST RISER 6100</v>
      </c>
      <c r="E1081" s="18" t="s">
        <v>96</v>
      </c>
      <c r="F1081" s="21">
        <v>4146</v>
      </c>
      <c r="G1081" s="22">
        <v>657</v>
      </c>
      <c r="H1081" s="22"/>
      <c r="I1081" s="22">
        <f t="shared" si="17"/>
        <v>657</v>
      </c>
      <c r="J1081" s="18" t="s">
        <v>1199</v>
      </c>
      <c r="K1081" s="18">
        <v>9814080</v>
      </c>
      <c r="L1081" s="18">
        <v>912353</v>
      </c>
      <c r="M1081" s="18" t="s">
        <v>2807</v>
      </c>
      <c r="N1081" s="16" t="s">
        <v>2554</v>
      </c>
      <c r="O1081" s="18" t="s">
        <v>2808</v>
      </c>
      <c r="P1081" s="18" t="s">
        <v>1526</v>
      </c>
      <c r="Q1081" s="29" t="str" cm="1">
        <f t="array" ref="Q1081">_xlfn.IFS(
A1081="","",
AND(A1081&lt;&gt;"",B1081=""),"FALTA LANÇAMENTO",
AND(B1081&lt;&gt;"",M1081=""),"FALTA O PEDIDO",
AND(M1081&lt;&gt;"",O1081=""),"FALTA NF",
O1081&lt;&gt;"","CONCLUÍDO")</f>
        <v>CONCLUÍDO</v>
      </c>
      <c r="R1081" s="36"/>
    </row>
    <row r="1082" spans="1:18" hidden="1">
      <c r="A1082" s="16">
        <v>46104</v>
      </c>
      <c r="B1082" s="16">
        <v>46129</v>
      </c>
      <c r="C1082" s="21">
        <v>17320832</v>
      </c>
      <c r="D1082" s="16" t="str">
        <f>IFERROR(VLOOKUP(Tabela5[[#This Row],[PREFIXO ]],Tabela4[#All],2,0),"CENTRO DE CUSTO")</f>
        <v>PLANTADEIRA CASE IH FAST RISER 6100</v>
      </c>
      <c r="E1082" s="18" t="s">
        <v>96</v>
      </c>
      <c r="F1082" s="21">
        <v>15407</v>
      </c>
      <c r="G1082" s="22"/>
      <c r="H1082" s="22">
        <v>532.33000000000004</v>
      </c>
      <c r="I1082" s="22">
        <f t="shared" si="17"/>
        <v>532.33000000000004</v>
      </c>
      <c r="J1082" s="18" t="s">
        <v>1199</v>
      </c>
      <c r="K1082" s="18">
        <v>9814080</v>
      </c>
      <c r="L1082" s="18">
        <v>912353</v>
      </c>
      <c r="M1082" s="18" t="s">
        <v>2809</v>
      </c>
      <c r="N1082" s="16" t="s">
        <v>2554</v>
      </c>
      <c r="O1082" s="18" t="s">
        <v>2810</v>
      </c>
      <c r="P1082" s="18" t="s">
        <v>2556</v>
      </c>
      <c r="Q1082" s="29" t="str" cm="1">
        <f t="array" ref="Q1082">_xlfn.IFS(
A1082="","",
AND(A1082&lt;&gt;"",B1082=""),"FALTA LANÇAMENTO",
AND(B1082&lt;&gt;"",M1082=""),"FALTA O PEDIDO",
AND(M1082&lt;&gt;"",O1082=""),"FALTA NF",
O1082&lt;&gt;"","CONCLUÍDO")</f>
        <v>CONCLUÍDO</v>
      </c>
      <c r="R1082" s="36"/>
    </row>
    <row r="1083" spans="1:18" hidden="1">
      <c r="A1083" s="16">
        <v>46104</v>
      </c>
      <c r="B1083" s="16">
        <v>46129</v>
      </c>
      <c r="C1083" s="21">
        <v>1732414</v>
      </c>
      <c r="D1083" s="16" t="str">
        <f>IFERROR(VLOOKUP(Tabela5[[#This Row],[PREFIXO ]],Tabela4[#All],2,0),"CENTRO DE CUSTO")</f>
        <v>MOTONIVELADORA JOHN DEERE 770 G</v>
      </c>
      <c r="E1083" s="18" t="s">
        <v>96</v>
      </c>
      <c r="F1083" s="21">
        <v>4140</v>
      </c>
      <c r="G1083" s="22">
        <v>200</v>
      </c>
      <c r="H1083" s="22"/>
      <c r="I1083" s="22">
        <f t="shared" si="17"/>
        <v>200</v>
      </c>
      <c r="J1083" s="18" t="s">
        <v>1265</v>
      </c>
      <c r="K1083" s="18">
        <v>9814036</v>
      </c>
      <c r="L1083" s="18">
        <v>912323</v>
      </c>
      <c r="M1083" s="18" t="s">
        <v>2811</v>
      </c>
      <c r="N1083" s="16" t="s">
        <v>2554</v>
      </c>
      <c r="O1083" s="18" t="s">
        <v>2812</v>
      </c>
      <c r="P1083" s="18" t="s">
        <v>1526</v>
      </c>
      <c r="Q1083" s="29" t="str" cm="1">
        <f t="array" ref="Q1083">_xlfn.IFS(
A1083="","",
AND(A1083&lt;&gt;"",B1083=""),"FALTA LANÇAMENTO",
AND(B1083&lt;&gt;"",M1083=""),"FALTA O PEDIDO",
AND(M1083&lt;&gt;"",O1083=""),"FALTA NF",
O1083&lt;&gt;"","CONCLUÍDO")</f>
        <v>CONCLUÍDO</v>
      </c>
      <c r="R1083" s="36"/>
    </row>
    <row r="1084" spans="1:18" hidden="1">
      <c r="A1084" s="16">
        <v>46104</v>
      </c>
      <c r="B1084" s="16">
        <v>46107</v>
      </c>
      <c r="C1084" s="21">
        <v>500580579</v>
      </c>
      <c r="D1084" s="16" t="str">
        <f>IFERROR(VLOOKUP(Tabela5[[#This Row],[PREFIXO ]],Tabela4[#All],2,0),"CENTRO DE CUSTO")</f>
        <v>Pátio de Vendas</v>
      </c>
      <c r="E1084" s="18" t="s">
        <v>224</v>
      </c>
      <c r="F1084" s="21">
        <v>2757</v>
      </c>
      <c r="G1084" s="22">
        <v>3975</v>
      </c>
      <c r="H1084" s="22"/>
      <c r="I1084" s="22">
        <f t="shared" si="17"/>
        <v>3975</v>
      </c>
      <c r="J1084" s="18" t="s">
        <v>1251</v>
      </c>
      <c r="K1084" s="18" t="s">
        <v>1095</v>
      </c>
      <c r="L1084" s="18" t="s">
        <v>1095</v>
      </c>
      <c r="M1084" s="18" t="s">
        <v>1095</v>
      </c>
      <c r="N1084" s="16" t="s">
        <v>1095</v>
      </c>
      <c r="O1084" s="18" t="s">
        <v>1095</v>
      </c>
      <c r="P1084" s="18" t="s">
        <v>1095</v>
      </c>
      <c r="Q1084" s="29" t="str" cm="1">
        <f t="array" ref="Q1084">_xlfn.IFS(
A1084="","",
AND(A1084&lt;&gt;"",B1084=""),"FALTA LANÇAMENTO",
AND(B1084&lt;&gt;"",M1084=""),"FALTA O PEDIDO",
AND(M1084&lt;&gt;"",O1084=""),"FALTA NF",
O1084&lt;&gt;"","CONCLUÍDO")</f>
        <v>CONCLUÍDO</v>
      </c>
      <c r="R1084" s="36"/>
    </row>
    <row r="1085" spans="1:18" hidden="1">
      <c r="A1085" s="16">
        <v>46104</v>
      </c>
      <c r="B1085" s="16">
        <v>46121</v>
      </c>
      <c r="C1085" s="21">
        <v>61521051</v>
      </c>
      <c r="D1085" s="16" t="str">
        <f>IFERROR(VLOOKUP(Tabela5[[#This Row],[PREFIXO ]],Tabela4[#All],2,0),"CENTRO DE CUSTO")</f>
        <v>CENTRO DE CUSTO</v>
      </c>
      <c r="E1085" s="18" t="s">
        <v>227</v>
      </c>
      <c r="F1085" s="21">
        <v>224385</v>
      </c>
      <c r="G1085" s="22"/>
      <c r="H1085" s="22">
        <v>135</v>
      </c>
      <c r="I1085" s="22">
        <f t="shared" si="17"/>
        <v>135</v>
      </c>
      <c r="J1085" s="18" t="s">
        <v>1199</v>
      </c>
      <c r="K1085" s="18">
        <v>9826607</v>
      </c>
      <c r="L1085" s="18" t="s">
        <v>1095</v>
      </c>
      <c r="M1085" s="18" t="s">
        <v>1095</v>
      </c>
      <c r="N1085" s="16" t="s">
        <v>1095</v>
      </c>
      <c r="O1085" s="18" t="s">
        <v>1095</v>
      </c>
      <c r="P1085" s="18" t="s">
        <v>1095</v>
      </c>
      <c r="Q1085" s="29" t="str" cm="1">
        <f t="array" ref="Q1085">_xlfn.IFS(
A1085="","",
AND(A1085&lt;&gt;"",B1085=""),"FALTA LANÇAMENTO",
AND(B1085&lt;&gt;"",M1085=""),"FALTA O PEDIDO",
AND(M1085&lt;&gt;"",O1085=""),"FALTA NF",
O1085&lt;&gt;"","CONCLUÍDO")</f>
        <v>CONCLUÍDO</v>
      </c>
      <c r="R1085" s="36"/>
    </row>
    <row r="1086" spans="1:18" hidden="1">
      <c r="A1086" s="16">
        <v>46104</v>
      </c>
      <c r="B1086" s="16">
        <v>46121</v>
      </c>
      <c r="C1086" s="21">
        <v>61521051</v>
      </c>
      <c r="D1086" s="16" t="str">
        <f>IFERROR(VLOOKUP(Tabela5[[#This Row],[PREFIXO ]],Tabela4[#All],2,0),"CENTRO DE CUSTO")</f>
        <v>CENTRO DE CUSTO</v>
      </c>
      <c r="E1086" s="18" t="s">
        <v>227</v>
      </c>
      <c r="F1086" s="21">
        <v>220367</v>
      </c>
      <c r="G1086" s="22">
        <v>30</v>
      </c>
      <c r="H1086" s="22"/>
      <c r="I1086" s="22">
        <f t="shared" si="17"/>
        <v>30</v>
      </c>
      <c r="J1086" s="18" t="s">
        <v>1199</v>
      </c>
      <c r="K1086" s="18">
        <v>9826607</v>
      </c>
      <c r="L1086" s="18" t="s">
        <v>1095</v>
      </c>
      <c r="M1086" s="18" t="s">
        <v>1095</v>
      </c>
      <c r="N1086" s="16" t="s">
        <v>1095</v>
      </c>
      <c r="O1086" s="18" t="s">
        <v>1095</v>
      </c>
      <c r="P1086" s="18" t="s">
        <v>1095</v>
      </c>
      <c r="Q1086" s="29" t="str" cm="1">
        <f t="array" ref="Q1086">_xlfn.IFS(
A1086="","",
AND(A1086&lt;&gt;"",B1086=""),"FALTA LANÇAMENTO",
AND(B1086&lt;&gt;"",M1086=""),"FALTA O PEDIDO",
AND(M1086&lt;&gt;"",O1086=""),"FALTA NF",
O1086&lt;&gt;"","CONCLUÍDO")</f>
        <v>CONCLUÍDO</v>
      </c>
      <c r="R1086" s="36"/>
    </row>
    <row r="1087" spans="1:18" hidden="1">
      <c r="A1087" s="16">
        <v>46104</v>
      </c>
      <c r="B1087" s="16">
        <v>46125</v>
      </c>
      <c r="C1087" s="21">
        <v>2060001</v>
      </c>
      <c r="D1087" s="16" t="str">
        <f>IFERROR(VLOOKUP(Tabela5[[#This Row],[PREFIXO ]],Tabela4[#All],2,0),"CENTRO DE CUSTO")</f>
        <v>CENTRO DE CUSTO</v>
      </c>
      <c r="E1087" s="18" t="s">
        <v>247</v>
      </c>
      <c r="F1087" s="21">
        <v>134916</v>
      </c>
      <c r="G1087" s="22">
        <v>520.79999999999995</v>
      </c>
      <c r="H1087" s="22">
        <v>4492.51</v>
      </c>
      <c r="I1087" s="22">
        <f t="shared" si="17"/>
        <v>5013.3100000000004</v>
      </c>
      <c r="J1087" s="18" t="s">
        <v>1265</v>
      </c>
      <c r="K1087" s="18">
        <v>5020334</v>
      </c>
      <c r="L1087" s="18">
        <v>907913</v>
      </c>
      <c r="M1087" s="18" t="s">
        <v>2813</v>
      </c>
      <c r="N1087" s="16" t="s">
        <v>2725</v>
      </c>
      <c r="O1087" s="18" t="s">
        <v>2814</v>
      </c>
      <c r="P1087" s="18" t="s">
        <v>2645</v>
      </c>
      <c r="Q1087" s="29" t="str" cm="1">
        <f t="array" ref="Q1087">_xlfn.IFS(
A1087="","",
AND(A1087&lt;&gt;"",B1087=""),"FALTA LANÇAMENTO",
AND(B1087&lt;&gt;"",M1087=""),"FALTA O PEDIDO",
AND(M1087&lt;&gt;"",O1087=""),"FALTA NF",
O1087&lt;&gt;"","CONCLUÍDO")</f>
        <v>CONCLUÍDO</v>
      </c>
      <c r="R1087" s="36"/>
    </row>
    <row r="1088" spans="1:18" hidden="1">
      <c r="A1088" s="16">
        <v>46104</v>
      </c>
      <c r="B1088" s="16">
        <v>46120</v>
      </c>
      <c r="C1088" s="21" t="s">
        <v>2815</v>
      </c>
      <c r="D1088" s="16" t="str">
        <f>IFERROR(VLOOKUP(Tabela5[[#This Row],[PREFIXO ]],Tabela4[#All],2,0),"CENTRO DE CUSTO")</f>
        <v>CENTRO DE CUSTO</v>
      </c>
      <c r="E1088" s="18" t="s">
        <v>255</v>
      </c>
      <c r="F1088" s="21">
        <v>876</v>
      </c>
      <c r="G1088" s="22">
        <v>1600</v>
      </c>
      <c r="H1088" s="22"/>
      <c r="I1088" s="22">
        <f t="shared" ref="I1088:I1151" si="18">G1088+H1088</f>
        <v>1600</v>
      </c>
      <c r="J1088" s="18" t="s">
        <v>1199</v>
      </c>
      <c r="K1088" s="18">
        <v>9813649</v>
      </c>
      <c r="L1088" s="18">
        <v>903589</v>
      </c>
      <c r="M1088" s="18" t="s">
        <v>2816</v>
      </c>
      <c r="N1088" s="16" t="s">
        <v>2507</v>
      </c>
      <c r="O1088" s="18" t="s">
        <v>1532</v>
      </c>
      <c r="P1088" s="18" t="s">
        <v>2585</v>
      </c>
      <c r="Q1088" s="29" t="str" cm="1">
        <f t="array" ref="Q1088">_xlfn.IFS(
A1088="","",
AND(A1088&lt;&gt;"",B1088=""),"FALTA LANÇAMENTO",
AND(B1088&lt;&gt;"",M1088=""),"FALTA O PEDIDO",
AND(M1088&lt;&gt;"",O1088=""),"FALTA NF",
O1088&lt;&gt;"","CONCLUÍDO")</f>
        <v>CONCLUÍDO</v>
      </c>
      <c r="R1088" s="36"/>
    </row>
    <row r="1089" spans="1:18" hidden="1">
      <c r="A1089" s="16">
        <v>46104</v>
      </c>
      <c r="B1089" s="16">
        <v>46120</v>
      </c>
      <c r="C1089" s="21" t="s">
        <v>2817</v>
      </c>
      <c r="D1089" s="16" t="str">
        <f>IFERROR(VLOOKUP(Tabela5[[#This Row],[PREFIXO ]],Tabela4[#All],2,0),"CENTRO DE CUSTO")</f>
        <v>CENTRO DE CUSTO</v>
      </c>
      <c r="E1089" s="18" t="s">
        <v>255</v>
      </c>
      <c r="F1089" s="21">
        <v>870</v>
      </c>
      <c r="G1089" s="22">
        <v>1480</v>
      </c>
      <c r="H1089" s="22"/>
      <c r="I1089" s="22">
        <f t="shared" si="18"/>
        <v>1480</v>
      </c>
      <c r="J1089" s="18" t="s">
        <v>1113</v>
      </c>
      <c r="K1089" s="18">
        <v>9813721</v>
      </c>
      <c r="L1089" s="18">
        <v>903589</v>
      </c>
      <c r="M1089" s="18" t="s">
        <v>2816</v>
      </c>
      <c r="N1089" s="16" t="s">
        <v>2507</v>
      </c>
      <c r="O1089" s="18" t="s">
        <v>1532</v>
      </c>
      <c r="P1089" s="18" t="s">
        <v>2585</v>
      </c>
      <c r="Q1089" s="29" t="str" cm="1">
        <f t="array" ref="Q1089">_xlfn.IFS(
A1089="","",
AND(A1089&lt;&gt;"",B1089=""),"FALTA LANÇAMENTO",
AND(B1089&lt;&gt;"",M1089=""),"FALTA O PEDIDO",
AND(M1089&lt;&gt;"",O1089=""),"FALTA NF",
O1089&lt;&gt;"","CONCLUÍDO")</f>
        <v>CONCLUÍDO</v>
      </c>
      <c r="R1089" s="36"/>
    </row>
    <row r="1090" spans="1:18" hidden="1">
      <c r="A1090" s="16">
        <v>46104</v>
      </c>
      <c r="B1090" s="16">
        <v>46120</v>
      </c>
      <c r="C1090" s="21">
        <v>51521064</v>
      </c>
      <c r="D1090" s="16" t="str">
        <f>IFERROR(VLOOKUP(Tabela5[[#This Row],[PREFIXO ]],Tabela4[#All],2,0),"CENTRO DE CUSTO")</f>
        <v>COLHED ALGODÃO JOHN DEERE CP 690</v>
      </c>
      <c r="E1090" s="18" t="s">
        <v>255</v>
      </c>
      <c r="F1090" s="21">
        <v>871</v>
      </c>
      <c r="G1090" s="22">
        <v>1387.5</v>
      </c>
      <c r="H1090" s="22"/>
      <c r="I1090" s="22">
        <f t="shared" si="18"/>
        <v>1387.5</v>
      </c>
      <c r="J1090" s="18" t="s">
        <v>1113</v>
      </c>
      <c r="K1090" s="18">
        <v>9813720</v>
      </c>
      <c r="L1090" s="18">
        <v>903589</v>
      </c>
      <c r="M1090" s="18" t="s">
        <v>2816</v>
      </c>
      <c r="N1090" s="16" t="s">
        <v>2507</v>
      </c>
      <c r="O1090" s="18" t="s">
        <v>1532</v>
      </c>
      <c r="P1090" s="18" t="s">
        <v>2585</v>
      </c>
      <c r="Q1090" s="29" t="str" cm="1">
        <f t="array" ref="Q1090">_xlfn.IFS(
A1090="","",
AND(A1090&lt;&gt;"",B1090=""),"FALTA LANÇAMENTO",
AND(B1090&lt;&gt;"",M1090=""),"FALTA O PEDIDO",
AND(M1090&lt;&gt;"",O1090=""),"FALTA NF",
O1090&lt;&gt;"","CONCLUÍDO")</f>
        <v>CONCLUÍDO</v>
      </c>
      <c r="R1090" s="36"/>
    </row>
    <row r="1091" spans="1:18" hidden="1">
      <c r="A1091" s="16">
        <v>46104</v>
      </c>
      <c r="B1091" s="16">
        <v>46120</v>
      </c>
      <c r="C1091" s="21">
        <v>51521065</v>
      </c>
      <c r="D1091" s="16" t="str">
        <f>IFERROR(VLOOKUP(Tabela5[[#This Row],[PREFIXO ]],Tabela4[#All],2,0),"CENTRO DE CUSTO")</f>
        <v>COLHED ALGODÃO JOHN DEERE CP 690</v>
      </c>
      <c r="E1091" s="18" t="s">
        <v>255</v>
      </c>
      <c r="F1091" s="21">
        <v>875</v>
      </c>
      <c r="G1091" s="22">
        <v>1341.25</v>
      </c>
      <c r="H1091" s="22"/>
      <c r="I1091" s="22">
        <f t="shared" si="18"/>
        <v>1341.25</v>
      </c>
      <c r="J1091" s="18" t="s">
        <v>1113</v>
      </c>
      <c r="K1091" s="18">
        <v>9813656</v>
      </c>
      <c r="L1091" s="18">
        <v>903589</v>
      </c>
      <c r="M1091" s="18" t="s">
        <v>2816</v>
      </c>
      <c r="N1091" s="16" t="s">
        <v>2507</v>
      </c>
      <c r="O1091" s="18" t="s">
        <v>1532</v>
      </c>
      <c r="P1091" s="18" t="s">
        <v>2585</v>
      </c>
      <c r="Q1091" s="29" t="str" cm="1">
        <f t="array" ref="Q1091">_xlfn.IFS(
A1091="","",
AND(A1091&lt;&gt;"",B1091=""),"FALTA LANÇAMENTO",
AND(B1091&lt;&gt;"",M1091=""),"FALTA O PEDIDO",
AND(M1091&lt;&gt;"",O1091=""),"FALTA NF",
O1091&lt;&gt;"","CONCLUÍDO")</f>
        <v>CONCLUÍDO</v>
      </c>
      <c r="R1091" s="36"/>
    </row>
    <row r="1092" spans="1:18" hidden="1">
      <c r="A1092" s="16">
        <v>46104</v>
      </c>
      <c r="B1092" s="16">
        <v>46120</v>
      </c>
      <c r="C1092" s="21">
        <v>51521050</v>
      </c>
      <c r="D1092" s="16" t="str">
        <f>IFERROR(VLOOKUP(Tabela5[[#This Row],[PREFIXO ]],Tabela4[#All],2,0),"CENTRO DE CUSTO")</f>
        <v>COLHED ALGODÃO JOHN DEERE CP 690</v>
      </c>
      <c r="E1092" s="18" t="s">
        <v>255</v>
      </c>
      <c r="F1092" s="21">
        <v>874</v>
      </c>
      <c r="G1092" s="22">
        <v>1341.25</v>
      </c>
      <c r="H1092" s="22"/>
      <c r="I1092" s="22">
        <f t="shared" si="18"/>
        <v>1341.25</v>
      </c>
      <c r="J1092" s="18" t="s">
        <v>1113</v>
      </c>
      <c r="K1092" s="18">
        <v>9813658</v>
      </c>
      <c r="L1092" s="18">
        <v>903589</v>
      </c>
      <c r="M1092" s="18" t="s">
        <v>2816</v>
      </c>
      <c r="N1092" s="16" t="s">
        <v>2507</v>
      </c>
      <c r="O1092" s="18" t="s">
        <v>1532</v>
      </c>
      <c r="P1092" s="18" t="s">
        <v>2585</v>
      </c>
      <c r="Q1092" s="29" t="str" cm="1">
        <f t="array" ref="Q1092">_xlfn.IFS(
A1092="","",
AND(A1092&lt;&gt;"",B1092=""),"FALTA LANÇAMENTO",
AND(B1092&lt;&gt;"",M1092=""),"FALTA O PEDIDO",
AND(M1092&lt;&gt;"",O1092=""),"FALTA NF",
O1092&lt;&gt;"","CONCLUÍDO")</f>
        <v>CONCLUÍDO</v>
      </c>
      <c r="R1092" s="36"/>
    </row>
    <row r="1093" spans="1:18" hidden="1">
      <c r="A1093" s="16">
        <v>46104</v>
      </c>
      <c r="B1093" s="16">
        <v>46120</v>
      </c>
      <c r="C1093" s="21" t="s">
        <v>2818</v>
      </c>
      <c r="D1093" s="16" t="str">
        <f>IFERROR(VLOOKUP(Tabela5[[#This Row],[PREFIXO ]],Tabela4[#All],2,0),"CENTRO DE CUSTO")</f>
        <v>CENTRO DE CUSTO</v>
      </c>
      <c r="E1093" s="18" t="s">
        <v>255</v>
      </c>
      <c r="F1093" s="21">
        <v>873</v>
      </c>
      <c r="G1093" s="22">
        <v>1295</v>
      </c>
      <c r="H1093" s="22"/>
      <c r="I1093" s="22">
        <f t="shared" si="18"/>
        <v>1295</v>
      </c>
      <c r="J1093" s="18" t="s">
        <v>1113</v>
      </c>
      <c r="K1093" s="18">
        <v>9813659</v>
      </c>
      <c r="L1093" s="18">
        <v>903589</v>
      </c>
      <c r="M1093" s="18" t="s">
        <v>2816</v>
      </c>
      <c r="N1093" s="16" t="s">
        <v>2507</v>
      </c>
      <c r="O1093" s="18" t="s">
        <v>1532</v>
      </c>
      <c r="P1093" s="18" t="s">
        <v>2585</v>
      </c>
      <c r="Q1093" s="29" t="str" cm="1">
        <f t="array" ref="Q1093">_xlfn.IFS(
A1093="","",
AND(A1093&lt;&gt;"",B1093=""),"FALTA LANÇAMENTO",
AND(B1093&lt;&gt;"",M1093=""),"FALTA O PEDIDO",
AND(M1093&lt;&gt;"",O1093=""),"FALTA NF",
O1093&lt;&gt;"","CONCLUÍDO")</f>
        <v>CONCLUÍDO</v>
      </c>
      <c r="R1093" s="36"/>
    </row>
    <row r="1094" spans="1:18" hidden="1">
      <c r="A1094" s="16">
        <v>46104</v>
      </c>
      <c r="B1094" s="16">
        <v>46120</v>
      </c>
      <c r="C1094" s="21">
        <v>51521059</v>
      </c>
      <c r="D1094" s="16" t="str">
        <f>IFERROR(VLOOKUP(Tabela5[[#This Row],[PREFIXO ]],Tabela4[#All],2,0),"CENTRO DE CUSTO")</f>
        <v>COLHED ALGODÃO JOHN DEERE CP 690</v>
      </c>
      <c r="E1094" s="18" t="s">
        <v>255</v>
      </c>
      <c r="F1094" s="21">
        <v>878</v>
      </c>
      <c r="G1094" s="22">
        <v>1248.75</v>
      </c>
      <c r="H1094" s="22"/>
      <c r="I1094" s="22">
        <f t="shared" si="18"/>
        <v>1248.75</v>
      </c>
      <c r="J1094" s="18" t="s">
        <v>1113</v>
      </c>
      <c r="K1094" s="18">
        <v>9813884</v>
      </c>
      <c r="L1094" s="18">
        <v>903589</v>
      </c>
      <c r="M1094" s="18" t="s">
        <v>2816</v>
      </c>
      <c r="N1094" s="16" t="s">
        <v>2507</v>
      </c>
      <c r="O1094" s="18" t="s">
        <v>1532</v>
      </c>
      <c r="P1094" s="18" t="s">
        <v>2585</v>
      </c>
      <c r="Q1094" s="29" t="str" cm="1">
        <f t="array" ref="Q1094">_xlfn.IFS(
A1094="","",
AND(A1094&lt;&gt;"",B1094=""),"FALTA LANÇAMENTO",
AND(B1094&lt;&gt;"",M1094=""),"FALTA O PEDIDO",
AND(M1094&lt;&gt;"",O1094=""),"FALTA NF",
O1094&lt;&gt;"","CONCLUÍDO")</f>
        <v>CONCLUÍDO</v>
      </c>
      <c r="R1094" s="36"/>
    </row>
    <row r="1095" spans="1:18" hidden="1">
      <c r="A1095" s="16">
        <v>46104</v>
      </c>
      <c r="B1095" s="16">
        <v>46120</v>
      </c>
      <c r="C1095" s="21">
        <v>51521068</v>
      </c>
      <c r="D1095" s="16" t="str">
        <f>IFERROR(VLOOKUP(Tabela5[[#This Row],[PREFIXO ]],Tabela4[#All],2,0),"CENTRO DE CUSTO")</f>
        <v>COLHED ALGODÃO JOHN DEERE CP 690</v>
      </c>
      <c r="E1095" s="18" t="s">
        <v>255</v>
      </c>
      <c r="F1095" s="21">
        <v>872</v>
      </c>
      <c r="G1095" s="22">
        <v>1170</v>
      </c>
      <c r="H1095" s="22"/>
      <c r="I1095" s="22">
        <f t="shared" si="18"/>
        <v>1170</v>
      </c>
      <c r="J1095" s="18" t="s">
        <v>1113</v>
      </c>
      <c r="K1095" s="18">
        <v>9813657</v>
      </c>
      <c r="L1095" s="18">
        <v>903589</v>
      </c>
      <c r="M1095" s="18" t="s">
        <v>2816</v>
      </c>
      <c r="N1095" s="16" t="s">
        <v>2507</v>
      </c>
      <c r="O1095" s="18" t="s">
        <v>1532</v>
      </c>
      <c r="P1095" s="18" t="s">
        <v>2585</v>
      </c>
      <c r="Q1095" s="29" t="str" cm="1">
        <f t="array" ref="Q1095">_xlfn.IFS(
A1095="","",
AND(A1095&lt;&gt;"",B1095=""),"FALTA LANÇAMENTO",
AND(B1095&lt;&gt;"",M1095=""),"FALTA O PEDIDO",
AND(M1095&lt;&gt;"",O1095=""),"FALTA NF",
O1095&lt;&gt;"","CONCLUÍDO")</f>
        <v>CONCLUÍDO</v>
      </c>
      <c r="R1095" s="36"/>
    </row>
    <row r="1096" spans="1:18" hidden="1">
      <c r="A1096" s="16">
        <v>46104</v>
      </c>
      <c r="B1096" s="16">
        <v>46120</v>
      </c>
      <c r="C1096" s="21">
        <v>500580325</v>
      </c>
      <c r="D1096" s="16" t="str">
        <f>IFERROR(VLOOKUP(Tabela5[[#This Row],[PREFIXO ]],Tabela4[#All],2,0),"CENTRO DE CUSTO")</f>
        <v>Colheitad. Alg Auto</v>
      </c>
      <c r="E1096" s="18" t="s">
        <v>255</v>
      </c>
      <c r="F1096" s="21">
        <v>877</v>
      </c>
      <c r="G1096" s="22">
        <v>600</v>
      </c>
      <c r="H1096" s="22"/>
      <c r="I1096" s="22">
        <f t="shared" si="18"/>
        <v>600</v>
      </c>
      <c r="J1096" s="18" t="s">
        <v>1113</v>
      </c>
      <c r="K1096" s="18">
        <v>5020150</v>
      </c>
      <c r="L1096" s="18">
        <v>903589</v>
      </c>
      <c r="M1096" s="18" t="s">
        <v>2816</v>
      </c>
      <c r="N1096" s="16" t="s">
        <v>2507</v>
      </c>
      <c r="O1096" s="18" t="s">
        <v>1532</v>
      </c>
      <c r="P1096" s="18" t="s">
        <v>2585</v>
      </c>
      <c r="Q1096" s="29" t="str" cm="1">
        <f t="array" ref="Q1096">_xlfn.IFS(
A1096="","",
AND(A1096&lt;&gt;"",B1096=""),"FALTA LANÇAMENTO",
AND(B1096&lt;&gt;"",M1096=""),"FALTA O PEDIDO",
AND(M1096&lt;&gt;"",O1096=""),"FALTA NF",
O1096&lt;&gt;"","CONCLUÍDO")</f>
        <v>CONCLUÍDO</v>
      </c>
      <c r="R1096" s="36"/>
    </row>
    <row r="1097" spans="1:18" hidden="1">
      <c r="A1097" s="16">
        <v>46104</v>
      </c>
      <c r="B1097" s="16">
        <v>46121</v>
      </c>
      <c r="C1097" s="21">
        <v>2185169</v>
      </c>
      <c r="D1097" s="16" t="str">
        <f>IFERROR(VLOOKUP(Tabela5[[#This Row],[PREFIXO ]],Tabela4[#All],2,0),"CENTRO DE CUSTO")</f>
        <v>CENTRO DE CUSTO</v>
      </c>
      <c r="E1097" s="18" t="s">
        <v>129</v>
      </c>
      <c r="F1097" s="21">
        <v>202</v>
      </c>
      <c r="G1097" s="22"/>
      <c r="H1097" s="22">
        <v>2600</v>
      </c>
      <c r="I1097" s="22">
        <f t="shared" si="18"/>
        <v>2600</v>
      </c>
      <c r="J1097" s="18" t="s">
        <v>1199</v>
      </c>
      <c r="K1097" s="18">
        <v>9826578</v>
      </c>
      <c r="L1097" s="18" t="s">
        <v>1095</v>
      </c>
      <c r="M1097" s="18" t="s">
        <v>1095</v>
      </c>
      <c r="N1097" s="16" t="s">
        <v>1095</v>
      </c>
      <c r="O1097" s="18" t="s">
        <v>1095</v>
      </c>
      <c r="P1097" s="18" t="s">
        <v>1095</v>
      </c>
      <c r="Q1097" s="29" t="str" cm="1">
        <f t="array" ref="Q1097">_xlfn.IFS(
A1097="","",
AND(A1097&lt;&gt;"",B1097=""),"FALTA LANÇAMENTO",
AND(B1097&lt;&gt;"",M1097=""),"FALTA O PEDIDO",
AND(M1097&lt;&gt;"",O1097=""),"FALTA NF",
O1097&lt;&gt;"","CONCLUÍDO")</f>
        <v>CONCLUÍDO</v>
      </c>
      <c r="R1097" s="36"/>
    </row>
    <row r="1098" spans="1:18" hidden="1">
      <c r="A1098" s="16">
        <v>46105</v>
      </c>
      <c r="B1098" s="16">
        <v>46121</v>
      </c>
      <c r="C1098" s="21" t="s">
        <v>1134</v>
      </c>
      <c r="D1098" s="16" t="str">
        <f>IFERROR(VLOOKUP(Tabela5[[#This Row],[PREFIXO ]],Tabela4[#All],2,0),"CENTRO DE CUSTO")</f>
        <v>CENTRO DE CUSTO</v>
      </c>
      <c r="E1098" s="18" t="s">
        <v>293</v>
      </c>
      <c r="F1098" s="21">
        <v>57</v>
      </c>
      <c r="G1098" s="22">
        <v>39233</v>
      </c>
      <c r="H1098" s="22"/>
      <c r="I1098" s="22">
        <f t="shared" si="18"/>
        <v>39233</v>
      </c>
      <c r="J1098" s="18" t="s">
        <v>1113</v>
      </c>
      <c r="K1098" s="18">
        <v>5020149</v>
      </c>
      <c r="L1098" s="18">
        <v>905335</v>
      </c>
      <c r="M1098" s="18" t="s">
        <v>2819</v>
      </c>
      <c r="N1098" s="16" t="s">
        <v>2681</v>
      </c>
      <c r="O1098" s="18" t="s">
        <v>2820</v>
      </c>
      <c r="P1098" s="18" t="s">
        <v>2590</v>
      </c>
      <c r="Q1098" s="29" t="str" cm="1">
        <f t="array" ref="Q1098">_xlfn.IFS(
A1098="","",
AND(A1098&lt;&gt;"",B1098=""),"FALTA LANÇAMENTO",
AND(B1098&lt;&gt;"",M1098=""),"FALTA O PEDIDO",
AND(M1098&lt;&gt;"",O1098=""),"FALTA NF",
O1098&lt;&gt;"","CONCLUÍDO")</f>
        <v>CONCLUÍDO</v>
      </c>
      <c r="R1098" s="36"/>
    </row>
    <row r="1099" spans="1:18" hidden="1">
      <c r="A1099" s="16">
        <v>46105</v>
      </c>
      <c r="B1099" s="16">
        <v>46125</v>
      </c>
      <c r="C1099" s="21">
        <v>81521205</v>
      </c>
      <c r="D1099" s="16" t="str">
        <f>IFERROR(VLOOKUP(Tabela5[[#This Row],[PREFIXO ]],Tabela4[#All],2,0),"CENTRO DE CUSTO")</f>
        <v>SEMI REBOQUE PRANCHA FACCHINI SRCT 4E</v>
      </c>
      <c r="E1099" s="18" t="s">
        <v>24</v>
      </c>
      <c r="F1099" s="21">
        <v>153550</v>
      </c>
      <c r="G1099" s="22"/>
      <c r="H1099" s="22">
        <v>7576.12</v>
      </c>
      <c r="I1099" s="22">
        <f t="shared" si="18"/>
        <v>7576.12</v>
      </c>
      <c r="J1099" s="18" t="s">
        <v>1085</v>
      </c>
      <c r="K1099" s="18">
        <v>9815397</v>
      </c>
      <c r="L1099" s="18">
        <v>907148</v>
      </c>
      <c r="M1099" s="18" t="s">
        <v>2821</v>
      </c>
      <c r="N1099" s="16" t="s">
        <v>2619</v>
      </c>
      <c r="O1099" s="18" t="s">
        <v>2822</v>
      </c>
      <c r="P1099" s="18" t="s">
        <v>1526</v>
      </c>
      <c r="Q1099" s="29" t="str" cm="1">
        <f t="array" ref="Q1099">_xlfn.IFS(
A1099="","",
AND(A1099&lt;&gt;"",B1099=""),"FALTA LANÇAMENTO",
AND(B1099&lt;&gt;"",M1099=""),"FALTA O PEDIDO",
AND(M1099&lt;&gt;"",O1099=""),"FALTA NF",
O1099&lt;&gt;"","CONCLUÍDO")</f>
        <v>CONCLUÍDO</v>
      </c>
      <c r="R1099" s="36"/>
    </row>
    <row r="1100" spans="1:18" hidden="1">
      <c r="A1100" s="16">
        <v>46105</v>
      </c>
      <c r="B1100" s="16">
        <v>46125</v>
      </c>
      <c r="C1100" s="21">
        <v>81521205</v>
      </c>
      <c r="D1100" s="16" t="str">
        <f>IFERROR(VLOOKUP(Tabela5[[#This Row],[PREFIXO ]],Tabela4[#All],2,0),"CENTRO DE CUSTO")</f>
        <v>SEMI REBOQUE PRANCHA FACCHINI SRCT 4E</v>
      </c>
      <c r="E1100" s="18" t="s">
        <v>24</v>
      </c>
      <c r="F1100" s="21">
        <v>16251</v>
      </c>
      <c r="G1100" s="22">
        <v>7309.8</v>
      </c>
      <c r="H1100" s="22"/>
      <c r="I1100" s="22">
        <f t="shared" si="18"/>
        <v>7309.8</v>
      </c>
      <c r="J1100" s="18" t="s">
        <v>1085</v>
      </c>
      <c r="K1100" s="18">
        <v>9815397</v>
      </c>
      <c r="L1100" s="18">
        <v>907148</v>
      </c>
      <c r="M1100" s="18" t="s">
        <v>2823</v>
      </c>
      <c r="N1100" s="16" t="s">
        <v>2619</v>
      </c>
      <c r="O1100" s="18" t="s">
        <v>2824</v>
      </c>
      <c r="P1100" s="18" t="s">
        <v>2619</v>
      </c>
      <c r="Q1100" s="29" t="str" cm="1">
        <f t="array" ref="Q1100">_xlfn.IFS(
A1100="","",
AND(A1100&lt;&gt;"",B1100=""),"FALTA LANÇAMENTO",
AND(B1100&lt;&gt;"",M1100=""),"FALTA O PEDIDO",
AND(M1100&lt;&gt;"",O1100=""),"FALTA NF",
O1100&lt;&gt;"","CONCLUÍDO")</f>
        <v>CONCLUÍDO</v>
      </c>
      <c r="R1100" s="36"/>
    </row>
    <row r="1101" spans="1:18" hidden="1">
      <c r="A1101" s="16">
        <v>46105</v>
      </c>
      <c r="B1101" s="16">
        <v>46128</v>
      </c>
      <c r="C1101" s="21">
        <v>81521205</v>
      </c>
      <c r="D1101" s="16" t="str">
        <f>IFERROR(VLOOKUP(Tabela5[[#This Row],[PREFIXO ]],Tabela4[#All],2,0),"CENTRO DE CUSTO")</f>
        <v>SEMI REBOQUE PRANCHA FACCHINI SRCT 4E</v>
      </c>
      <c r="E1101" s="18" t="s">
        <v>24</v>
      </c>
      <c r="F1101" s="21" t="s">
        <v>2825</v>
      </c>
      <c r="G1101" s="22">
        <v>158.4</v>
      </c>
      <c r="H1101" s="22">
        <v>218.79</v>
      </c>
      <c r="I1101" s="22">
        <f t="shared" si="18"/>
        <v>377.19</v>
      </c>
      <c r="J1101" s="18" t="s">
        <v>1085</v>
      </c>
      <c r="K1101" s="18">
        <v>9815423</v>
      </c>
      <c r="L1101" s="18">
        <v>907053</v>
      </c>
      <c r="M1101" s="18" t="s">
        <v>2826</v>
      </c>
      <c r="N1101" s="16" t="s">
        <v>2643</v>
      </c>
      <c r="O1101" s="18" t="s">
        <v>2827</v>
      </c>
      <c r="P1101" s="18" t="s">
        <v>2828</v>
      </c>
      <c r="Q1101" s="29" t="str" cm="1">
        <f t="array" ref="Q1101">_xlfn.IFS(
A1101="","",
AND(A1101&lt;&gt;"",B1101=""),"FALTA LANÇAMENTO",
AND(B1101&lt;&gt;"",M1101=""),"FALTA O PEDIDO",
AND(M1101&lt;&gt;"",O1101=""),"FALTA NF",
O1101&lt;&gt;"","CONCLUÍDO")</f>
        <v>CONCLUÍDO</v>
      </c>
      <c r="R1101" s="36"/>
    </row>
    <row r="1102" spans="1:18" hidden="1">
      <c r="A1102" s="16">
        <v>46105</v>
      </c>
      <c r="B1102" s="16">
        <v>46125</v>
      </c>
      <c r="C1102" s="21" t="s">
        <v>1134</v>
      </c>
      <c r="D1102" s="16" t="str">
        <f>IFERROR(VLOOKUP(Tabela5[[#This Row],[PREFIXO ]],Tabela4[#All],2,0),"CENTRO DE CUSTO")</f>
        <v>CENTRO DE CUSTO</v>
      </c>
      <c r="E1102" s="18" t="s">
        <v>24</v>
      </c>
      <c r="F1102" s="21">
        <v>16250</v>
      </c>
      <c r="G1102" s="22">
        <v>343.8</v>
      </c>
      <c r="H1102" s="22"/>
      <c r="I1102" s="22">
        <f t="shared" si="18"/>
        <v>343.8</v>
      </c>
      <c r="J1102" s="18" t="s">
        <v>1085</v>
      </c>
      <c r="K1102" s="18">
        <v>9815539</v>
      </c>
      <c r="L1102" s="18">
        <v>907046</v>
      </c>
      <c r="M1102" s="18" t="s">
        <v>2829</v>
      </c>
      <c r="N1102" s="16" t="s">
        <v>2643</v>
      </c>
      <c r="O1102" s="18" t="s">
        <v>2830</v>
      </c>
      <c r="P1102" s="18" t="s">
        <v>2619</v>
      </c>
      <c r="Q1102" s="29" t="str" cm="1">
        <f t="array" ref="Q1102">_xlfn.IFS(
A1102="","",
AND(A1102&lt;&gt;"",B1102=""),"FALTA LANÇAMENTO",
AND(B1102&lt;&gt;"",M1102=""),"FALTA O PEDIDO",
AND(M1102&lt;&gt;"",O1102=""),"FALTA NF",
O1102&lt;&gt;"","CONCLUÍDO")</f>
        <v>CONCLUÍDO</v>
      </c>
      <c r="R1102" s="36"/>
    </row>
    <row r="1103" spans="1:18" hidden="1">
      <c r="A1103" s="16">
        <v>46105</v>
      </c>
      <c r="B1103" s="16">
        <v>46125</v>
      </c>
      <c r="C1103" s="21" t="s">
        <v>1134</v>
      </c>
      <c r="D1103" s="16" t="str">
        <f>IFERROR(VLOOKUP(Tabela5[[#This Row],[PREFIXO ]],Tabela4[#All],2,0),"CENTRO DE CUSTO")</f>
        <v>CENTRO DE CUSTO</v>
      </c>
      <c r="E1103" s="18" t="s">
        <v>24</v>
      </c>
      <c r="F1103" s="21">
        <v>153549</v>
      </c>
      <c r="G1103" s="22"/>
      <c r="H1103" s="22">
        <v>134.28</v>
      </c>
      <c r="I1103" s="22">
        <f t="shared" si="18"/>
        <v>134.28</v>
      </c>
      <c r="J1103" s="18" t="s">
        <v>1085</v>
      </c>
      <c r="K1103" s="18">
        <v>9815539</v>
      </c>
      <c r="L1103" s="18">
        <v>907046</v>
      </c>
      <c r="M1103" s="18" t="s">
        <v>2831</v>
      </c>
      <c r="N1103" s="16" t="s">
        <v>2643</v>
      </c>
      <c r="O1103" s="18" t="s">
        <v>2832</v>
      </c>
      <c r="P1103" s="18" t="s">
        <v>2556</v>
      </c>
      <c r="Q1103" s="29" t="str" cm="1">
        <f t="array" ref="Q1103">_xlfn.IFS(
A1103="","",
AND(A1103&lt;&gt;"",B1103=""),"FALTA LANÇAMENTO",
AND(B1103&lt;&gt;"",M1103=""),"FALTA O PEDIDO",
AND(M1103&lt;&gt;"",O1103=""),"FALTA NF",
O1103&lt;&gt;"","CONCLUÍDO")</f>
        <v>CONCLUÍDO</v>
      </c>
      <c r="R1103" s="36"/>
    </row>
    <row r="1104" spans="1:18" hidden="1">
      <c r="A1104" s="16">
        <v>46105</v>
      </c>
      <c r="B1104" s="16">
        <v>46129</v>
      </c>
      <c r="C1104" s="21">
        <v>61521019</v>
      </c>
      <c r="D1104" s="16" t="str">
        <f>IFERROR(VLOOKUP(Tabela5[[#This Row],[PREFIXO ]],Tabela4[#All],2,0),"CENTRO DE CUSTO")</f>
        <v>ONIB COLETIVO MERC BENZ IND APACHE</v>
      </c>
      <c r="E1104" s="18" t="s">
        <v>96</v>
      </c>
      <c r="F1104" s="21">
        <v>4102</v>
      </c>
      <c r="G1104" s="22">
        <v>1296</v>
      </c>
      <c r="H1104" s="22"/>
      <c r="I1104" s="22">
        <f t="shared" si="18"/>
        <v>1296</v>
      </c>
      <c r="J1104" s="18" t="s">
        <v>1085</v>
      </c>
      <c r="K1104" s="18">
        <v>9822926</v>
      </c>
      <c r="L1104" s="18">
        <v>912268</v>
      </c>
      <c r="M1104" s="18" t="s">
        <v>2833</v>
      </c>
      <c r="N1104" s="16" t="s">
        <v>2554</v>
      </c>
      <c r="O1104" s="18" t="s">
        <v>2834</v>
      </c>
      <c r="P1104" s="18" t="s">
        <v>1526</v>
      </c>
      <c r="Q1104" s="29" t="str" cm="1">
        <f t="array" ref="Q1104">_xlfn.IFS(
A1104="","",
AND(A1104&lt;&gt;"",B1104=""),"FALTA LANÇAMENTO",
AND(B1104&lt;&gt;"",M1104=""),"FALTA O PEDIDO",
AND(M1104&lt;&gt;"",O1104=""),"FALTA NF",
O1104&lt;&gt;"","CONCLUÍDO")</f>
        <v>CONCLUÍDO</v>
      </c>
      <c r="R1104" s="36"/>
    </row>
    <row r="1105" spans="1:18" hidden="1">
      <c r="A1105" s="16">
        <v>46105</v>
      </c>
      <c r="B1105" s="16">
        <v>46119</v>
      </c>
      <c r="C1105" s="21" t="s">
        <v>1134</v>
      </c>
      <c r="D1105" s="16" t="str">
        <f>IFERROR(VLOOKUP(Tabela5[[#This Row],[PREFIXO ]],Tabela4[#All],2,0),"CENTRO DE CUSTO")</f>
        <v>CENTRO DE CUSTO</v>
      </c>
      <c r="E1105" s="18" t="s">
        <v>156</v>
      </c>
      <c r="F1105" s="21">
        <v>1937</v>
      </c>
      <c r="G1105" s="22">
        <v>390</v>
      </c>
      <c r="H1105" s="22"/>
      <c r="I1105" s="22">
        <f t="shared" si="18"/>
        <v>390</v>
      </c>
      <c r="J1105" s="18" t="s">
        <v>1085</v>
      </c>
      <c r="K1105" s="18">
        <v>9822821</v>
      </c>
      <c r="L1105" s="18" t="s">
        <v>1095</v>
      </c>
      <c r="M1105" s="18" t="s">
        <v>1095</v>
      </c>
      <c r="N1105" s="16" t="s">
        <v>1095</v>
      </c>
      <c r="O1105" s="18" t="s">
        <v>1095</v>
      </c>
      <c r="P1105" s="18" t="s">
        <v>1095</v>
      </c>
      <c r="Q1105" s="29" t="str" cm="1">
        <f t="array" ref="Q1105">_xlfn.IFS(
A1105="","",
AND(A1105&lt;&gt;"",B1105=""),"FALTA LANÇAMENTO",
AND(B1105&lt;&gt;"",M1105=""),"FALTA O PEDIDO",
AND(M1105&lt;&gt;"",O1105=""),"FALTA NF",
O1105&lt;&gt;"","CONCLUÍDO")</f>
        <v>CONCLUÍDO</v>
      </c>
      <c r="R1105" s="36"/>
    </row>
    <row r="1106" spans="1:18" hidden="1">
      <c r="A1106" s="16">
        <v>46111</v>
      </c>
      <c r="B1106" s="16">
        <v>46121</v>
      </c>
      <c r="C1106" s="21">
        <v>11040021</v>
      </c>
      <c r="D1106" s="16" t="str">
        <f>IFERROR(VLOOKUP(Tabela5[[#This Row],[PREFIXO ]],Tabela4[#All],2,0),"CENTRO DE CUSTO")</f>
        <v>CAV MEC EXT PES SCANIA R500</v>
      </c>
      <c r="E1106" s="18" t="s">
        <v>29</v>
      </c>
      <c r="F1106" s="21">
        <v>54848</v>
      </c>
      <c r="G1106" s="22">
        <v>4638</v>
      </c>
      <c r="H1106" s="22">
        <v>7239.88</v>
      </c>
      <c r="I1106" s="22">
        <f t="shared" si="18"/>
        <v>11877.880000000001</v>
      </c>
      <c r="J1106" s="18" t="s">
        <v>1085</v>
      </c>
      <c r="K1106" s="18">
        <v>9814485</v>
      </c>
      <c r="L1106" s="18">
        <v>904397</v>
      </c>
      <c r="M1106" s="18" t="s">
        <v>2835</v>
      </c>
      <c r="N1106" s="16" t="s">
        <v>2507</v>
      </c>
      <c r="O1106" s="18" t="s">
        <v>2836</v>
      </c>
      <c r="P1106" s="18" t="s">
        <v>2659</v>
      </c>
      <c r="Q1106" s="29" t="str" cm="1">
        <f t="array" ref="Q1106">_xlfn.IFS(
A1106="","",
AND(A1106&lt;&gt;"",B1106=""),"FALTA LANÇAMENTO",
AND(B1106&lt;&gt;"",M1106=""),"FALTA O PEDIDO",
AND(M1106&lt;&gt;"",O1106=""),"FALTA NF",
O1106&lt;&gt;"","CONCLUÍDO")</f>
        <v>CONCLUÍDO</v>
      </c>
      <c r="R1106" s="36"/>
    </row>
    <row r="1107" spans="1:18" hidden="1">
      <c r="A1107" s="16">
        <v>46111</v>
      </c>
      <c r="B1107" s="16">
        <v>46121</v>
      </c>
      <c r="C1107" s="21">
        <v>11040016</v>
      </c>
      <c r="D1107" s="16" t="str">
        <f>IFERROR(VLOOKUP(Tabela5[[#This Row],[PREFIXO ]],Tabela4[#All],2,0),"CENTRO DE CUSTO")</f>
        <v>CAV MEC EXT PES SCANIA R500</v>
      </c>
      <c r="E1107" s="18" t="s">
        <v>29</v>
      </c>
      <c r="F1107" s="21">
        <v>55335</v>
      </c>
      <c r="G1107" s="22">
        <v>3327</v>
      </c>
      <c r="H1107" s="22">
        <v>5910.72</v>
      </c>
      <c r="I1107" s="22">
        <f t="shared" si="18"/>
        <v>9237.7200000000012</v>
      </c>
      <c r="J1107" s="18" t="s">
        <v>1085</v>
      </c>
      <c r="K1107" s="18">
        <v>9814471</v>
      </c>
      <c r="L1107" s="18">
        <v>904320</v>
      </c>
      <c r="M1107" s="18" t="s">
        <v>2837</v>
      </c>
      <c r="N1107" s="16" t="s">
        <v>2507</v>
      </c>
      <c r="O1107" s="18" t="s">
        <v>2838</v>
      </c>
      <c r="P1107" s="18" t="s">
        <v>2659</v>
      </c>
      <c r="Q1107" s="29" t="str" cm="1">
        <f t="array" ref="Q1107">_xlfn.IFS(
A1107="","",
AND(A1107&lt;&gt;"",B1107=""),"FALTA LANÇAMENTO",
AND(B1107&lt;&gt;"",M1107=""),"FALTA O PEDIDO",
AND(M1107&lt;&gt;"",O1107=""),"FALTA NF",
O1107&lt;&gt;"","CONCLUÍDO")</f>
        <v>CONCLUÍDO</v>
      </c>
      <c r="R1107" s="36"/>
    </row>
    <row r="1108" spans="1:18" hidden="1">
      <c r="A1108" s="16">
        <v>46111</v>
      </c>
      <c r="B1108" s="16">
        <v>46120</v>
      </c>
      <c r="C1108" s="21">
        <v>11040015</v>
      </c>
      <c r="D1108" s="16" t="str">
        <f>IFERROR(VLOOKUP(Tabela5[[#This Row],[PREFIXO ]],Tabela4[#All],2,0),"CENTRO DE CUSTO")</f>
        <v>CAV MEC EXT PES SCANIA R500</v>
      </c>
      <c r="E1108" s="18" t="s">
        <v>29</v>
      </c>
      <c r="F1108" s="21">
        <v>54821</v>
      </c>
      <c r="G1108" s="22">
        <v>1420</v>
      </c>
      <c r="H1108" s="22">
        <v>3761.96</v>
      </c>
      <c r="I1108" s="22">
        <f t="shared" si="18"/>
        <v>5181.96</v>
      </c>
      <c r="J1108" s="18" t="s">
        <v>1085</v>
      </c>
      <c r="K1108" s="18">
        <v>9814477</v>
      </c>
      <c r="L1108" s="18">
        <v>904297</v>
      </c>
      <c r="M1108" s="18" t="s">
        <v>2839</v>
      </c>
      <c r="N1108" s="16" t="s">
        <v>2507</v>
      </c>
      <c r="O1108" s="18" t="s">
        <v>2840</v>
      </c>
      <c r="P1108" s="18" t="s">
        <v>2659</v>
      </c>
      <c r="Q1108" s="29" t="str" cm="1">
        <f t="array" ref="Q1108">_xlfn.IFS(
A1108="","",
AND(A1108&lt;&gt;"",B1108=""),"FALTA LANÇAMENTO",
AND(B1108&lt;&gt;"",M1108=""),"FALTA O PEDIDO",
AND(M1108&lt;&gt;"",O1108=""),"FALTA NF",
O1108&lt;&gt;"","CONCLUÍDO")</f>
        <v>CONCLUÍDO</v>
      </c>
      <c r="R1108" s="36"/>
    </row>
    <row r="1109" spans="1:18" hidden="1">
      <c r="A1109" s="16">
        <v>46111</v>
      </c>
      <c r="B1109" s="16">
        <v>46120</v>
      </c>
      <c r="C1109" s="21">
        <v>61521012</v>
      </c>
      <c r="D1109" s="16" t="str">
        <f>IFERROR(VLOOKUP(Tabela5[[#This Row],[PREFIXO ]],Tabela4[#All],2,0),"CENTRO DE CUSTO")</f>
        <v>CAM COMBOIO MERC BENZ ATRON 2729</v>
      </c>
      <c r="E1109" s="18" t="s">
        <v>29</v>
      </c>
      <c r="F1109" s="21">
        <v>55322</v>
      </c>
      <c r="G1109" s="22">
        <v>80</v>
      </c>
      <c r="H1109" s="22">
        <v>1494.5</v>
      </c>
      <c r="I1109" s="22">
        <f t="shared" si="18"/>
        <v>1574.5</v>
      </c>
      <c r="J1109" s="18" t="s">
        <v>1085</v>
      </c>
      <c r="K1109" s="18">
        <v>9814473</v>
      </c>
      <c r="L1109" s="18">
        <v>904261</v>
      </c>
      <c r="M1109" s="18" t="s">
        <v>2841</v>
      </c>
      <c r="N1109" s="16" t="s">
        <v>2507</v>
      </c>
      <c r="O1109" s="18" t="s">
        <v>2842</v>
      </c>
      <c r="P1109" s="18" t="s">
        <v>2659</v>
      </c>
      <c r="Q1109" s="29" t="str" cm="1">
        <f t="array" ref="Q1109">_xlfn.IFS(
A1109="","",
AND(A1109&lt;&gt;"",B1109=""),"FALTA LANÇAMENTO",
AND(B1109&lt;&gt;"",M1109=""),"FALTA O PEDIDO",
AND(M1109&lt;&gt;"",O1109=""),"FALTA NF",
O1109&lt;&gt;"","CONCLUÍDO")</f>
        <v>CONCLUÍDO</v>
      </c>
      <c r="R1109" s="36"/>
    </row>
    <row r="1110" spans="1:18" hidden="1">
      <c r="A1110" s="16">
        <v>46111</v>
      </c>
      <c r="B1110" s="16">
        <v>46120</v>
      </c>
      <c r="C1110" s="21">
        <v>81521205</v>
      </c>
      <c r="D1110" s="16" t="str">
        <f>IFERROR(VLOOKUP(Tabela5[[#This Row],[PREFIXO ]],Tabela4[#All],2,0),"CENTRO DE CUSTO")</f>
        <v>SEMI REBOQUE PRANCHA FACCHINI SRCT 4E</v>
      </c>
      <c r="E1110" s="18" t="s">
        <v>29</v>
      </c>
      <c r="F1110" s="21">
        <v>54842</v>
      </c>
      <c r="G1110" s="22">
        <v>304</v>
      </c>
      <c r="H1110" s="22">
        <v>676.8</v>
      </c>
      <c r="I1110" s="22">
        <f t="shared" si="18"/>
        <v>980.8</v>
      </c>
      <c r="J1110" s="18" t="s">
        <v>1085</v>
      </c>
      <c r="K1110" s="18">
        <v>9814483</v>
      </c>
      <c r="L1110" s="18">
        <v>904230</v>
      </c>
      <c r="M1110" s="18" t="s">
        <v>2843</v>
      </c>
      <c r="N1110" s="16" t="s">
        <v>2507</v>
      </c>
      <c r="O1110" s="18" t="s">
        <v>2844</v>
      </c>
      <c r="P1110" s="18" t="s">
        <v>2659</v>
      </c>
      <c r="Q1110" s="29" t="str" cm="1">
        <f t="array" ref="Q1110">_xlfn.IFS(
A1110="","",
AND(A1110&lt;&gt;"",B1110=""),"FALTA LANÇAMENTO",
AND(B1110&lt;&gt;"",M1110=""),"FALTA O PEDIDO",
AND(M1110&lt;&gt;"",O1110=""),"FALTA NF",
O1110&lt;&gt;"","CONCLUÍDO")</f>
        <v>CONCLUÍDO</v>
      </c>
      <c r="R1110" s="36"/>
    </row>
    <row r="1111" spans="1:18" hidden="1">
      <c r="A1111" s="16">
        <v>46111</v>
      </c>
      <c r="B1111" s="16">
        <v>46120</v>
      </c>
      <c r="C1111" s="21">
        <v>8173364</v>
      </c>
      <c r="D1111" s="16" t="str">
        <f>IFERROR(VLOOKUP(Tabela5[[#This Row],[PREFIXO ]],Tabela4[#All],2,0),"CENTRO DE CUSTO")</f>
        <v>SEMI REBOQUE PRANCHA FACCHINI SRF CT</v>
      </c>
      <c r="E1111" s="18" t="s">
        <v>29</v>
      </c>
      <c r="F1111" s="21">
        <v>54838</v>
      </c>
      <c r="G1111" s="22">
        <v>160</v>
      </c>
      <c r="H1111" s="22">
        <v>37.6</v>
      </c>
      <c r="I1111" s="22">
        <f t="shared" si="18"/>
        <v>197.6</v>
      </c>
      <c r="J1111" s="18" t="s">
        <v>1085</v>
      </c>
      <c r="K1111" s="18">
        <v>9814481</v>
      </c>
      <c r="L1111" s="18">
        <v>904248</v>
      </c>
      <c r="M1111" s="18" t="s">
        <v>2845</v>
      </c>
      <c r="N1111" s="16" t="s">
        <v>2595</v>
      </c>
      <c r="O1111" s="18" t="s">
        <v>2846</v>
      </c>
      <c r="P1111" s="18" t="s">
        <v>2847</v>
      </c>
      <c r="Q1111" s="29" t="str" cm="1">
        <f t="array" ref="Q1111">_xlfn.IFS(
A1111="","",
AND(A1111&lt;&gt;"",B1111=""),"FALTA LANÇAMENTO",
AND(B1111&lt;&gt;"",M1111=""),"FALTA O PEDIDO",
AND(M1111&lt;&gt;"",O1111=""),"FALTA NF",
O1111&lt;&gt;"","CONCLUÍDO")</f>
        <v>CONCLUÍDO</v>
      </c>
      <c r="R1111" s="36"/>
    </row>
    <row r="1112" spans="1:18" hidden="1">
      <c r="A1112" s="16">
        <v>46111</v>
      </c>
      <c r="B1112" s="16">
        <v>46119</v>
      </c>
      <c r="C1112" s="21" t="s">
        <v>2848</v>
      </c>
      <c r="D1112" s="16" t="str">
        <f>IFERROR(VLOOKUP(Tabela5[[#This Row],[PREFIXO ]],Tabela4[#All],2,0),"CENTRO DE CUSTO")</f>
        <v>CENTRO DE CUSTO</v>
      </c>
      <c r="E1112" s="18" t="s">
        <v>39</v>
      </c>
      <c r="F1112" s="21" t="s">
        <v>1134</v>
      </c>
      <c r="G1112" s="22">
        <v>10510</v>
      </c>
      <c r="H1112" s="22"/>
      <c r="I1112" s="22">
        <f t="shared" si="18"/>
        <v>10510</v>
      </c>
      <c r="J1112" s="18" t="s">
        <v>1085</v>
      </c>
      <c r="K1112" s="18">
        <v>9822924</v>
      </c>
      <c r="L1112" s="18" t="s">
        <v>1095</v>
      </c>
      <c r="M1112" s="18" t="s">
        <v>1095</v>
      </c>
      <c r="N1112" s="16" t="s">
        <v>1095</v>
      </c>
      <c r="O1112" s="18" t="s">
        <v>1095</v>
      </c>
      <c r="P1112" s="18" t="s">
        <v>1095</v>
      </c>
      <c r="Q1112" s="29" t="str" cm="1">
        <f t="array" ref="Q1112">_xlfn.IFS(
A1112="","",
AND(A1112&lt;&gt;"",B1112=""),"FALTA LANÇAMENTO",
AND(B1112&lt;&gt;"",M1112=""),"FALTA O PEDIDO",
AND(M1112&lt;&gt;"",O1112=""),"FALTA NF",
O1112&lt;&gt;"","CONCLUÍDO")</f>
        <v>CONCLUÍDO</v>
      </c>
      <c r="R1112" s="36"/>
    </row>
    <row r="1113" spans="1:18" hidden="1">
      <c r="A1113" s="16">
        <v>46111</v>
      </c>
      <c r="B1113" s="16">
        <v>46119</v>
      </c>
      <c r="C1113" s="21" t="s">
        <v>1134</v>
      </c>
      <c r="D1113" s="16" t="str">
        <f>IFERROR(VLOOKUP(Tabela5[[#This Row],[PREFIXO ]],Tabela4[#All],2,0),"CENTRO DE CUSTO")</f>
        <v>CENTRO DE CUSTO</v>
      </c>
      <c r="E1113" s="18" t="s">
        <v>362</v>
      </c>
      <c r="F1113" s="21">
        <v>1</v>
      </c>
      <c r="G1113" s="22">
        <v>3200</v>
      </c>
      <c r="H1113" s="22"/>
      <c r="I1113" s="22">
        <f t="shared" si="18"/>
        <v>3200</v>
      </c>
      <c r="J1113" s="18" t="s">
        <v>1199</v>
      </c>
      <c r="K1113" s="18">
        <v>9814419</v>
      </c>
      <c r="L1113" s="18" t="s">
        <v>1095</v>
      </c>
      <c r="M1113" s="18" t="s">
        <v>1095</v>
      </c>
      <c r="N1113" s="16" t="s">
        <v>1095</v>
      </c>
      <c r="O1113" s="18" t="s">
        <v>1095</v>
      </c>
      <c r="P1113" s="18" t="s">
        <v>1095</v>
      </c>
      <c r="Q1113" s="29" t="str" cm="1">
        <f t="array" ref="Q1113">_xlfn.IFS(
A1113="","",
AND(A1113&lt;&gt;"",B1113=""),"FALTA LANÇAMENTO",
AND(B1113&lt;&gt;"",M1113=""),"FALTA O PEDIDO",
AND(M1113&lt;&gt;"",O1113=""),"FALTA NF",
O1113&lt;&gt;"","CONCLUÍDO")</f>
        <v>CONCLUÍDO</v>
      </c>
      <c r="R1113" s="36"/>
    </row>
    <row r="1114" spans="1:18" hidden="1">
      <c r="A1114" s="16">
        <v>46111</v>
      </c>
      <c r="B1114" s="16">
        <v>46147</v>
      </c>
      <c r="C1114" s="21">
        <v>500580100</v>
      </c>
      <c r="D1114" s="16" t="str">
        <f>IFERROR(VLOOKUP(Tabela5[[#This Row],[PREFIXO ]],Tabela4[#All],2,0),"CENTRO DE CUSTO")</f>
        <v>Autopropelidos</v>
      </c>
      <c r="E1114" s="18" t="s">
        <v>323</v>
      </c>
      <c r="F1114" s="21">
        <v>1</v>
      </c>
      <c r="G1114" s="22">
        <v>7600</v>
      </c>
      <c r="H1114" s="22"/>
      <c r="I1114" s="22">
        <f t="shared" si="18"/>
        <v>7600</v>
      </c>
      <c r="J1114" s="18" t="s">
        <v>1265</v>
      </c>
      <c r="K1114" s="18">
        <v>5020153</v>
      </c>
      <c r="L1114" s="18">
        <v>922195</v>
      </c>
      <c r="M1114" s="18" t="s">
        <v>2849</v>
      </c>
      <c r="N1114" s="16" t="s">
        <v>2676</v>
      </c>
      <c r="O1114" s="18" t="s">
        <v>2487</v>
      </c>
      <c r="P1114" s="18" t="s">
        <v>2677</v>
      </c>
      <c r="Q1114" s="29" t="str" cm="1">
        <f t="array" ref="Q1114">_xlfn.IFS(
A1114="","",
AND(A1114&lt;&gt;"",B1114=""),"FALTA LANÇAMENTO",
AND(B1114&lt;&gt;"",M1114=""),"FALTA O PEDIDO",
AND(M1114&lt;&gt;"",O1114=""),"FALTA NF",
O1114&lt;&gt;"","CONCLUÍDO")</f>
        <v>CONCLUÍDO</v>
      </c>
      <c r="R1114" s="36"/>
    </row>
    <row r="1115" spans="1:18" hidden="1">
      <c r="A1115" s="16">
        <v>46111</v>
      </c>
      <c r="B1115" s="16">
        <v>46120</v>
      </c>
      <c r="C1115" s="21">
        <v>16170022</v>
      </c>
      <c r="D1115" s="16" t="str">
        <f>IFERROR(VLOOKUP(Tabela5[[#This Row],[PREFIXO ]],Tabela4[#All],2,0),"CENTRO DE CUSTO")</f>
        <v>CENTRO DE CUSTO</v>
      </c>
      <c r="E1115" s="18" t="s">
        <v>62</v>
      </c>
      <c r="F1115" s="21">
        <v>1199</v>
      </c>
      <c r="G1115" s="22">
        <v>2150</v>
      </c>
      <c r="H1115" s="22">
        <v>13297</v>
      </c>
      <c r="I1115" s="22">
        <f t="shared" si="18"/>
        <v>15447</v>
      </c>
      <c r="J1115" s="18" t="s">
        <v>1199</v>
      </c>
      <c r="K1115" s="18">
        <v>9818007</v>
      </c>
      <c r="L1115" s="18">
        <v>903890</v>
      </c>
      <c r="M1115" s="18" t="s">
        <v>2850</v>
      </c>
      <c r="N1115" s="16" t="s">
        <v>2507</v>
      </c>
      <c r="O1115" s="18" t="s">
        <v>2851</v>
      </c>
      <c r="P1115" s="18" t="s">
        <v>2852</v>
      </c>
      <c r="Q1115" s="29" t="str" cm="1">
        <f t="array" ref="Q1115">_xlfn.IFS(
A1115="","",
AND(A1115&lt;&gt;"",B1115=""),"FALTA LANÇAMENTO",
AND(B1115&lt;&gt;"",M1115=""),"FALTA O PEDIDO",
AND(M1115&lt;&gt;"",O1115=""),"FALTA NF",
O1115&lt;&gt;"","CONCLUÍDO")</f>
        <v>CONCLUÍDO</v>
      </c>
      <c r="R1115" s="36"/>
    </row>
    <row r="1116" spans="1:18" hidden="1">
      <c r="A1116" s="16">
        <v>46111</v>
      </c>
      <c r="B1116" s="16">
        <v>46120</v>
      </c>
      <c r="C1116" s="21">
        <v>16170008</v>
      </c>
      <c r="D1116" s="16" t="str">
        <f>IFERROR(VLOOKUP(Tabela5[[#This Row],[PREFIXO ]],Tabela4[#All],2,0),"CENTRO DE CUSTO")</f>
        <v>SR TANQUE RODOTECNIC SRT TQ2 INOX</v>
      </c>
      <c r="E1116" s="18" t="s">
        <v>62</v>
      </c>
      <c r="F1116" s="21">
        <v>1172</v>
      </c>
      <c r="G1116" s="22">
        <v>14037.3</v>
      </c>
      <c r="H1116" s="22"/>
      <c r="I1116" s="22">
        <f t="shared" si="18"/>
        <v>14037.3</v>
      </c>
      <c r="J1116" s="18" t="s">
        <v>1085</v>
      </c>
      <c r="K1116" s="18">
        <v>9818004</v>
      </c>
      <c r="L1116" s="18">
        <v>903876</v>
      </c>
      <c r="M1116" s="18" t="s">
        <v>2853</v>
      </c>
      <c r="N1116" s="16" t="s">
        <v>2507</v>
      </c>
      <c r="O1116" s="18" t="s">
        <v>2854</v>
      </c>
      <c r="P1116" s="18" t="s">
        <v>2855</v>
      </c>
      <c r="Q1116" s="29" t="str" cm="1">
        <f t="array" ref="Q1116">_xlfn.IFS(
A1116="","",
AND(A1116&lt;&gt;"",B1116=""),"FALTA LANÇAMENTO",
AND(B1116&lt;&gt;"",M1116=""),"FALTA O PEDIDO",
AND(M1116&lt;&gt;"",O1116=""),"FALTA NF",
O1116&lt;&gt;"","CONCLUÍDO")</f>
        <v>CONCLUÍDO</v>
      </c>
      <c r="R1116" s="36"/>
    </row>
    <row r="1117" spans="1:18" hidden="1">
      <c r="A1117" s="16">
        <v>46111</v>
      </c>
      <c r="B1117" s="16">
        <v>46119</v>
      </c>
      <c r="C1117" s="21">
        <v>81521406</v>
      </c>
      <c r="D1117" s="16" t="str">
        <f>IFERROR(VLOOKUP(Tabela5[[#This Row],[PREFIXO ]],Tabela4[#All],2,0),"CENTRO DE CUSTO")</f>
        <v>SEMI REBOQUE TANQUE INOX RECRUSUL</v>
      </c>
      <c r="E1117" s="18" t="s">
        <v>62</v>
      </c>
      <c r="F1117" s="21">
        <v>1189</v>
      </c>
      <c r="G1117" s="22">
        <v>7540</v>
      </c>
      <c r="H1117" s="22"/>
      <c r="I1117" s="22">
        <f t="shared" si="18"/>
        <v>7540</v>
      </c>
      <c r="J1117" s="18" t="s">
        <v>1199</v>
      </c>
      <c r="K1117" s="18">
        <v>9818006</v>
      </c>
      <c r="L1117" s="18">
        <v>903205</v>
      </c>
      <c r="M1117" s="18" t="s">
        <v>2856</v>
      </c>
      <c r="N1117" s="16" t="s">
        <v>2595</v>
      </c>
      <c r="O1117" s="18" t="s">
        <v>2857</v>
      </c>
      <c r="P1117" s="18" t="s">
        <v>2507</v>
      </c>
      <c r="Q1117" s="29" t="str" cm="1">
        <f t="array" ref="Q1117">_xlfn.IFS(
A1117="","",
AND(A1117&lt;&gt;"",B1117=""),"FALTA LANÇAMENTO",
AND(B1117&lt;&gt;"",M1117=""),"FALTA O PEDIDO",
AND(M1117&lt;&gt;"",O1117=""),"FALTA NF",
O1117&lt;&gt;"","CONCLUÍDO")</f>
        <v>CONCLUÍDO</v>
      </c>
      <c r="R1117" s="36"/>
    </row>
    <row r="1118" spans="1:18" hidden="1">
      <c r="A1118" s="16">
        <v>46111</v>
      </c>
      <c r="B1118" s="16">
        <v>46119</v>
      </c>
      <c r="C1118" s="21">
        <v>81521193</v>
      </c>
      <c r="D1118" s="16" t="str">
        <f>IFERROR(VLOOKUP(Tabela5[[#This Row],[PREFIXO ]],Tabela4[#All],2,0),"CENTRO DE CUSTO")</f>
        <v>TERRACEADOR ECO AGRICOLA ELEVA 42</v>
      </c>
      <c r="E1118" s="18" t="s">
        <v>62</v>
      </c>
      <c r="F1118" s="21">
        <v>1202</v>
      </c>
      <c r="G1118" s="22">
        <v>6612</v>
      </c>
      <c r="H1118" s="22"/>
      <c r="I1118" s="22">
        <f t="shared" si="18"/>
        <v>6612</v>
      </c>
      <c r="J1118" s="18" t="s">
        <v>1199</v>
      </c>
      <c r="K1118" s="18">
        <v>9818010</v>
      </c>
      <c r="L1118" s="18">
        <v>903368</v>
      </c>
      <c r="M1118" s="18" t="s">
        <v>2858</v>
      </c>
      <c r="N1118" s="16" t="s">
        <v>2595</v>
      </c>
      <c r="O1118" s="18" t="s">
        <v>1975</v>
      </c>
      <c r="P1118" s="18" t="s">
        <v>2585</v>
      </c>
      <c r="Q1118" s="29" t="str" cm="1">
        <f t="array" ref="Q1118">_xlfn.IFS(
A1118="","",
AND(A1118&lt;&gt;"",B1118=""),"FALTA LANÇAMENTO",
AND(B1118&lt;&gt;"",M1118=""),"FALTA O PEDIDO",
AND(M1118&lt;&gt;"",O1118=""),"FALTA NF",
O1118&lt;&gt;"","CONCLUÍDO")</f>
        <v>CONCLUÍDO</v>
      </c>
      <c r="R1118" s="36"/>
    </row>
    <row r="1119" spans="1:18" hidden="1">
      <c r="A1119" s="16">
        <v>46111</v>
      </c>
      <c r="B1119" s="16">
        <v>46121</v>
      </c>
      <c r="C1119" s="21">
        <v>500580090</v>
      </c>
      <c r="D1119" s="16" t="str">
        <f>IFERROR(VLOOKUP(Tabela5[[#This Row],[PREFIXO ]],Tabela4[#All],2,0),"CENTRO DE CUSTO")</f>
        <v>Plantadeiras</v>
      </c>
      <c r="E1119" s="18" t="s">
        <v>62</v>
      </c>
      <c r="F1119" s="21">
        <v>488</v>
      </c>
      <c r="G1119" s="22">
        <v>5429</v>
      </c>
      <c r="H1119" s="22"/>
      <c r="I1119" s="22">
        <f t="shared" si="18"/>
        <v>5429</v>
      </c>
      <c r="J1119" s="18" t="s">
        <v>1085</v>
      </c>
      <c r="K1119" s="18">
        <v>5020333</v>
      </c>
      <c r="L1119" s="18" t="s">
        <v>1095</v>
      </c>
      <c r="M1119" s="18" t="s">
        <v>1095</v>
      </c>
      <c r="N1119" s="16" t="s">
        <v>1095</v>
      </c>
      <c r="O1119" s="18" t="s">
        <v>1095</v>
      </c>
      <c r="P1119" s="18" t="s">
        <v>1095</v>
      </c>
      <c r="Q1119" s="29" t="str" cm="1">
        <f t="array" ref="Q1119">_xlfn.IFS(
A1119="","",
AND(A1119&lt;&gt;"",B1119=""),"FALTA LANÇAMENTO",
AND(B1119&lt;&gt;"",M1119=""),"FALTA O PEDIDO",
AND(M1119&lt;&gt;"",O1119=""),"FALTA NF",
O1119&lt;&gt;"","CONCLUÍDO")</f>
        <v>CONCLUÍDO</v>
      </c>
      <c r="R1119" s="36"/>
    </row>
    <row r="1120" spans="1:18" hidden="1">
      <c r="A1120" s="16">
        <v>46111</v>
      </c>
      <c r="B1120" s="16">
        <v>46119</v>
      </c>
      <c r="C1120" s="21">
        <v>81521406</v>
      </c>
      <c r="D1120" s="16" t="str">
        <f>IFERROR(VLOOKUP(Tabela5[[#This Row],[PREFIXO ]],Tabela4[#All],2,0),"CENTRO DE CUSTO")</f>
        <v>SEMI REBOQUE TANQUE INOX RECRUSUL</v>
      </c>
      <c r="E1120" s="18" t="s">
        <v>62</v>
      </c>
      <c r="F1120" s="21">
        <v>1198</v>
      </c>
      <c r="G1120" s="22">
        <v>4650</v>
      </c>
      <c r="H1120" s="22"/>
      <c r="I1120" s="22">
        <f t="shared" si="18"/>
        <v>4650</v>
      </c>
      <c r="J1120" s="18" t="s">
        <v>1199</v>
      </c>
      <c r="K1120" s="18">
        <v>9818009</v>
      </c>
      <c r="L1120" s="18">
        <v>903352</v>
      </c>
      <c r="M1120" s="18" t="s">
        <v>2859</v>
      </c>
      <c r="N1120" s="16" t="s">
        <v>2595</v>
      </c>
      <c r="O1120" s="18" t="s">
        <v>2860</v>
      </c>
      <c r="P1120" s="18" t="s">
        <v>2507</v>
      </c>
      <c r="Q1120" s="29" t="str" cm="1">
        <f t="array" ref="Q1120">_xlfn.IFS(
A1120="","",
AND(A1120&lt;&gt;"",B1120=""),"FALTA LANÇAMENTO",
AND(B1120&lt;&gt;"",M1120=""),"FALTA O PEDIDO",
AND(M1120&lt;&gt;"",O1120=""),"FALTA NF",
O1120&lt;&gt;"","CONCLUÍDO")</f>
        <v>CONCLUÍDO</v>
      </c>
      <c r="R1120" s="36"/>
    </row>
    <row r="1121" spans="1:18" hidden="1">
      <c r="A1121" s="16">
        <v>46111</v>
      </c>
      <c r="B1121" s="16">
        <v>46119</v>
      </c>
      <c r="C1121" s="21">
        <v>8157072</v>
      </c>
      <c r="D1121" s="16" t="str">
        <f>IFERROR(VLOOKUP(Tabela5[[#This Row],[PREFIXO ]],Tabela4[#All],2,0),"CENTRO DE CUSTO")</f>
        <v>GRADE ARADORA ECO GSP 22X32"</v>
      </c>
      <c r="E1121" s="18" t="s">
        <v>62</v>
      </c>
      <c r="F1121" s="21">
        <v>1201</v>
      </c>
      <c r="G1121" s="22">
        <v>4427</v>
      </c>
      <c r="H1121" s="22"/>
      <c r="I1121" s="22">
        <f t="shared" si="18"/>
        <v>4427</v>
      </c>
      <c r="J1121" s="18" t="s">
        <v>1199</v>
      </c>
      <c r="K1121" s="18">
        <v>9818005</v>
      </c>
      <c r="L1121" s="18">
        <v>903186</v>
      </c>
      <c r="M1121" s="18" t="s">
        <v>2861</v>
      </c>
      <c r="N1121" s="16" t="s">
        <v>2540</v>
      </c>
      <c r="O1121" s="18" t="s">
        <v>2862</v>
      </c>
      <c r="P1121" s="18" t="s">
        <v>2595</v>
      </c>
      <c r="Q1121" s="29" t="str" cm="1">
        <f t="array" ref="Q1121">_xlfn.IFS(
A1121="","",
AND(A1121&lt;&gt;"",B1121=""),"FALTA LANÇAMENTO",
AND(B1121&lt;&gt;"",M1121=""),"FALTA O PEDIDO",
AND(M1121&lt;&gt;"",O1121=""),"FALTA NF",
O1121&lt;&gt;"","CONCLUÍDO")</f>
        <v>CONCLUÍDO</v>
      </c>
      <c r="R1121" s="36"/>
    </row>
    <row r="1122" spans="1:18" hidden="1">
      <c r="A1122" s="16">
        <v>46111</v>
      </c>
      <c r="B1122" s="16">
        <v>46119</v>
      </c>
      <c r="C1122" s="21">
        <v>81521315</v>
      </c>
      <c r="D1122" s="16" t="str">
        <f>IFERROR(VLOOKUP(Tabela5[[#This Row],[PREFIXO ]],Tabela4[#All],2,0),"CENTRO DE CUSTO")</f>
        <v>PLANT GRÃOS JOHN DEERE DB90 ME 60 LINHAS</v>
      </c>
      <c r="E1122" s="18" t="s">
        <v>62</v>
      </c>
      <c r="F1122" s="21">
        <v>1200</v>
      </c>
      <c r="G1122" s="22">
        <v>2030</v>
      </c>
      <c r="H1122" s="22"/>
      <c r="I1122" s="22">
        <f t="shared" si="18"/>
        <v>2030</v>
      </c>
      <c r="J1122" s="18" t="s">
        <v>1199</v>
      </c>
      <c r="K1122" s="18">
        <v>9818008</v>
      </c>
      <c r="L1122" s="18">
        <v>903328</v>
      </c>
      <c r="M1122" s="18" t="s">
        <v>2863</v>
      </c>
      <c r="N1122" s="16" t="s">
        <v>2595</v>
      </c>
      <c r="O1122" s="18" t="s">
        <v>2864</v>
      </c>
      <c r="P1122" s="18" t="s">
        <v>2595</v>
      </c>
      <c r="Q1122" s="29" t="str" cm="1">
        <f t="array" ref="Q1122">_xlfn.IFS(
A1122="","",
AND(A1122&lt;&gt;"",B1122=""),"FALTA LANÇAMENTO",
AND(B1122&lt;&gt;"",M1122=""),"FALTA O PEDIDO",
AND(M1122&lt;&gt;"",O1122=""),"FALTA NF",
O1122&lt;&gt;"","CONCLUÍDO")</f>
        <v>CONCLUÍDO</v>
      </c>
      <c r="R1122" s="36"/>
    </row>
    <row r="1123" spans="1:18" hidden="1">
      <c r="A1123" s="16">
        <v>46111</v>
      </c>
      <c r="B1123" s="16">
        <v>46125</v>
      </c>
      <c r="C1123" s="21">
        <v>500580349</v>
      </c>
      <c r="D1123" s="16" t="str">
        <f>IFERROR(VLOOKUP(Tabela5[[#This Row],[PREFIXO ]],Tabela4[#All],2,0),"CENTRO DE CUSTO")</f>
        <v>ADUBADORES AUTOPROPE</v>
      </c>
      <c r="E1123" s="18" t="s">
        <v>66</v>
      </c>
      <c r="F1123" s="21">
        <v>67832</v>
      </c>
      <c r="G1123" s="22"/>
      <c r="H1123" s="22">
        <v>13278.67</v>
      </c>
      <c r="I1123" s="22">
        <f t="shared" si="18"/>
        <v>13278.67</v>
      </c>
      <c r="J1123" s="18" t="s">
        <v>1265</v>
      </c>
      <c r="K1123" s="18" t="s">
        <v>1095</v>
      </c>
      <c r="L1123" s="18" t="s">
        <v>1095</v>
      </c>
      <c r="M1123" s="18" t="s">
        <v>1095</v>
      </c>
      <c r="N1123" s="16" t="s">
        <v>1095</v>
      </c>
      <c r="O1123" s="18" t="s">
        <v>1095</v>
      </c>
      <c r="P1123" s="18" t="s">
        <v>1095</v>
      </c>
      <c r="Q1123" s="29" t="str" cm="1">
        <f t="array" ref="Q1123">_xlfn.IFS(
A1123="","",
AND(A1123&lt;&gt;"",B1123=""),"FALTA LANÇAMENTO",
AND(B1123&lt;&gt;"",M1123=""),"FALTA O PEDIDO",
AND(M1123&lt;&gt;"",O1123=""),"FALTA NF",
O1123&lt;&gt;"","CONCLUÍDO")</f>
        <v>CONCLUÍDO</v>
      </c>
      <c r="R1123" s="36"/>
    </row>
    <row r="1124" spans="1:18" hidden="1">
      <c r="A1124" s="16">
        <v>46111</v>
      </c>
      <c r="B1124" s="16">
        <v>46133</v>
      </c>
      <c r="C1124" s="21" t="s">
        <v>1134</v>
      </c>
      <c r="D1124" s="16" t="str">
        <f>IFERROR(VLOOKUP(Tabela5[[#This Row],[PREFIXO ]],Tabela4[#All],2,0),"CENTRO DE CUSTO")</f>
        <v>CENTRO DE CUSTO</v>
      </c>
      <c r="E1124" s="18" t="s">
        <v>66</v>
      </c>
      <c r="F1124" s="21">
        <v>67884</v>
      </c>
      <c r="G1124" s="22"/>
      <c r="H1124" s="22">
        <v>12027.93</v>
      </c>
      <c r="I1124" s="22">
        <f t="shared" si="18"/>
        <v>12027.93</v>
      </c>
      <c r="J1124" s="18" t="s">
        <v>1265</v>
      </c>
      <c r="K1124" s="18">
        <v>9835141</v>
      </c>
      <c r="L1124" s="18">
        <v>913981</v>
      </c>
      <c r="M1124" s="18" t="s">
        <v>2865</v>
      </c>
      <c r="N1124" s="16" t="s">
        <v>2866</v>
      </c>
      <c r="O1124" s="18" t="s">
        <v>2867</v>
      </c>
      <c r="P1124" s="18" t="s">
        <v>2868</v>
      </c>
      <c r="Q1124" s="29" t="str" cm="1">
        <f t="array" ref="Q1124">_xlfn.IFS(
A1124="","",
AND(A1124&lt;&gt;"",B1124=""),"FALTA LANÇAMENTO",
AND(B1124&lt;&gt;"",M1124=""),"FALTA O PEDIDO",
AND(M1124&lt;&gt;"",O1124=""),"FALTA NF",
O1124&lt;&gt;"","CONCLUÍDO")</f>
        <v>CONCLUÍDO</v>
      </c>
      <c r="R1124" s="36"/>
    </row>
    <row r="1125" spans="1:18" hidden="1">
      <c r="A1125" s="16">
        <v>46111</v>
      </c>
      <c r="B1125" s="16">
        <v>46119</v>
      </c>
      <c r="C1125" s="21" t="s">
        <v>2869</v>
      </c>
      <c r="D1125" s="16" t="str">
        <f>IFERROR(VLOOKUP(Tabela5[[#This Row],[PREFIXO ]],Tabela4[#All],2,0),"CENTRO DE CUSTO")</f>
        <v>CENTRO DE CUSTO</v>
      </c>
      <c r="E1125" s="18" t="s">
        <v>66</v>
      </c>
      <c r="F1125" s="21">
        <v>9372</v>
      </c>
      <c r="G1125" s="22">
        <v>4758</v>
      </c>
      <c r="H1125" s="22"/>
      <c r="I1125" s="22">
        <f t="shared" si="18"/>
        <v>4758</v>
      </c>
      <c r="J1125" s="18" t="s">
        <v>1265</v>
      </c>
      <c r="K1125" s="18" t="s">
        <v>2870</v>
      </c>
      <c r="L1125" s="18">
        <v>902859</v>
      </c>
      <c r="M1125" s="18" t="s">
        <v>2871</v>
      </c>
      <c r="N1125" s="16" t="s">
        <v>2540</v>
      </c>
      <c r="O1125" s="18" t="s">
        <v>2872</v>
      </c>
      <c r="P1125" s="18" t="s">
        <v>2873</v>
      </c>
      <c r="Q1125" s="29" t="str" cm="1">
        <f t="array" ref="Q1125">_xlfn.IFS(
A1125="","",
AND(A1125&lt;&gt;"",B1125=""),"FALTA LANÇAMENTO",
AND(B1125&lt;&gt;"",M1125=""),"FALTA O PEDIDO",
AND(M1125&lt;&gt;"",O1125=""),"FALTA NF",
O1125&lt;&gt;"","CONCLUÍDO")</f>
        <v>CONCLUÍDO</v>
      </c>
      <c r="R1125" s="36"/>
    </row>
    <row r="1126" spans="1:18" hidden="1">
      <c r="A1126" s="16">
        <v>46111</v>
      </c>
      <c r="B1126" s="16">
        <v>46119</v>
      </c>
      <c r="C1126" s="21">
        <v>13150024</v>
      </c>
      <c r="D1126" s="16" t="str">
        <f>IFERROR(VLOOKUP(Tabela5[[#This Row],[PREFIXO ]],Tabela4[#All],2,0),"CENTRO DE CUSTO")</f>
        <v>CENTRO DE CUSTO</v>
      </c>
      <c r="E1126" s="18" t="s">
        <v>66</v>
      </c>
      <c r="F1126" s="21">
        <v>9373</v>
      </c>
      <c r="G1126" s="22">
        <v>2758.4</v>
      </c>
      <c r="H1126" s="22"/>
      <c r="I1126" s="22">
        <f t="shared" si="18"/>
        <v>2758.4</v>
      </c>
      <c r="J1126" s="18" t="s">
        <v>1265</v>
      </c>
      <c r="K1126" s="18">
        <v>9818181</v>
      </c>
      <c r="L1126" s="18">
        <v>902830</v>
      </c>
      <c r="M1126" s="18" t="s">
        <v>2874</v>
      </c>
      <c r="N1126" s="16" t="s">
        <v>2540</v>
      </c>
      <c r="O1126" s="18" t="s">
        <v>2875</v>
      </c>
      <c r="P1126" s="18" t="s">
        <v>2597</v>
      </c>
      <c r="Q1126" s="29" t="str" cm="1">
        <f t="array" ref="Q1126">_xlfn.IFS(
A1126="","",
AND(A1126&lt;&gt;"",B1126=""),"FALTA LANÇAMENTO",
AND(B1126&lt;&gt;"",M1126=""),"FALTA O PEDIDO",
AND(M1126&lt;&gt;"",O1126=""),"FALTA NF",
O1126&lt;&gt;"","CONCLUÍDO")</f>
        <v>CONCLUÍDO</v>
      </c>
      <c r="R1126" s="36"/>
    </row>
    <row r="1127" spans="1:18" hidden="1">
      <c r="A1127" s="16">
        <v>46111</v>
      </c>
      <c r="B1127" s="16">
        <v>46119</v>
      </c>
      <c r="C1127" s="21">
        <v>13150021</v>
      </c>
      <c r="D1127" s="16" t="str">
        <f>IFERROR(VLOOKUP(Tabela5[[#This Row],[PREFIXO ]],Tabela4[#All],2,0),"CENTRO DE CUSTO")</f>
        <v>CENTRO DE CUSTO</v>
      </c>
      <c r="E1127" s="18" t="s">
        <v>66</v>
      </c>
      <c r="F1127" s="21">
        <v>9393</v>
      </c>
      <c r="G1127" s="22">
        <v>2758.4</v>
      </c>
      <c r="H1127" s="22"/>
      <c r="I1127" s="22">
        <f t="shared" si="18"/>
        <v>2758.4</v>
      </c>
      <c r="J1127" s="18" t="s">
        <v>1265</v>
      </c>
      <c r="K1127" s="18">
        <v>9818186</v>
      </c>
      <c r="L1127" s="18">
        <v>902830</v>
      </c>
      <c r="M1127" s="18" t="s">
        <v>2874</v>
      </c>
      <c r="N1127" s="16" t="s">
        <v>2540</v>
      </c>
      <c r="O1127" s="18" t="s">
        <v>2875</v>
      </c>
      <c r="P1127" s="18" t="s">
        <v>2597</v>
      </c>
      <c r="Q1127" s="29" t="str" cm="1">
        <f t="array" ref="Q1127">_xlfn.IFS(
A1127="","",
AND(A1127&lt;&gt;"",B1127=""),"FALTA LANÇAMENTO",
AND(B1127&lt;&gt;"",M1127=""),"FALTA O PEDIDO",
AND(M1127&lt;&gt;"",O1127=""),"FALTA NF",
O1127&lt;&gt;"","CONCLUÍDO")</f>
        <v>CONCLUÍDO</v>
      </c>
      <c r="R1127" s="36"/>
    </row>
    <row r="1128" spans="1:18" hidden="1">
      <c r="A1128" s="16">
        <v>46111</v>
      </c>
      <c r="B1128" s="16">
        <v>46133</v>
      </c>
      <c r="C1128" s="21">
        <v>13150004</v>
      </c>
      <c r="D1128" s="16" t="str">
        <f>IFERROR(VLOOKUP(Tabela5[[#This Row],[PREFIXO ]],Tabela4[#All],2,0),"CENTRO DE CUSTO")</f>
        <v>ADUB AUTOPROP JACTO UNIPORT 8030NPK</v>
      </c>
      <c r="E1128" s="18" t="s">
        <v>66</v>
      </c>
      <c r="F1128" s="21">
        <v>9417</v>
      </c>
      <c r="G1128" s="22">
        <v>400</v>
      </c>
      <c r="H1128" s="22"/>
      <c r="I1128" s="22">
        <f t="shared" si="18"/>
        <v>400</v>
      </c>
      <c r="J1128" s="18" t="s">
        <v>1265</v>
      </c>
      <c r="K1128" s="18">
        <v>9835141</v>
      </c>
      <c r="L1128" s="18">
        <v>913981</v>
      </c>
      <c r="M1128" s="18" t="s">
        <v>2865</v>
      </c>
      <c r="N1128" s="16" t="s">
        <v>2866</v>
      </c>
      <c r="O1128" s="18" t="s">
        <v>2867</v>
      </c>
      <c r="P1128" s="18" t="s">
        <v>2868</v>
      </c>
      <c r="Q1128" s="29" t="str" cm="1">
        <f t="array" ref="Q1128">_xlfn.IFS(
A1128="","",
AND(A1128&lt;&gt;"",B1128=""),"FALTA LANÇAMENTO",
AND(B1128&lt;&gt;"",M1128=""),"FALTA O PEDIDO",
AND(M1128&lt;&gt;"",O1128=""),"FALTA NF",
O1128&lt;&gt;"","CONCLUÍDO")</f>
        <v>CONCLUÍDO</v>
      </c>
      <c r="R1128" s="36"/>
    </row>
    <row r="1129" spans="1:18" hidden="1">
      <c r="A1129" s="16">
        <v>46111</v>
      </c>
      <c r="B1129" s="16">
        <v>46127</v>
      </c>
      <c r="C1129" s="21">
        <v>35009001</v>
      </c>
      <c r="D1129" s="16" t="str">
        <f>IFERROR(VLOOKUP(Tabela5[[#This Row],[PREFIXO ]],Tabela4[#All],2,0),"CENTRO DE CUSTO")</f>
        <v>PULV AUTOPROP JACTO UNIPORT 3030</v>
      </c>
      <c r="E1129" s="18" t="s">
        <v>173</v>
      </c>
      <c r="F1129" s="21">
        <v>639</v>
      </c>
      <c r="G1129" s="22">
        <v>2000</v>
      </c>
      <c r="H1129" s="22">
        <v>7350.26</v>
      </c>
      <c r="I1129" s="22">
        <f t="shared" si="18"/>
        <v>9350.26</v>
      </c>
      <c r="J1129" s="18" t="s">
        <v>1265</v>
      </c>
      <c r="K1129" s="18">
        <v>9814489</v>
      </c>
      <c r="L1129" s="18">
        <v>910212</v>
      </c>
      <c r="M1129" s="18" t="s">
        <v>2876</v>
      </c>
      <c r="N1129" s="16" t="s">
        <v>2590</v>
      </c>
      <c r="O1129" s="18" t="s">
        <v>2877</v>
      </c>
      <c r="P1129" s="18" t="s">
        <v>2878</v>
      </c>
      <c r="Q1129" s="29" t="str" cm="1">
        <f t="array" ref="Q1129">_xlfn.IFS(
A1129="","",
AND(A1129&lt;&gt;"",B1129=""),"FALTA LANÇAMENTO",
AND(B1129&lt;&gt;"",M1129=""),"FALTA O PEDIDO",
AND(M1129&lt;&gt;"",O1129=""),"FALTA NF",
O1129&lt;&gt;"","CONCLUÍDO")</f>
        <v>CONCLUÍDO</v>
      </c>
      <c r="R1129" s="36"/>
    </row>
    <row r="1130" spans="1:18" hidden="1">
      <c r="A1130" s="16">
        <v>46111</v>
      </c>
      <c r="B1130" s="16">
        <v>46119</v>
      </c>
      <c r="C1130" s="21">
        <v>1501410</v>
      </c>
      <c r="D1130" s="16" t="str">
        <f>IFERROR(VLOOKUP(Tabela5[[#This Row],[PREFIXO ]],Tabela4[#All],2,0),"CENTRO DE CUSTO")</f>
        <v>CENTRO DE CUSTO</v>
      </c>
      <c r="E1130" s="18" t="s">
        <v>359</v>
      </c>
      <c r="F1130" s="21" t="s">
        <v>2879</v>
      </c>
      <c r="G1130" s="22">
        <v>20475</v>
      </c>
      <c r="H1130" s="22"/>
      <c r="I1130" s="22">
        <f t="shared" si="18"/>
        <v>20475</v>
      </c>
      <c r="J1130" s="18" t="s">
        <v>1199</v>
      </c>
      <c r="K1130" s="18">
        <v>9814046</v>
      </c>
      <c r="L1130" s="18">
        <v>902854</v>
      </c>
      <c r="M1130" s="18" t="s">
        <v>2880</v>
      </c>
      <c r="N1130" s="16" t="s">
        <v>2540</v>
      </c>
      <c r="O1130" s="18" t="s">
        <v>1777</v>
      </c>
      <c r="P1130" s="18" t="s">
        <v>2595</v>
      </c>
      <c r="Q1130" s="29" t="str" cm="1">
        <f t="array" ref="Q1130">_xlfn.IFS(
A1130="","",
AND(A1130&lt;&gt;"",B1130=""),"FALTA LANÇAMENTO",
AND(B1130&lt;&gt;"",M1130=""),"FALTA O PEDIDO",
AND(M1130&lt;&gt;"",O1130=""),"FALTA NF",
O1130&lt;&gt;"","CONCLUÍDO")</f>
        <v>CONCLUÍDO</v>
      </c>
      <c r="R1130" s="36"/>
    </row>
    <row r="1131" spans="1:18" hidden="1">
      <c r="A1131" s="16">
        <v>46111</v>
      </c>
      <c r="B1131" s="16">
        <v>46114</v>
      </c>
      <c r="C1131" s="21">
        <v>11521002</v>
      </c>
      <c r="D1131" s="16" t="str">
        <f>IFERROR(VLOOKUP(Tabela5[[#This Row],[PREFIXO ]],Tabela4[#All],2,0),"CENTRO DE CUSTO")</f>
        <v>TRAT PN EXT PES CASE STEIGER 620</v>
      </c>
      <c r="E1131" s="18" t="s">
        <v>359</v>
      </c>
      <c r="F1131" s="21" t="s">
        <v>1455</v>
      </c>
      <c r="G1131" s="22">
        <v>18912.5</v>
      </c>
      <c r="H1131" s="22"/>
      <c r="I1131" s="22">
        <f t="shared" si="18"/>
        <v>18912.5</v>
      </c>
      <c r="J1131" s="18" t="s">
        <v>1199</v>
      </c>
      <c r="K1131" s="18">
        <v>9814058</v>
      </c>
      <c r="L1131" s="18">
        <v>901042</v>
      </c>
      <c r="M1131" s="18" t="s">
        <v>2881</v>
      </c>
      <c r="N1131" s="16" t="s">
        <v>2538</v>
      </c>
      <c r="O1131" s="18" t="s">
        <v>1119</v>
      </c>
      <c r="P1131" s="18" t="s">
        <v>2305</v>
      </c>
      <c r="Q1131" s="29" t="str" cm="1">
        <f t="array" ref="Q1131">_xlfn.IFS(
A1131="","",
AND(A1131&lt;&gt;"",B1131=""),"FALTA LANÇAMENTO",
AND(B1131&lt;&gt;"",M1131=""),"FALTA O PEDIDO",
AND(M1131&lt;&gt;"",O1131=""),"FALTA NF",
O1131&lt;&gt;"","CONCLUÍDO")</f>
        <v>CONCLUÍDO</v>
      </c>
      <c r="R1131" s="36"/>
    </row>
    <row r="1132" spans="1:18" hidden="1">
      <c r="A1132" s="16">
        <v>46111</v>
      </c>
      <c r="B1132" s="16">
        <v>46114</v>
      </c>
      <c r="C1132" s="21">
        <v>11521037</v>
      </c>
      <c r="D1132" s="16" t="str">
        <f>IFERROR(VLOOKUP(Tabela5[[#This Row],[PREFIXO ]],Tabela4[#All],2,0),"CENTRO DE CUSTO")</f>
        <v>TRAT PN EXT PES N.HOLLAND T9.600</v>
      </c>
      <c r="E1132" s="18" t="s">
        <v>359</v>
      </c>
      <c r="F1132" s="21" t="s">
        <v>2882</v>
      </c>
      <c r="G1132" s="22">
        <v>18912.5</v>
      </c>
      <c r="H1132" s="22"/>
      <c r="I1132" s="22">
        <f t="shared" si="18"/>
        <v>18912.5</v>
      </c>
      <c r="J1132" s="18" t="s">
        <v>1199</v>
      </c>
      <c r="K1132" s="18">
        <v>9814053</v>
      </c>
      <c r="L1132" s="18">
        <v>901055</v>
      </c>
      <c r="M1132" s="18" t="s">
        <v>2883</v>
      </c>
      <c r="N1132" s="16" t="s">
        <v>2305</v>
      </c>
      <c r="O1132" s="18" t="s">
        <v>1536</v>
      </c>
      <c r="P1132" s="18" t="s">
        <v>2540</v>
      </c>
      <c r="Q1132" s="29" t="str" cm="1">
        <f t="array" ref="Q1132">_xlfn.IFS(
A1132="","",
AND(A1132&lt;&gt;"",B1132=""),"FALTA LANÇAMENTO",
AND(B1132&lt;&gt;"",M1132=""),"FALTA O PEDIDO",
AND(M1132&lt;&gt;"",O1132=""),"FALTA NF",
O1132&lt;&gt;"","CONCLUÍDO")</f>
        <v>CONCLUÍDO</v>
      </c>
      <c r="R1132" s="36"/>
    </row>
    <row r="1133" spans="1:18" hidden="1">
      <c r="A1133" s="16">
        <v>46111</v>
      </c>
      <c r="B1133" s="16">
        <v>46114</v>
      </c>
      <c r="C1133" s="21">
        <v>11521001</v>
      </c>
      <c r="D1133" s="16" t="str">
        <f>IFERROR(VLOOKUP(Tabela5[[#This Row],[PREFIXO ]],Tabela4[#All],2,0),"CENTRO DE CUSTO")</f>
        <v>TRAT PN EXT PES CASE STEIGER 620</v>
      </c>
      <c r="E1133" s="18" t="s">
        <v>359</v>
      </c>
      <c r="F1133" s="21" t="s">
        <v>2884</v>
      </c>
      <c r="G1133" s="22">
        <v>17720.7</v>
      </c>
      <c r="H1133" s="22"/>
      <c r="I1133" s="22">
        <f t="shared" si="18"/>
        <v>17720.7</v>
      </c>
      <c r="J1133" s="18" t="s">
        <v>1199</v>
      </c>
      <c r="K1133" s="18">
        <v>9813855</v>
      </c>
      <c r="L1133" s="18">
        <v>901077</v>
      </c>
      <c r="M1133" s="18" t="s">
        <v>2885</v>
      </c>
      <c r="N1133" s="16" t="s">
        <v>2540</v>
      </c>
      <c r="O1133" s="18" t="s">
        <v>2466</v>
      </c>
      <c r="P1133" s="18" t="s">
        <v>2595</v>
      </c>
      <c r="Q1133" s="29" t="str" cm="1">
        <f t="array" ref="Q1133">_xlfn.IFS(
A1133="","",
AND(A1133&lt;&gt;"",B1133=""),"FALTA LANÇAMENTO",
AND(B1133&lt;&gt;"",M1133=""),"FALTA O PEDIDO",
AND(M1133&lt;&gt;"",O1133=""),"FALTA NF",
O1133&lt;&gt;"","CONCLUÍDO")</f>
        <v>CONCLUÍDO</v>
      </c>
      <c r="R1133" s="36"/>
    </row>
    <row r="1134" spans="1:18" hidden="1">
      <c r="A1134" s="16">
        <v>46111</v>
      </c>
      <c r="B1134" s="16">
        <v>46114</v>
      </c>
      <c r="C1134" s="21">
        <v>1300006</v>
      </c>
      <c r="D1134" s="16" t="str">
        <f>IFERROR(VLOOKUP(Tabela5[[#This Row],[PREFIXO ]],Tabela4[#All],2,0),"CENTRO DE CUSTO")</f>
        <v>CENTRO DE CUSTO</v>
      </c>
      <c r="E1134" s="18" t="s">
        <v>359</v>
      </c>
      <c r="F1134" s="21" t="s">
        <v>2886</v>
      </c>
      <c r="G1134" s="22">
        <v>14487.5</v>
      </c>
      <c r="H1134" s="22"/>
      <c r="I1134" s="22">
        <f t="shared" si="18"/>
        <v>14487.5</v>
      </c>
      <c r="J1134" s="18" t="s">
        <v>1199</v>
      </c>
      <c r="K1134" s="18">
        <v>9814067</v>
      </c>
      <c r="L1134" s="18">
        <v>901035</v>
      </c>
      <c r="M1134" s="18" t="s">
        <v>2887</v>
      </c>
      <c r="N1134" s="16" t="s">
        <v>2538</v>
      </c>
      <c r="O1134" s="18" t="s">
        <v>1534</v>
      </c>
      <c r="P1134" s="18" t="s">
        <v>2305</v>
      </c>
      <c r="Q1134" s="29" t="str" cm="1">
        <f t="array" ref="Q1134">_xlfn.IFS(
A1134="","",
AND(A1134&lt;&gt;"",B1134=""),"FALTA LANÇAMENTO",
AND(B1134&lt;&gt;"",M1134=""),"FALTA O PEDIDO",
AND(M1134&lt;&gt;"",O1134=""),"FALTA NF",
O1134&lt;&gt;"","CONCLUÍDO")</f>
        <v>CONCLUÍDO</v>
      </c>
      <c r="R1134" s="36"/>
    </row>
    <row r="1135" spans="1:18" hidden="1">
      <c r="A1135" s="16">
        <v>46111</v>
      </c>
      <c r="B1135" s="16">
        <v>46114</v>
      </c>
      <c r="C1135" s="21">
        <v>11521022</v>
      </c>
      <c r="D1135" s="16" t="str">
        <f>IFERROR(VLOOKUP(Tabela5[[#This Row],[PREFIXO ]],Tabela4[#All],2,0),"CENTRO DE CUSTO")</f>
        <v>TRAT PN MED CASE PUMA 140</v>
      </c>
      <c r="E1135" s="18" t="s">
        <v>359</v>
      </c>
      <c r="F1135" s="21" t="s">
        <v>2888</v>
      </c>
      <c r="G1135" s="22">
        <v>10850</v>
      </c>
      <c r="H1135" s="22"/>
      <c r="I1135" s="22">
        <f t="shared" si="18"/>
        <v>10850</v>
      </c>
      <c r="J1135" s="18" t="s">
        <v>1199</v>
      </c>
      <c r="K1135" s="18">
        <v>9814061</v>
      </c>
      <c r="L1135" s="18">
        <v>900477</v>
      </c>
      <c r="M1135" s="18" t="s">
        <v>2889</v>
      </c>
      <c r="N1135" s="16" t="s">
        <v>2538</v>
      </c>
      <c r="O1135" s="18" t="s">
        <v>1336</v>
      </c>
      <c r="P1135" s="18" t="s">
        <v>2305</v>
      </c>
      <c r="Q1135" s="29" t="str" cm="1">
        <f t="array" ref="Q1135">_xlfn.IFS(
A1135="","",
AND(A1135&lt;&gt;"",B1135=""),"FALTA LANÇAMENTO",
AND(B1135&lt;&gt;"",M1135=""),"FALTA O PEDIDO",
AND(M1135&lt;&gt;"",O1135=""),"FALTA NF",
O1135&lt;&gt;"","CONCLUÍDO")</f>
        <v>CONCLUÍDO</v>
      </c>
      <c r="R1135" s="36"/>
    </row>
    <row r="1136" spans="1:18" hidden="1">
      <c r="A1136" s="16">
        <v>46111</v>
      </c>
      <c r="B1136" s="16">
        <v>46114</v>
      </c>
      <c r="C1136" s="21">
        <v>13100041</v>
      </c>
      <c r="D1136" s="16" t="str">
        <f>IFERROR(VLOOKUP(Tabela5[[#This Row],[PREFIXO ]],Tabela4[#All],2,0),"CENTRO DE CUSTO")</f>
        <v>CENTRO DE CUSTO</v>
      </c>
      <c r="E1136" s="18" t="s">
        <v>359</v>
      </c>
      <c r="F1136" s="21" t="s">
        <v>2890</v>
      </c>
      <c r="G1136" s="22">
        <v>2345.1999999999998</v>
      </c>
      <c r="H1136" s="22"/>
      <c r="I1136" s="22">
        <f t="shared" si="18"/>
        <v>2345.1999999999998</v>
      </c>
      <c r="J1136" s="18" t="s">
        <v>1199</v>
      </c>
      <c r="K1136" s="18">
        <v>9814019</v>
      </c>
      <c r="L1136" s="18">
        <v>900361</v>
      </c>
      <c r="M1136" s="18" t="s">
        <v>2891</v>
      </c>
      <c r="N1136" s="16" t="s">
        <v>2538</v>
      </c>
      <c r="O1136" s="18" t="s">
        <v>2892</v>
      </c>
      <c r="P1136" s="18" t="s">
        <v>2893</v>
      </c>
      <c r="Q1136" s="29" t="str" cm="1">
        <f t="array" ref="Q1136">_xlfn.IFS(
A1136="","",
AND(A1136&lt;&gt;"",B1136=""),"FALTA LANÇAMENTO",
AND(B1136&lt;&gt;"",M1136=""),"FALTA O PEDIDO",
AND(M1136&lt;&gt;"",O1136=""),"FALTA NF",
O1136&lt;&gt;"","CONCLUÍDO")</f>
        <v>CONCLUÍDO</v>
      </c>
      <c r="R1136" s="36"/>
    </row>
    <row r="1137" spans="1:18" hidden="1">
      <c r="A1137" s="16">
        <v>46111</v>
      </c>
      <c r="B1137" s="16">
        <v>46114</v>
      </c>
      <c r="C1137" s="21">
        <v>11521009</v>
      </c>
      <c r="D1137" s="16" t="str">
        <f>IFERROR(VLOOKUP(Tabela5[[#This Row],[PREFIXO ]],Tabela4[#All],2,0),"CENTRO DE CUSTO")</f>
        <v>TRAT PN MED CASE PUMA 140</v>
      </c>
      <c r="E1137" s="18" t="s">
        <v>359</v>
      </c>
      <c r="F1137" s="21" t="s">
        <v>2692</v>
      </c>
      <c r="G1137" s="22">
        <v>1505.49</v>
      </c>
      <c r="H1137" s="22"/>
      <c r="I1137" s="22">
        <f t="shared" si="18"/>
        <v>1505.49</v>
      </c>
      <c r="J1137" s="18" t="s">
        <v>1199</v>
      </c>
      <c r="K1137" s="18">
        <v>9813859</v>
      </c>
      <c r="L1137" s="18">
        <v>900361</v>
      </c>
      <c r="M1137" s="18" t="s">
        <v>2894</v>
      </c>
      <c r="N1137" s="16" t="s">
        <v>2538</v>
      </c>
      <c r="O1137" s="18" t="s">
        <v>1538</v>
      </c>
      <c r="P1137" s="18" t="s">
        <v>2305</v>
      </c>
      <c r="Q1137" s="29" t="str" cm="1">
        <f t="array" ref="Q1137">_xlfn.IFS(
A1137="","",
AND(A1137&lt;&gt;"",B1137=""),"FALTA LANÇAMENTO",
AND(B1137&lt;&gt;"",M1137=""),"FALTA O PEDIDO",
AND(M1137&lt;&gt;"",O1137=""),"FALTA NF",
O1137&lt;&gt;"","CONCLUÍDO")</f>
        <v>CONCLUÍDO</v>
      </c>
      <c r="R1137" s="36"/>
    </row>
    <row r="1138" spans="1:18" hidden="1">
      <c r="A1138" s="16">
        <v>46111</v>
      </c>
      <c r="B1138" s="16">
        <v>46114</v>
      </c>
      <c r="C1138" s="21">
        <v>11521037</v>
      </c>
      <c r="D1138" s="16" t="str">
        <f>IFERROR(VLOOKUP(Tabela5[[#This Row],[PREFIXO ]],Tabela4[#All],2,0),"CENTRO DE CUSTO")</f>
        <v>TRAT PN EXT PES N.HOLLAND T9.600</v>
      </c>
      <c r="E1138" s="18" t="s">
        <v>359</v>
      </c>
      <c r="F1138" s="21" t="s">
        <v>2690</v>
      </c>
      <c r="G1138" s="22">
        <v>1474.88</v>
      </c>
      <c r="H1138" s="22"/>
      <c r="I1138" s="22">
        <f t="shared" si="18"/>
        <v>1474.88</v>
      </c>
      <c r="J1138" s="18" t="s">
        <v>1199</v>
      </c>
      <c r="K1138" s="18">
        <v>9813883</v>
      </c>
      <c r="L1138" s="18">
        <v>900361</v>
      </c>
      <c r="M1138" s="18" t="s">
        <v>2891</v>
      </c>
      <c r="N1138" s="16" t="s">
        <v>2538</v>
      </c>
      <c r="O1138" s="18" t="s">
        <v>2892</v>
      </c>
      <c r="P1138" s="18" t="s">
        <v>2893</v>
      </c>
      <c r="Q1138" s="29" t="str" cm="1">
        <f t="array" ref="Q1138">_xlfn.IFS(
A1138="","",
AND(A1138&lt;&gt;"",B1138=""),"FALTA LANÇAMENTO",
AND(B1138&lt;&gt;"",M1138=""),"FALTA O PEDIDO",
AND(M1138&lt;&gt;"",O1138=""),"FALTA NF",
O1138&lt;&gt;"","CONCLUÍDO")</f>
        <v>CONCLUÍDO</v>
      </c>
      <c r="R1138" s="36"/>
    </row>
    <row r="1139" spans="1:18" hidden="1">
      <c r="A1139" s="16">
        <v>46111</v>
      </c>
      <c r="B1139" s="16">
        <v>46114</v>
      </c>
      <c r="C1139" s="21">
        <v>1173004</v>
      </c>
      <c r="D1139" s="16" t="str">
        <f>IFERROR(VLOOKUP(Tabela5[[#This Row],[PREFIXO ]],Tabela4[#All],2,0),"CENTRO DE CUSTO")</f>
        <v>TRAT PN LEVE M FERGUSON MF 275</v>
      </c>
      <c r="E1139" s="18" t="s">
        <v>359</v>
      </c>
      <c r="F1139" s="21" t="s">
        <v>2689</v>
      </c>
      <c r="G1139" s="22">
        <v>1064.95</v>
      </c>
      <c r="H1139" s="22"/>
      <c r="I1139" s="22">
        <f t="shared" si="18"/>
        <v>1064.95</v>
      </c>
      <c r="J1139" s="18" t="s">
        <v>1199</v>
      </c>
      <c r="K1139" s="18">
        <v>9813881</v>
      </c>
      <c r="L1139" s="18">
        <v>900361</v>
      </c>
      <c r="M1139" s="18" t="s">
        <v>2891</v>
      </c>
      <c r="N1139" s="16" t="s">
        <v>2538</v>
      </c>
      <c r="O1139" s="18" t="s">
        <v>2892</v>
      </c>
      <c r="P1139" s="18" t="s">
        <v>2893</v>
      </c>
      <c r="Q1139" s="29" t="str" cm="1">
        <f t="array" ref="Q1139">_xlfn.IFS(
A1139="","",
AND(A1139&lt;&gt;"",B1139=""),"FALTA LANÇAMENTO",
AND(B1139&lt;&gt;"",M1139=""),"FALTA O PEDIDO",
AND(M1139&lt;&gt;"",O1139=""),"FALTA NF",
O1139&lt;&gt;"","CONCLUÍDO")</f>
        <v>CONCLUÍDO</v>
      </c>
      <c r="R1139" s="36"/>
    </row>
    <row r="1140" spans="1:18" hidden="1">
      <c r="A1140" s="16">
        <v>46111</v>
      </c>
      <c r="B1140" s="16">
        <v>46114</v>
      </c>
      <c r="C1140" s="21">
        <v>1173014</v>
      </c>
      <c r="D1140" s="16" t="str">
        <f>IFERROR(VLOOKUP(Tabela5[[#This Row],[PREFIXO ]],Tabela4[#All],2,0),"CENTRO DE CUSTO")</f>
        <v>TRAT PN MED N.HOLLAND 7630</v>
      </c>
      <c r="E1140" s="18" t="s">
        <v>359</v>
      </c>
      <c r="F1140" s="21" t="s">
        <v>2895</v>
      </c>
      <c r="G1140" s="22">
        <v>987.12</v>
      </c>
      <c r="H1140" s="22"/>
      <c r="I1140" s="22">
        <f t="shared" si="18"/>
        <v>987.12</v>
      </c>
      <c r="J1140" s="18" t="s">
        <v>1199</v>
      </c>
      <c r="K1140" s="18">
        <v>9814064</v>
      </c>
      <c r="L1140" s="18">
        <v>900361</v>
      </c>
      <c r="M1140" s="18" t="s">
        <v>2891</v>
      </c>
      <c r="N1140" s="16" t="s">
        <v>2538</v>
      </c>
      <c r="O1140" s="18" t="s">
        <v>2892</v>
      </c>
      <c r="P1140" s="18" t="s">
        <v>2893</v>
      </c>
      <c r="Q1140" s="29" t="str" cm="1">
        <f t="array" ref="Q1140">_xlfn.IFS(
A1140="","",
AND(A1140&lt;&gt;"",B1140=""),"FALTA LANÇAMENTO",
AND(B1140&lt;&gt;"",M1140=""),"FALTA O PEDIDO",
AND(M1140&lt;&gt;"",O1140=""),"FALTA NF",
O1140&lt;&gt;"","CONCLUÍDO")</f>
        <v>CONCLUÍDO</v>
      </c>
      <c r="R1140" s="36"/>
    </row>
    <row r="1141" spans="1:18" hidden="1">
      <c r="A1141" s="16">
        <v>46111</v>
      </c>
      <c r="B1141" s="16">
        <v>46114</v>
      </c>
      <c r="C1141" s="21">
        <v>11521002</v>
      </c>
      <c r="D1141" s="16" t="str">
        <f>IFERROR(VLOOKUP(Tabela5[[#This Row],[PREFIXO ]],Tabela4[#All],2,0),"CENTRO DE CUSTO")</f>
        <v>TRAT PN EXT PES CASE STEIGER 620</v>
      </c>
      <c r="E1141" s="18" t="s">
        <v>359</v>
      </c>
      <c r="F1141" s="21" t="s">
        <v>2688</v>
      </c>
      <c r="G1141" s="22">
        <v>825.48</v>
      </c>
      <c r="H1141" s="22"/>
      <c r="I1141" s="22">
        <f t="shared" si="18"/>
        <v>825.48</v>
      </c>
      <c r="J1141" s="18" t="s">
        <v>1199</v>
      </c>
      <c r="K1141" s="18">
        <v>9813885</v>
      </c>
      <c r="L1141" s="18">
        <v>900361</v>
      </c>
      <c r="M1141" s="18" t="s">
        <v>2891</v>
      </c>
      <c r="N1141" s="16" t="s">
        <v>2538</v>
      </c>
      <c r="O1141" s="18" t="s">
        <v>2892</v>
      </c>
      <c r="P1141" s="18" t="s">
        <v>2893</v>
      </c>
      <c r="Q1141" s="29" t="str" cm="1">
        <f t="array" ref="Q1141">_xlfn.IFS(
A1141="","",
AND(A1141&lt;&gt;"",B1141=""),"FALTA LANÇAMENTO",
AND(B1141&lt;&gt;"",M1141=""),"FALTA O PEDIDO",
AND(M1141&lt;&gt;"",O1141=""),"FALTA NF",
O1141&lt;&gt;"","CONCLUÍDO")</f>
        <v>CONCLUÍDO</v>
      </c>
      <c r="R1141" s="36"/>
    </row>
    <row r="1142" spans="1:18" hidden="1">
      <c r="A1142" s="16">
        <v>46111</v>
      </c>
      <c r="B1142" s="16">
        <v>46114</v>
      </c>
      <c r="C1142" s="21">
        <v>11521029</v>
      </c>
      <c r="D1142" s="16" t="str">
        <f>IFERROR(VLOOKUP(Tabela5[[#This Row],[PREFIXO ]],Tabela4[#All],2,0),"CENTRO DE CUSTO")</f>
        <v>TRAT PN EXT PES FENDT 1046 VARIO</v>
      </c>
      <c r="E1142" s="18" t="s">
        <v>359</v>
      </c>
      <c r="F1142" s="21" t="s">
        <v>2693</v>
      </c>
      <c r="G1142" s="22">
        <v>665</v>
      </c>
      <c r="H1142" s="22"/>
      <c r="I1142" s="22">
        <f t="shared" si="18"/>
        <v>665</v>
      </c>
      <c r="J1142" s="18" t="s">
        <v>1199</v>
      </c>
      <c r="K1142" s="18">
        <v>9813890</v>
      </c>
      <c r="L1142" s="18">
        <v>900361</v>
      </c>
      <c r="M1142" s="18" t="s">
        <v>2891</v>
      </c>
      <c r="N1142" s="16" t="s">
        <v>2538</v>
      </c>
      <c r="O1142" s="18" t="s">
        <v>2892</v>
      </c>
      <c r="P1142" s="18" t="s">
        <v>2893</v>
      </c>
      <c r="Q1142" s="29" t="str" cm="1">
        <f t="array" ref="Q1142">_xlfn.IFS(
A1142="","",
AND(A1142&lt;&gt;"",B1142=""),"FALTA LANÇAMENTO",
AND(B1142&lt;&gt;"",M1142=""),"FALTA O PEDIDO",
AND(M1142&lt;&gt;"",O1142=""),"FALTA NF",
O1142&lt;&gt;"","CONCLUÍDO")</f>
        <v>CONCLUÍDO</v>
      </c>
      <c r="R1142" s="36"/>
    </row>
    <row r="1143" spans="1:18" hidden="1">
      <c r="A1143" s="16">
        <v>46111</v>
      </c>
      <c r="B1143" s="16">
        <v>46114</v>
      </c>
      <c r="C1143" s="21">
        <v>13100042</v>
      </c>
      <c r="D1143" s="16" t="str">
        <f>IFERROR(VLOOKUP(Tabela5[[#This Row],[PREFIXO ]],Tabela4[#All],2,0),"CENTRO DE CUSTO")</f>
        <v>CENTRO DE CUSTO</v>
      </c>
      <c r="E1143" s="18" t="s">
        <v>359</v>
      </c>
      <c r="F1143" s="21" t="s">
        <v>2768</v>
      </c>
      <c r="G1143" s="22">
        <v>500</v>
      </c>
      <c r="H1143" s="22"/>
      <c r="I1143" s="22">
        <f t="shared" si="18"/>
        <v>500</v>
      </c>
      <c r="J1143" s="18" t="s">
        <v>1199</v>
      </c>
      <c r="K1143" s="18">
        <v>9813856</v>
      </c>
      <c r="L1143" s="18">
        <v>900361</v>
      </c>
      <c r="M1143" s="18" t="s">
        <v>2891</v>
      </c>
      <c r="N1143" s="16" t="s">
        <v>2538</v>
      </c>
      <c r="O1143" s="18" t="s">
        <v>2892</v>
      </c>
      <c r="P1143" s="18" t="s">
        <v>2893</v>
      </c>
      <c r="Q1143" s="29" t="str" cm="1">
        <f t="array" ref="Q1143">_xlfn.IFS(
A1143="","",
AND(A1143&lt;&gt;"",B1143=""),"FALTA LANÇAMENTO",
AND(B1143&lt;&gt;"",M1143=""),"FALTA O PEDIDO",
AND(M1143&lt;&gt;"",O1143=""),"FALTA NF",
O1143&lt;&gt;"","CONCLUÍDO")</f>
        <v>CONCLUÍDO</v>
      </c>
      <c r="R1143" s="36"/>
    </row>
    <row r="1144" spans="1:18" hidden="1">
      <c r="A1144" s="16">
        <v>46111</v>
      </c>
      <c r="B1144" s="16">
        <v>46121</v>
      </c>
      <c r="C1144" s="21" t="s">
        <v>1134</v>
      </c>
      <c r="D1144" s="16" t="str">
        <f>IFERROR(VLOOKUP(Tabela5[[#This Row],[PREFIXO ]],Tabela4[#All],2,0),"CENTRO DE CUSTO")</f>
        <v>CENTRO DE CUSTO</v>
      </c>
      <c r="E1144" s="18" t="s">
        <v>121</v>
      </c>
      <c r="F1144" s="21">
        <v>67</v>
      </c>
      <c r="G1144" s="22">
        <v>1320.5</v>
      </c>
      <c r="H1144" s="22">
        <v>1911.06</v>
      </c>
      <c r="I1144" s="22">
        <f t="shared" si="18"/>
        <v>3231.56</v>
      </c>
      <c r="J1144" s="18" t="s">
        <v>1085</v>
      </c>
      <c r="K1144" s="18">
        <v>9814491</v>
      </c>
      <c r="L1144" s="18">
        <v>902855</v>
      </c>
      <c r="M1144" s="18" t="s">
        <v>2896</v>
      </c>
      <c r="N1144" s="16" t="s">
        <v>2507</v>
      </c>
      <c r="O1144" s="18" t="s">
        <v>2897</v>
      </c>
      <c r="P1144" s="18" t="s">
        <v>2716</v>
      </c>
      <c r="Q1144" s="29" t="str" cm="1">
        <f t="array" ref="Q1144">_xlfn.IFS(
A1144="","",
AND(A1144&lt;&gt;"",B1144=""),"FALTA LANÇAMENTO",
AND(B1144&lt;&gt;"",M1144=""),"FALTA O PEDIDO",
AND(M1144&lt;&gt;"",O1144=""),"FALTA NF",
O1144&lt;&gt;"","CONCLUÍDO")</f>
        <v>CONCLUÍDO</v>
      </c>
      <c r="R1144" s="36"/>
    </row>
    <row r="1145" spans="1:18" hidden="1">
      <c r="A1145" s="16">
        <v>46111</v>
      </c>
      <c r="B1145" s="16">
        <v>46119</v>
      </c>
      <c r="C1145" s="21">
        <v>61521061</v>
      </c>
      <c r="D1145" s="16" t="str">
        <f>IFERROR(VLOOKUP(Tabela5[[#This Row],[PREFIXO ]],Tabela4[#All],2,0),"CENTRO DE CUSTO")</f>
        <v>ONIB RODOVIÁRIO MERC BENZ MARCOPOLO TORI</v>
      </c>
      <c r="E1145" s="18" t="s">
        <v>124</v>
      </c>
      <c r="F1145" s="21">
        <v>540</v>
      </c>
      <c r="G1145" s="22">
        <v>5433.6</v>
      </c>
      <c r="H1145" s="22"/>
      <c r="I1145" s="22">
        <f t="shared" si="18"/>
        <v>5433.6</v>
      </c>
      <c r="J1145" s="18" t="s">
        <v>1085</v>
      </c>
      <c r="K1145" s="18">
        <v>9818001</v>
      </c>
      <c r="L1145" s="18">
        <v>903139</v>
      </c>
      <c r="M1145" s="18" t="s">
        <v>2898</v>
      </c>
      <c r="N1145" s="16" t="s">
        <v>2540</v>
      </c>
      <c r="O1145" s="18" t="s">
        <v>2899</v>
      </c>
      <c r="P1145" s="18" t="s">
        <v>2900</v>
      </c>
      <c r="Q1145" s="29" t="str" cm="1">
        <f t="array" ref="Q1145">_xlfn.IFS(
A1145="","",
AND(A1145&lt;&gt;"",B1145=""),"FALTA LANÇAMENTO",
AND(B1145&lt;&gt;"",M1145=""),"FALTA O PEDIDO",
AND(M1145&lt;&gt;"",O1145=""),"FALTA NF",
O1145&lt;&gt;"","CONCLUÍDO")</f>
        <v>CONCLUÍDO</v>
      </c>
      <c r="R1145" s="36"/>
    </row>
    <row r="1146" spans="1:18" hidden="1">
      <c r="A1146" s="16">
        <v>46111</v>
      </c>
      <c r="B1146" s="16">
        <v>46119</v>
      </c>
      <c r="C1146" s="21">
        <v>61521101</v>
      </c>
      <c r="D1146" s="16" t="str">
        <f>IFERROR(VLOOKUP(Tabela5[[#This Row],[PREFIXO ]],Tabela4[#All],2,0),"CENTRO DE CUSTO")</f>
        <v>CAM ROLL ON/OFF VOLVO VM 330</v>
      </c>
      <c r="E1146" s="18" t="s">
        <v>124</v>
      </c>
      <c r="F1146" s="21">
        <v>534</v>
      </c>
      <c r="G1146" s="22">
        <v>2284.8000000000002</v>
      </c>
      <c r="H1146" s="22"/>
      <c r="I1146" s="22">
        <f t="shared" si="18"/>
        <v>2284.8000000000002</v>
      </c>
      <c r="J1146" s="18" t="s">
        <v>1085</v>
      </c>
      <c r="K1146" s="18">
        <v>9817238</v>
      </c>
      <c r="L1146" s="18">
        <v>903139</v>
      </c>
      <c r="M1146" s="18" t="s">
        <v>2898</v>
      </c>
      <c r="N1146" s="16" t="s">
        <v>2540</v>
      </c>
      <c r="O1146" s="18" t="s">
        <v>2899</v>
      </c>
      <c r="P1146" s="18" t="s">
        <v>2900</v>
      </c>
      <c r="Q1146" s="29" t="str" cm="1">
        <f t="array" ref="Q1146">_xlfn.IFS(
A1146="","",
AND(A1146&lt;&gt;"",B1146=""),"FALTA LANÇAMENTO",
AND(B1146&lt;&gt;"",M1146=""),"FALTA O PEDIDO",
AND(M1146&lt;&gt;"",O1146=""),"FALTA NF",
O1146&lt;&gt;"","CONCLUÍDO")</f>
        <v>CONCLUÍDO</v>
      </c>
      <c r="R1146" s="36"/>
    </row>
    <row r="1147" spans="1:18" hidden="1">
      <c r="A1147" s="16">
        <v>46111</v>
      </c>
      <c r="B1147" s="16">
        <v>46119</v>
      </c>
      <c r="C1147" s="21">
        <v>61521102</v>
      </c>
      <c r="D1147" s="16" t="str">
        <f>IFERROR(VLOOKUP(Tabela5[[#This Row],[PREFIXO ]],Tabela4[#All],2,0),"CENTRO DE CUSTO")</f>
        <v>CAMINHAO RÍGIDO VOLVO VM 330 (PIPA)</v>
      </c>
      <c r="E1147" s="18" t="s">
        <v>124</v>
      </c>
      <c r="F1147" s="21">
        <v>520</v>
      </c>
      <c r="G1147" s="22">
        <v>2188.8000000000002</v>
      </c>
      <c r="H1147" s="22"/>
      <c r="I1147" s="22">
        <f t="shared" si="18"/>
        <v>2188.8000000000002</v>
      </c>
      <c r="J1147" s="18" t="s">
        <v>1085</v>
      </c>
      <c r="K1147" s="18">
        <v>9818002</v>
      </c>
      <c r="L1147" s="18">
        <v>903139</v>
      </c>
      <c r="M1147" s="18" t="s">
        <v>2898</v>
      </c>
      <c r="N1147" s="16" t="s">
        <v>2540</v>
      </c>
      <c r="O1147" s="18" t="s">
        <v>2899</v>
      </c>
      <c r="P1147" s="18" t="s">
        <v>2900</v>
      </c>
      <c r="Q1147" s="29" t="str" cm="1">
        <f t="array" ref="Q1147">_xlfn.IFS(
A1147="","",
AND(A1147&lt;&gt;"",B1147=""),"FALTA LANÇAMENTO",
AND(B1147&lt;&gt;"",M1147=""),"FALTA O PEDIDO",
AND(M1147&lt;&gt;"",O1147=""),"FALTA NF",
O1147&lt;&gt;"","CONCLUÍDO")</f>
        <v>CONCLUÍDO</v>
      </c>
      <c r="R1147" s="36"/>
    </row>
    <row r="1148" spans="1:18" hidden="1">
      <c r="A1148" s="16">
        <v>46111</v>
      </c>
      <c r="B1148" s="16">
        <v>46125</v>
      </c>
      <c r="C1148" s="21" t="s">
        <v>1134</v>
      </c>
      <c r="D1148" s="16" t="str">
        <f>IFERROR(VLOOKUP(Tabela5[[#This Row],[PREFIXO ]],Tabela4[#All],2,0),"CENTRO DE CUSTO")</f>
        <v>CENTRO DE CUSTO</v>
      </c>
      <c r="E1148" s="18" t="s">
        <v>178</v>
      </c>
      <c r="F1148" s="21">
        <v>20373</v>
      </c>
      <c r="G1148" s="22">
        <v>760</v>
      </c>
      <c r="H1148" s="22">
        <v>4740</v>
      </c>
      <c r="I1148" s="22">
        <f t="shared" si="18"/>
        <v>5500</v>
      </c>
      <c r="J1148" s="18" t="s">
        <v>2901</v>
      </c>
      <c r="K1148" s="18">
        <v>9826654</v>
      </c>
      <c r="L1148" s="18">
        <v>906913</v>
      </c>
      <c r="M1148" s="18" t="s">
        <v>2902</v>
      </c>
      <c r="N1148" s="16" t="s">
        <v>2643</v>
      </c>
      <c r="O1148" s="18" t="s">
        <v>2903</v>
      </c>
      <c r="P1148" s="18" t="s">
        <v>2645</v>
      </c>
      <c r="Q1148" s="29" t="str" cm="1">
        <f t="array" ref="Q1148">_xlfn.IFS(
A1148="","",
AND(A1148&lt;&gt;"",B1148=""),"FALTA LANÇAMENTO",
AND(B1148&lt;&gt;"",M1148=""),"FALTA O PEDIDO",
AND(M1148&lt;&gt;"",O1148=""),"FALTA NF",
O1148&lt;&gt;"","CONCLUÍDO")</f>
        <v>CONCLUÍDO</v>
      </c>
      <c r="R1148" s="36"/>
    </row>
    <row r="1149" spans="1:18" hidden="1">
      <c r="A1149" s="16">
        <v>46111</v>
      </c>
      <c r="B1149" s="16">
        <v>46125</v>
      </c>
      <c r="C1149" s="21">
        <v>500580090</v>
      </c>
      <c r="D1149" s="16" t="str">
        <f>IFERROR(VLOOKUP(Tabela5[[#This Row],[PREFIXO ]],Tabela4[#All],2,0),"CENTRO DE CUSTO")</f>
        <v>Plantadeiras</v>
      </c>
      <c r="E1149" s="18" t="s">
        <v>179</v>
      </c>
      <c r="F1149" s="21">
        <v>2467</v>
      </c>
      <c r="G1149" s="22">
        <v>7729.98</v>
      </c>
      <c r="H1149" s="22">
        <v>1170.02</v>
      </c>
      <c r="I1149" s="22">
        <f t="shared" si="18"/>
        <v>8900</v>
      </c>
      <c r="J1149" s="18" t="s">
        <v>1199</v>
      </c>
      <c r="K1149" s="18">
        <v>5020329</v>
      </c>
      <c r="L1149" s="18">
        <v>906932</v>
      </c>
      <c r="M1149" s="18" t="s">
        <v>2904</v>
      </c>
      <c r="N1149" s="16" t="s">
        <v>2619</v>
      </c>
      <c r="O1149" s="18" t="s">
        <v>2905</v>
      </c>
      <c r="P1149" s="18" t="s">
        <v>2587</v>
      </c>
      <c r="Q1149" s="29" t="str" cm="1">
        <f t="array" ref="Q1149">_xlfn.IFS(
A1149="","",
AND(A1149&lt;&gt;"",B1149=""),"FALTA LANÇAMENTO",
AND(B1149&lt;&gt;"",M1149=""),"FALTA O PEDIDO",
AND(M1149&lt;&gt;"",O1149=""),"FALTA NF",
O1149&lt;&gt;"","CONCLUÍDO")</f>
        <v>CONCLUÍDO</v>
      </c>
      <c r="R1149" s="36"/>
    </row>
    <row r="1150" spans="1:18" hidden="1">
      <c r="A1150" s="16">
        <v>46111</v>
      </c>
      <c r="B1150" s="16">
        <v>46114</v>
      </c>
      <c r="C1150" s="21">
        <v>500580579</v>
      </c>
      <c r="D1150" s="16" t="str">
        <f>IFERROR(VLOOKUP(Tabela5[[#This Row],[PREFIXO ]],Tabela4[#All],2,0),"CENTRO DE CUSTO")</f>
        <v>Pátio de Vendas</v>
      </c>
      <c r="E1150" s="18" t="s">
        <v>224</v>
      </c>
      <c r="F1150" s="21">
        <v>2761</v>
      </c>
      <c r="G1150" s="22">
        <v>2775</v>
      </c>
      <c r="H1150" s="22"/>
      <c r="I1150" s="22">
        <f t="shared" si="18"/>
        <v>2775</v>
      </c>
      <c r="J1150" s="18" t="s">
        <v>1251</v>
      </c>
      <c r="K1150" s="18" t="s">
        <v>1095</v>
      </c>
      <c r="L1150" s="18" t="s">
        <v>1095</v>
      </c>
      <c r="M1150" s="18" t="s">
        <v>1095</v>
      </c>
      <c r="N1150" s="16" t="s">
        <v>1095</v>
      </c>
      <c r="O1150" s="18" t="s">
        <v>1095</v>
      </c>
      <c r="P1150" s="18" t="s">
        <v>1095</v>
      </c>
      <c r="Q1150" s="29" t="str" cm="1">
        <f t="array" ref="Q1150">_xlfn.IFS(
A1150="","",
AND(A1150&lt;&gt;"",B1150=""),"FALTA LANÇAMENTO",
AND(B1150&lt;&gt;"",M1150=""),"FALTA O PEDIDO",
AND(M1150&lt;&gt;"",O1150=""),"FALTA NF",
O1150&lt;&gt;"","CONCLUÍDO")</f>
        <v>CONCLUÍDO</v>
      </c>
      <c r="R1150" s="36"/>
    </row>
    <row r="1151" spans="1:18" hidden="1">
      <c r="A1151" s="16">
        <v>46111</v>
      </c>
      <c r="B1151" s="16">
        <v>46114</v>
      </c>
      <c r="C1151" s="21">
        <v>500580579</v>
      </c>
      <c r="D1151" s="16" t="str">
        <f>IFERROR(VLOOKUP(Tabela5[[#This Row],[PREFIXO ]],Tabela4[#All],2,0),"CENTRO DE CUSTO")</f>
        <v>Pátio de Vendas</v>
      </c>
      <c r="E1151" s="18" t="s">
        <v>224</v>
      </c>
      <c r="F1151" s="21">
        <v>2760</v>
      </c>
      <c r="G1151" s="22">
        <v>450</v>
      </c>
      <c r="H1151" s="22"/>
      <c r="I1151" s="22">
        <f t="shared" si="18"/>
        <v>450</v>
      </c>
      <c r="J1151" s="18" t="s">
        <v>1251</v>
      </c>
      <c r="K1151" s="18" t="s">
        <v>1095</v>
      </c>
      <c r="L1151" s="18" t="s">
        <v>1095</v>
      </c>
      <c r="M1151" s="18" t="s">
        <v>1095</v>
      </c>
      <c r="N1151" s="16" t="s">
        <v>1095</v>
      </c>
      <c r="O1151" s="18" t="s">
        <v>1095</v>
      </c>
      <c r="P1151" s="18" t="s">
        <v>1095</v>
      </c>
      <c r="Q1151" s="29" t="str" cm="1">
        <f t="array" ref="Q1151">_xlfn.IFS(
A1151="","",
AND(A1151&lt;&gt;"",B1151=""),"FALTA LANÇAMENTO",
AND(B1151&lt;&gt;"",M1151=""),"FALTA O PEDIDO",
AND(M1151&lt;&gt;"",O1151=""),"FALTA NF",
O1151&lt;&gt;"","CONCLUÍDO")</f>
        <v>CONCLUÍDO</v>
      </c>
      <c r="R1151" s="36"/>
    </row>
    <row r="1152" spans="1:18" hidden="1">
      <c r="A1152" s="16">
        <v>46111</v>
      </c>
      <c r="B1152" s="16">
        <v>46128</v>
      </c>
      <c r="C1152" s="21">
        <v>500580100</v>
      </c>
      <c r="D1152" s="16" t="str">
        <f>IFERROR(VLOOKUP(Tabela5[[#This Row],[PREFIXO ]],Tabela4[#All],2,0),"CENTRO DE CUSTO")</f>
        <v>Autopropelidos</v>
      </c>
      <c r="E1152" s="18" t="s">
        <v>363</v>
      </c>
      <c r="F1152" s="21" t="s">
        <v>1134</v>
      </c>
      <c r="G1152" s="22">
        <v>4800</v>
      </c>
      <c r="H1152" s="22"/>
      <c r="I1152" s="22">
        <f t="shared" ref="I1152:I1215" si="19">G1152+H1152</f>
        <v>4800</v>
      </c>
      <c r="J1152" s="18" t="s">
        <v>1265</v>
      </c>
      <c r="K1152" s="18">
        <v>5020154</v>
      </c>
      <c r="L1152" s="18">
        <v>910799</v>
      </c>
      <c r="M1152" s="18" t="s">
        <v>2906</v>
      </c>
      <c r="N1152" s="16" t="s">
        <v>2302</v>
      </c>
      <c r="O1152" s="18" t="s">
        <v>2618</v>
      </c>
      <c r="P1152" s="18" t="s">
        <v>2676</v>
      </c>
      <c r="Q1152" s="29" t="str" cm="1">
        <f t="array" ref="Q1152">_xlfn.IFS(
A1152="","",
AND(A1152&lt;&gt;"",B1152=""),"FALTA LANÇAMENTO",
AND(B1152&lt;&gt;"",M1152=""),"FALTA O PEDIDO",
AND(M1152&lt;&gt;"",O1152=""),"FALTA NF",
O1152&lt;&gt;"","CONCLUÍDO")</f>
        <v>CONCLUÍDO</v>
      </c>
      <c r="R1152" s="36"/>
    </row>
    <row r="1153" spans="1:18" hidden="1">
      <c r="A1153" s="16">
        <v>46111</v>
      </c>
      <c r="B1153" s="16">
        <v>46125</v>
      </c>
      <c r="C1153" s="21">
        <v>500580325</v>
      </c>
      <c r="D1153" s="16" t="str">
        <f>IFERROR(VLOOKUP(Tabela5[[#This Row],[PREFIXO ]],Tabela4[#All],2,0),"CENTRO DE CUSTO")</f>
        <v>Colheitad. Alg Auto</v>
      </c>
      <c r="E1153" s="18" t="s">
        <v>162</v>
      </c>
      <c r="F1153" s="21">
        <v>183683</v>
      </c>
      <c r="G1153" s="22"/>
      <c r="H1153" s="22">
        <v>3120.72</v>
      </c>
      <c r="I1153" s="22">
        <f t="shared" si="19"/>
        <v>3120.72</v>
      </c>
      <c r="J1153" s="18" t="s">
        <v>1113</v>
      </c>
      <c r="K1153" s="18"/>
      <c r="L1153" s="18" t="s">
        <v>1095</v>
      </c>
      <c r="M1153" s="18" t="s">
        <v>1095</v>
      </c>
      <c r="N1153" s="16" t="s">
        <v>1095</v>
      </c>
      <c r="O1153" s="18" t="s">
        <v>1095</v>
      </c>
      <c r="P1153" s="18" t="s">
        <v>1095</v>
      </c>
      <c r="Q1153" s="29" t="str" cm="1">
        <f t="array" ref="Q1153">_xlfn.IFS(
A1153="","",
AND(A1153&lt;&gt;"",B1153=""),"FALTA LANÇAMENTO",
AND(B1153&lt;&gt;"",M1153=""),"FALTA O PEDIDO",
AND(M1153&lt;&gt;"",O1153=""),"FALTA NF",
O1153&lt;&gt;"","CONCLUÍDO")</f>
        <v>CONCLUÍDO</v>
      </c>
      <c r="R1153" s="36"/>
    </row>
    <row r="1154" spans="1:18" hidden="1">
      <c r="A1154" s="16">
        <v>46111</v>
      </c>
      <c r="B1154" s="16">
        <v>46114</v>
      </c>
      <c r="C1154" s="21">
        <v>500580220</v>
      </c>
      <c r="D1154" s="16" t="str">
        <f>IFERROR(VLOOKUP(Tabela5[[#This Row],[PREFIXO ]],Tabela4[#All],2,0),"CENTRO DE CUSTO")</f>
        <v>Implementos</v>
      </c>
      <c r="E1154" s="18" t="s">
        <v>255</v>
      </c>
      <c r="F1154" s="21">
        <v>879</v>
      </c>
      <c r="G1154" s="22">
        <v>2400</v>
      </c>
      <c r="H1154" s="22"/>
      <c r="I1154" s="22">
        <f t="shared" si="19"/>
        <v>2400</v>
      </c>
      <c r="J1154" s="18" t="s">
        <v>1199</v>
      </c>
      <c r="K1154" s="18">
        <v>5020189</v>
      </c>
      <c r="L1154" s="18">
        <v>903589</v>
      </c>
      <c r="M1154" s="18" t="s">
        <v>2816</v>
      </c>
      <c r="N1154" s="16" t="s">
        <v>2507</v>
      </c>
      <c r="O1154" s="18" t="s">
        <v>1532</v>
      </c>
      <c r="P1154" s="18" t="s">
        <v>2585</v>
      </c>
      <c r="Q1154" s="29" t="str" cm="1">
        <f t="array" ref="Q1154">_xlfn.IFS(
A1154="","",
AND(A1154&lt;&gt;"",B1154=""),"FALTA LANÇAMENTO",
AND(B1154&lt;&gt;"",M1154=""),"FALTA O PEDIDO",
AND(M1154&lt;&gt;"",O1154=""),"FALTA NF",
O1154&lt;&gt;"","CONCLUÍDO")</f>
        <v>CONCLUÍDO</v>
      </c>
      <c r="R1154" s="36"/>
    </row>
    <row r="1155" spans="1:18" hidden="1">
      <c r="A1155" s="16">
        <v>46111</v>
      </c>
      <c r="B1155" s="16">
        <v>46114</v>
      </c>
      <c r="C1155" s="21" t="s">
        <v>2907</v>
      </c>
      <c r="D1155" s="16" t="str">
        <f>IFERROR(VLOOKUP(Tabela5[[#This Row],[PREFIXO ]],Tabela4[#All],2,0),"CENTRO DE CUSTO")</f>
        <v>CENTRO DE CUSTO</v>
      </c>
      <c r="E1155" s="18" t="s">
        <v>255</v>
      </c>
      <c r="F1155" s="21">
        <v>883</v>
      </c>
      <c r="G1155" s="22">
        <v>1636</v>
      </c>
      <c r="H1155" s="22"/>
      <c r="I1155" s="22">
        <f t="shared" si="19"/>
        <v>1636</v>
      </c>
      <c r="J1155" s="18" t="s">
        <v>1113</v>
      </c>
      <c r="K1155" s="18">
        <v>9813886</v>
      </c>
      <c r="L1155" s="18">
        <v>903589</v>
      </c>
      <c r="M1155" s="18" t="s">
        <v>2816</v>
      </c>
      <c r="N1155" s="16" t="s">
        <v>2507</v>
      </c>
      <c r="O1155" s="18" t="s">
        <v>1532</v>
      </c>
      <c r="P1155" s="18" t="s">
        <v>2585</v>
      </c>
      <c r="Q1155" s="29" t="str" cm="1">
        <f t="array" ref="Q1155">_xlfn.IFS(
A1155="","",
AND(A1155&lt;&gt;"",B1155=""),"FALTA LANÇAMENTO",
AND(B1155&lt;&gt;"",M1155=""),"FALTA O PEDIDO",
AND(M1155&lt;&gt;"",O1155=""),"FALTA NF",
O1155&lt;&gt;"","CONCLUÍDO")</f>
        <v>CONCLUÍDO</v>
      </c>
      <c r="R1155" s="36"/>
    </row>
    <row r="1156" spans="1:18" hidden="1">
      <c r="A1156" s="16">
        <v>46111</v>
      </c>
      <c r="B1156" s="16">
        <v>46114</v>
      </c>
      <c r="C1156" s="21">
        <v>5173120</v>
      </c>
      <c r="D1156" s="16" t="str">
        <f>IFERROR(VLOOKUP(Tabela5[[#This Row],[PREFIXO ]],Tabela4[#All],2,0),"CENTRO DE CUSTO")</f>
        <v>COLHED ALGODÃO JOHN DEERE 7760</v>
      </c>
      <c r="E1156" s="18" t="s">
        <v>255</v>
      </c>
      <c r="F1156" s="21">
        <v>885</v>
      </c>
      <c r="G1156" s="22">
        <v>1550</v>
      </c>
      <c r="H1156" s="22"/>
      <c r="I1156" s="22">
        <f t="shared" si="19"/>
        <v>1550</v>
      </c>
      <c r="J1156" s="18" t="s">
        <v>1113</v>
      </c>
      <c r="K1156" s="18">
        <v>9813889</v>
      </c>
      <c r="L1156" s="18">
        <v>903589</v>
      </c>
      <c r="M1156" s="18" t="s">
        <v>2816</v>
      </c>
      <c r="N1156" s="16" t="s">
        <v>2507</v>
      </c>
      <c r="O1156" s="18" t="s">
        <v>1532</v>
      </c>
      <c r="P1156" s="18" t="s">
        <v>2585</v>
      </c>
      <c r="Q1156" s="29" t="str" cm="1">
        <f t="array" ref="Q1156">_xlfn.IFS(
A1156="","",
AND(A1156&lt;&gt;"",B1156=""),"FALTA LANÇAMENTO",
AND(B1156&lt;&gt;"",M1156=""),"FALTA O PEDIDO",
AND(M1156&lt;&gt;"",O1156=""),"FALTA NF",
O1156&lt;&gt;"","CONCLUÍDO")</f>
        <v>CONCLUÍDO</v>
      </c>
      <c r="R1156" s="36"/>
    </row>
    <row r="1157" spans="1:18" hidden="1">
      <c r="A1157" s="16">
        <v>46111</v>
      </c>
      <c r="B1157" s="16">
        <v>46114</v>
      </c>
      <c r="C1157" s="21">
        <v>51521062</v>
      </c>
      <c r="D1157" s="16" t="str">
        <f>IFERROR(VLOOKUP(Tabela5[[#This Row],[PREFIXO ]],Tabela4[#All],2,0),"CENTRO DE CUSTO")</f>
        <v>COLHED ALGODÃO JOHN DEERE CP 690</v>
      </c>
      <c r="E1157" s="18" t="s">
        <v>255</v>
      </c>
      <c r="F1157" s="21">
        <v>880</v>
      </c>
      <c r="G1157" s="22">
        <v>1500</v>
      </c>
      <c r="H1157" s="22"/>
      <c r="I1157" s="22">
        <f t="shared" si="19"/>
        <v>1500</v>
      </c>
      <c r="J1157" s="18" t="s">
        <v>1113</v>
      </c>
      <c r="K1157" s="18">
        <v>9813892</v>
      </c>
      <c r="L1157" s="18">
        <v>903589</v>
      </c>
      <c r="M1157" s="18" t="s">
        <v>2816</v>
      </c>
      <c r="N1157" s="16" t="s">
        <v>2507</v>
      </c>
      <c r="O1157" s="18" t="s">
        <v>1532</v>
      </c>
      <c r="P1157" s="18" t="s">
        <v>2585</v>
      </c>
      <c r="Q1157" s="29" t="str" cm="1">
        <f t="array" ref="Q1157">_xlfn.IFS(
A1157="","",
AND(A1157&lt;&gt;"",B1157=""),"FALTA LANÇAMENTO",
AND(B1157&lt;&gt;"",M1157=""),"FALTA O PEDIDO",
AND(M1157&lt;&gt;"",O1157=""),"FALTA NF",
O1157&lt;&gt;"","CONCLUÍDO")</f>
        <v>CONCLUÍDO</v>
      </c>
      <c r="R1157" s="36"/>
    </row>
    <row r="1158" spans="1:18" hidden="1">
      <c r="A1158" s="16">
        <v>46111</v>
      </c>
      <c r="B1158" s="16">
        <v>46114</v>
      </c>
      <c r="C1158" s="21">
        <v>51521053</v>
      </c>
      <c r="D1158" s="16" t="str">
        <f>IFERROR(VLOOKUP(Tabela5[[#This Row],[PREFIXO ]],Tabela4[#All],2,0),"CENTRO DE CUSTO")</f>
        <v>COLHED ALGODÃO JOHN DEERE CP 690</v>
      </c>
      <c r="E1158" s="18" t="s">
        <v>255</v>
      </c>
      <c r="F1158" s="21">
        <v>882</v>
      </c>
      <c r="G1158" s="22">
        <v>1386</v>
      </c>
      <c r="H1158" s="22"/>
      <c r="I1158" s="22">
        <f t="shared" si="19"/>
        <v>1386</v>
      </c>
      <c r="J1158" s="18" t="s">
        <v>1113</v>
      </c>
      <c r="K1158" s="18">
        <v>9813894</v>
      </c>
      <c r="L1158" s="18">
        <v>903589</v>
      </c>
      <c r="M1158" s="18" t="s">
        <v>2816</v>
      </c>
      <c r="N1158" s="16" t="s">
        <v>2507</v>
      </c>
      <c r="O1158" s="18" t="s">
        <v>1532</v>
      </c>
      <c r="P1158" s="18" t="s">
        <v>2585</v>
      </c>
      <c r="Q1158" s="29" t="str" cm="1">
        <f t="array" ref="Q1158">_xlfn.IFS(
A1158="","",
AND(A1158&lt;&gt;"",B1158=""),"FALTA LANÇAMENTO",
AND(B1158&lt;&gt;"",M1158=""),"FALTA O PEDIDO",
AND(M1158&lt;&gt;"",O1158=""),"FALTA NF",
O1158&lt;&gt;"","CONCLUÍDO")</f>
        <v>CONCLUÍDO</v>
      </c>
      <c r="R1158" s="36"/>
    </row>
    <row r="1159" spans="1:18" hidden="1">
      <c r="A1159" s="16">
        <v>46111</v>
      </c>
      <c r="B1159" s="16">
        <v>46114</v>
      </c>
      <c r="C1159" s="21">
        <v>51521049</v>
      </c>
      <c r="D1159" s="16" t="str">
        <f>IFERROR(VLOOKUP(Tabela5[[#This Row],[PREFIXO ]],Tabela4[#All],2,0),"CENTRO DE CUSTO")</f>
        <v>COLHED ALGODÃO JOHN DEERE CP 690</v>
      </c>
      <c r="E1159" s="18" t="s">
        <v>255</v>
      </c>
      <c r="F1159" s="21">
        <v>881</v>
      </c>
      <c r="G1159" s="22">
        <v>1053.29</v>
      </c>
      <c r="H1159" s="22"/>
      <c r="I1159" s="22">
        <f t="shared" si="19"/>
        <v>1053.29</v>
      </c>
      <c r="J1159" s="18" t="s">
        <v>1113</v>
      </c>
      <c r="K1159" s="18">
        <v>9813899</v>
      </c>
      <c r="L1159" s="18">
        <v>903589</v>
      </c>
      <c r="M1159" s="18" t="s">
        <v>2816</v>
      </c>
      <c r="N1159" s="16" t="s">
        <v>2507</v>
      </c>
      <c r="O1159" s="18" t="s">
        <v>1532</v>
      </c>
      <c r="P1159" s="18" t="s">
        <v>2585</v>
      </c>
      <c r="Q1159" s="29" t="str" cm="1">
        <f t="array" ref="Q1159">_xlfn.IFS(
A1159="","",
AND(A1159&lt;&gt;"",B1159=""),"FALTA LANÇAMENTO",
AND(B1159&lt;&gt;"",M1159=""),"FALTA O PEDIDO",
AND(M1159&lt;&gt;"",O1159=""),"FALTA NF",
O1159&lt;&gt;"","CONCLUÍDO")</f>
        <v>CONCLUÍDO</v>
      </c>
      <c r="R1159" s="36"/>
    </row>
    <row r="1160" spans="1:18" hidden="1">
      <c r="A1160" s="16">
        <v>46111</v>
      </c>
      <c r="B1160" s="16">
        <v>46114</v>
      </c>
      <c r="C1160" s="21">
        <v>81521584</v>
      </c>
      <c r="D1160" s="16" t="str">
        <f>IFERROR(VLOOKUP(Tabela5[[#This Row],[PREFIXO ]],Tabela4[#All],2,0),"CENTRO DE CUSTO")</f>
        <v>CENTRO DE CUSTO</v>
      </c>
      <c r="E1160" s="18" t="s">
        <v>255</v>
      </c>
      <c r="F1160" s="21">
        <v>884</v>
      </c>
      <c r="G1160" s="22">
        <v>600</v>
      </c>
      <c r="H1160" s="22"/>
      <c r="I1160" s="22">
        <f t="shared" si="19"/>
        <v>600</v>
      </c>
      <c r="J1160" s="18" t="s">
        <v>1113</v>
      </c>
      <c r="K1160" s="18">
        <v>9813897</v>
      </c>
      <c r="L1160" s="18">
        <v>903589</v>
      </c>
      <c r="M1160" s="18" t="s">
        <v>2816</v>
      </c>
      <c r="N1160" s="16" t="s">
        <v>2507</v>
      </c>
      <c r="O1160" s="18" t="s">
        <v>1532</v>
      </c>
      <c r="P1160" s="18" t="s">
        <v>2585</v>
      </c>
      <c r="Q1160" s="29" t="str" cm="1">
        <f t="array" ref="Q1160">_xlfn.IFS(
A1160="","",
AND(A1160&lt;&gt;"",B1160=""),"FALTA LANÇAMENTO",
AND(B1160&lt;&gt;"",M1160=""),"FALTA O PEDIDO",
AND(M1160&lt;&gt;"",O1160=""),"FALTA NF",
O1160&lt;&gt;"","CONCLUÍDO")</f>
        <v>CONCLUÍDO</v>
      </c>
      <c r="R1160" s="36"/>
    </row>
    <row r="1161" spans="1:18" hidden="1">
      <c r="A1161" s="16">
        <v>46111</v>
      </c>
      <c r="B1161" s="16">
        <v>46114</v>
      </c>
      <c r="C1161" s="21" t="s">
        <v>1134</v>
      </c>
      <c r="D1161" s="16" t="str">
        <f>IFERROR(VLOOKUP(Tabela5[[#This Row],[PREFIXO ]],Tabela4[#All],2,0),"CENTRO DE CUSTO")</f>
        <v>CENTRO DE CUSTO</v>
      </c>
      <c r="E1161" s="18" t="s">
        <v>259</v>
      </c>
      <c r="F1161" s="21" t="s">
        <v>2908</v>
      </c>
      <c r="G1161" s="22">
        <v>50.43</v>
      </c>
      <c r="H1161" s="22">
        <v>7585.23</v>
      </c>
      <c r="I1161" s="22">
        <f t="shared" si="19"/>
        <v>7635.66</v>
      </c>
      <c r="J1161" s="18" t="s">
        <v>2901</v>
      </c>
      <c r="K1161" s="18" t="s">
        <v>1095</v>
      </c>
      <c r="L1161" s="18" t="s">
        <v>1095</v>
      </c>
      <c r="M1161" s="18" t="s">
        <v>1095</v>
      </c>
      <c r="N1161" s="16" t="s">
        <v>1095</v>
      </c>
      <c r="O1161" s="18" t="s">
        <v>1095</v>
      </c>
      <c r="P1161" s="18" t="s">
        <v>1095</v>
      </c>
      <c r="Q1161" s="29" t="str" cm="1">
        <f t="array" ref="Q1161">_xlfn.IFS(
A1161="","",
AND(A1161&lt;&gt;"",B1161=""),"FALTA LANÇAMENTO",
AND(B1161&lt;&gt;"",M1161=""),"FALTA O PEDIDO",
AND(M1161&lt;&gt;"",O1161=""),"FALTA NF",
O1161&lt;&gt;"","CONCLUÍDO")</f>
        <v>CONCLUÍDO</v>
      </c>
      <c r="R1161" s="36"/>
    </row>
    <row r="1162" spans="1:18" hidden="1">
      <c r="A1162" s="16">
        <v>46111</v>
      </c>
      <c r="B1162" s="16">
        <v>46120</v>
      </c>
      <c r="C1162" s="21" t="s">
        <v>1134</v>
      </c>
      <c r="D1162" s="16" t="str">
        <f>IFERROR(VLOOKUP(Tabela5[[#This Row],[PREFIXO ]],Tabela4[#All],2,0),"CENTRO DE CUSTO")</f>
        <v>CENTRO DE CUSTO</v>
      </c>
      <c r="E1162" s="18" t="s">
        <v>259</v>
      </c>
      <c r="F1162" s="21" t="s">
        <v>2909</v>
      </c>
      <c r="G1162" s="22">
        <v>50.43</v>
      </c>
      <c r="H1162" s="22">
        <v>7585.23</v>
      </c>
      <c r="I1162" s="22">
        <f t="shared" si="19"/>
        <v>7635.66</v>
      </c>
      <c r="J1162" s="18" t="s">
        <v>1199</v>
      </c>
      <c r="K1162" s="18">
        <v>9814466</v>
      </c>
      <c r="L1162" s="18">
        <v>904179</v>
      </c>
      <c r="M1162" s="18" t="s">
        <v>2910</v>
      </c>
      <c r="N1162" s="16" t="s">
        <v>2507</v>
      </c>
      <c r="O1162" s="18" t="s">
        <v>1095</v>
      </c>
      <c r="P1162" s="18" t="s">
        <v>1095</v>
      </c>
      <c r="Q1162" s="29" t="str" cm="1">
        <f t="array" ref="Q1162">_xlfn.IFS(
A1162="","",
AND(A1162&lt;&gt;"",B1162=""),"FALTA LANÇAMENTO",
AND(B1162&lt;&gt;"",M1162=""),"FALTA O PEDIDO",
AND(M1162&lt;&gt;"",O1162=""),"FALTA NF",
O1162&lt;&gt;"","CONCLUÍDO")</f>
        <v>CONCLUÍDO</v>
      </c>
      <c r="R1162" s="36"/>
    </row>
    <row r="1163" spans="1:18" hidden="1">
      <c r="A1163" s="16">
        <v>46111</v>
      </c>
      <c r="B1163" s="16">
        <v>46121</v>
      </c>
      <c r="C1163" s="21">
        <v>61521081</v>
      </c>
      <c r="D1163" s="16" t="str">
        <f>IFERROR(VLOOKUP(Tabela5[[#This Row],[PREFIXO ]],Tabela4[#All],2,0),"CENTRO DE CUSTO")</f>
        <v>CAV MEC EXT PES VOLVO FH 540</v>
      </c>
      <c r="E1163" s="18" t="s">
        <v>156</v>
      </c>
      <c r="F1163" s="21">
        <v>2165</v>
      </c>
      <c r="G1163" s="22">
        <v>520</v>
      </c>
      <c r="H1163" s="22">
        <v>400</v>
      </c>
      <c r="I1163" s="22">
        <f t="shared" si="19"/>
        <v>920</v>
      </c>
      <c r="J1163" s="18" t="s">
        <v>1199</v>
      </c>
      <c r="K1163" s="18">
        <v>9826734</v>
      </c>
      <c r="L1163" s="18" t="s">
        <v>1095</v>
      </c>
      <c r="M1163" s="18" t="s">
        <v>1095</v>
      </c>
      <c r="N1163" s="16" t="s">
        <v>1095</v>
      </c>
      <c r="O1163" s="18" t="s">
        <v>1095</v>
      </c>
      <c r="P1163" s="18" t="s">
        <v>1095</v>
      </c>
      <c r="Q1163" s="29" t="str" cm="1">
        <f t="array" ref="Q1163">_xlfn.IFS(
A1163="","",
AND(A1163&lt;&gt;"",B1163=""),"FALTA LANÇAMENTO",
AND(B1163&lt;&gt;"",M1163=""),"FALTA O PEDIDO",
AND(M1163&lt;&gt;"",O1163=""),"FALTA NF",
O1163&lt;&gt;"","CONCLUÍDO")</f>
        <v>CONCLUÍDO</v>
      </c>
      <c r="R1163" s="36"/>
    </row>
    <row r="1164" spans="1:18" hidden="1">
      <c r="A1164" s="16">
        <v>46111</v>
      </c>
      <c r="B1164" s="16">
        <v>46119</v>
      </c>
      <c r="C1164" s="21" t="s">
        <v>2911</v>
      </c>
      <c r="D1164" s="16" t="str">
        <f>IFERROR(VLOOKUP(Tabela5[[#This Row],[PREFIXO ]],Tabela4[#All],2,0),"CENTRO DE CUSTO")</f>
        <v>CENTRO DE CUSTO</v>
      </c>
      <c r="E1164" s="18" t="s">
        <v>312</v>
      </c>
      <c r="F1164" s="21" t="s">
        <v>1303</v>
      </c>
      <c r="G1164" s="22">
        <v>25976.31</v>
      </c>
      <c r="H1164" s="22"/>
      <c r="I1164" s="22">
        <f t="shared" si="19"/>
        <v>25976.31</v>
      </c>
      <c r="J1164" s="18" t="s">
        <v>1199</v>
      </c>
      <c r="K1164" s="18" t="s">
        <v>2912</v>
      </c>
      <c r="L1164" s="18">
        <v>902875</v>
      </c>
      <c r="M1164" s="18" t="s">
        <v>2913</v>
      </c>
      <c r="N1164" s="16" t="s">
        <v>2595</v>
      </c>
      <c r="O1164" s="18" t="s">
        <v>2466</v>
      </c>
      <c r="P1164" s="18" t="s">
        <v>2507</v>
      </c>
      <c r="Q1164" s="29" t="str" cm="1">
        <f t="array" ref="Q1164">_xlfn.IFS(
A1164="","",
AND(A1164&lt;&gt;"",B1164=""),"FALTA LANÇAMENTO",
AND(B1164&lt;&gt;"",M1164=""),"FALTA O PEDIDO",
AND(M1164&lt;&gt;"",O1164=""),"FALTA NF",
O1164&lt;&gt;"","CONCLUÍDO")</f>
        <v>CONCLUÍDO</v>
      </c>
      <c r="R1164" s="36"/>
    </row>
    <row r="1165" spans="1:18" hidden="1">
      <c r="A1165" s="16">
        <v>46111</v>
      </c>
      <c r="B1165" s="16">
        <v>46114</v>
      </c>
      <c r="C1165" s="21">
        <v>1173014</v>
      </c>
      <c r="D1165" s="16" t="str">
        <f>IFERROR(VLOOKUP(Tabela5[[#This Row],[PREFIXO ]],Tabela4[#All],2,0),"CENTRO DE CUSTO")</f>
        <v>TRAT PN MED N.HOLLAND 7630</v>
      </c>
      <c r="E1165" s="18" t="s">
        <v>312</v>
      </c>
      <c r="F1165" s="21" t="s">
        <v>1100</v>
      </c>
      <c r="G1165" s="22">
        <v>979.2</v>
      </c>
      <c r="H1165" s="22"/>
      <c r="I1165" s="22">
        <f t="shared" si="19"/>
        <v>979.2</v>
      </c>
      <c r="J1165" s="18" t="s">
        <v>1199</v>
      </c>
      <c r="K1165" s="18">
        <v>9814005</v>
      </c>
      <c r="L1165" s="18">
        <v>897242</v>
      </c>
      <c r="M1165" s="18" t="s">
        <v>2914</v>
      </c>
      <c r="N1165" s="16" t="s">
        <v>2538</v>
      </c>
      <c r="O1165" s="18" t="s">
        <v>1532</v>
      </c>
      <c r="P1165" s="18" t="s">
        <v>2305</v>
      </c>
      <c r="Q1165" s="29" t="str" cm="1">
        <f t="array" ref="Q1165">_xlfn.IFS(
A1165="","",
AND(A1165&lt;&gt;"",B1165=""),"FALTA LANÇAMENTO",
AND(B1165&lt;&gt;"",M1165=""),"FALTA O PEDIDO",
AND(M1165&lt;&gt;"",O1165=""),"FALTA NF",
O1165&lt;&gt;"","CONCLUÍDO")</f>
        <v>CONCLUÍDO</v>
      </c>
      <c r="R1165" s="36"/>
    </row>
    <row r="1166" spans="1:18" hidden="1">
      <c r="A1166" s="16">
        <v>46111</v>
      </c>
      <c r="B1166" s="16">
        <v>46114</v>
      </c>
      <c r="C1166" s="21">
        <v>43080001</v>
      </c>
      <c r="D1166" s="16" t="str">
        <f>IFERROR(VLOOKUP(Tabela5[[#This Row],[PREFIXO ]],Tabela4[#All],2,0),"CENTRO DE CUSTO")</f>
        <v>TRAT PN LEVE CASE FARMALL 80</v>
      </c>
      <c r="E1166" s="18" t="s">
        <v>312</v>
      </c>
      <c r="F1166" s="21" t="s">
        <v>1301</v>
      </c>
      <c r="G1166" s="22">
        <v>975.24</v>
      </c>
      <c r="H1166" s="22"/>
      <c r="I1166" s="22">
        <f t="shared" si="19"/>
        <v>975.24</v>
      </c>
      <c r="J1166" s="18" t="s">
        <v>1199</v>
      </c>
      <c r="K1166" s="18">
        <v>9813896</v>
      </c>
      <c r="L1166" s="18">
        <v>897242</v>
      </c>
      <c r="M1166" s="18" t="s">
        <v>2914</v>
      </c>
      <c r="N1166" s="16" t="s">
        <v>2538</v>
      </c>
      <c r="O1166" s="18" t="s">
        <v>1532</v>
      </c>
      <c r="P1166" s="18" t="s">
        <v>2305</v>
      </c>
      <c r="Q1166" s="29" t="str" cm="1">
        <f t="array" ref="Q1166">_xlfn.IFS(
A1166="","",
AND(A1166&lt;&gt;"",B1166=""),"FALTA LANÇAMENTO",
AND(B1166&lt;&gt;"",M1166=""),"FALTA O PEDIDO",
AND(M1166&lt;&gt;"",O1166=""),"FALTA NF",
O1166&lt;&gt;"","CONCLUÍDO")</f>
        <v>CONCLUÍDO</v>
      </c>
      <c r="R1166" s="36"/>
    </row>
    <row r="1167" spans="1:18" hidden="1">
      <c r="A1167" s="16">
        <v>46111</v>
      </c>
      <c r="B1167" s="16">
        <v>46114</v>
      </c>
      <c r="C1167" s="21">
        <v>8173248</v>
      </c>
      <c r="D1167" s="16" t="str">
        <f>IFERROR(VLOOKUP(Tabela5[[#This Row],[PREFIXO ]],Tabela4[#All],2,0),"CENTRO DE CUSTO")</f>
        <v>GERADOR ENERGIA</v>
      </c>
      <c r="E1167" s="18" t="s">
        <v>312</v>
      </c>
      <c r="F1167" s="21" t="s">
        <v>1105</v>
      </c>
      <c r="G1167" s="22">
        <v>375</v>
      </c>
      <c r="H1167" s="22"/>
      <c r="I1167" s="22">
        <f t="shared" si="19"/>
        <v>375</v>
      </c>
      <c r="J1167" s="18" t="s">
        <v>1199</v>
      </c>
      <c r="K1167" s="18">
        <v>9814016</v>
      </c>
      <c r="L1167" s="18">
        <v>897242</v>
      </c>
      <c r="M1167" s="18" t="s">
        <v>2914</v>
      </c>
      <c r="N1167" s="16" t="s">
        <v>2538</v>
      </c>
      <c r="O1167" s="18" t="s">
        <v>1532</v>
      </c>
      <c r="P1167" s="18" t="s">
        <v>2305</v>
      </c>
      <c r="Q1167" s="29" t="str" cm="1">
        <f t="array" ref="Q1167">_xlfn.IFS(
A1167="","",
AND(A1167&lt;&gt;"",B1167=""),"FALTA LANÇAMENTO",
AND(B1167&lt;&gt;"",M1167=""),"FALTA O PEDIDO",
AND(M1167&lt;&gt;"",O1167=""),"FALTA NF",
O1167&lt;&gt;"","CONCLUÍDO")</f>
        <v>CONCLUÍDO</v>
      </c>
      <c r="R1167" s="36"/>
    </row>
    <row r="1168" spans="1:18" hidden="1">
      <c r="A1168" s="16">
        <v>46120</v>
      </c>
      <c r="B1168" s="16">
        <v>46121</v>
      </c>
      <c r="C1168" s="21">
        <v>35009001</v>
      </c>
      <c r="D1168" s="16" t="str">
        <f>IFERROR(VLOOKUP(Tabela5[[#This Row],[PREFIXO ]],Tabela4[#All],2,0),"CENTRO DE CUSTO")</f>
        <v>PULV AUTOPROP JACTO UNIPORT 3030</v>
      </c>
      <c r="E1168" s="18" t="s">
        <v>11</v>
      </c>
      <c r="F1168" s="21">
        <v>364</v>
      </c>
      <c r="G1168" s="22">
        <v>36788.660000000003</v>
      </c>
      <c r="H1168" s="22">
        <v>8211.34</v>
      </c>
      <c r="I1168" s="22">
        <f t="shared" si="19"/>
        <v>45000</v>
      </c>
      <c r="J1168" s="18" t="s">
        <v>1265</v>
      </c>
      <c r="K1168" s="18">
        <v>9750208</v>
      </c>
      <c r="L1168" s="18">
        <v>905578</v>
      </c>
      <c r="M1168" s="18" t="s">
        <v>2915</v>
      </c>
      <c r="N1168" s="16" t="s">
        <v>2585</v>
      </c>
      <c r="O1168" s="18" t="s">
        <v>2916</v>
      </c>
      <c r="P1168" s="18" t="s">
        <v>2587</v>
      </c>
      <c r="Q1168" s="29" t="str" cm="1">
        <f t="array" ref="Q1168">_xlfn.IFS(
A1168="","",
AND(A1168&lt;&gt;"",B1168=""),"FALTA LANÇAMENTO",
AND(B1168&lt;&gt;"",M1168=""),"FALTA O PEDIDO",
AND(M1168&lt;&gt;"",O1168=""),"FALTA NF",
O1168&lt;&gt;"","CONCLUÍDO")</f>
        <v>CONCLUÍDO</v>
      </c>
      <c r="R1168" s="36"/>
    </row>
    <row r="1169" spans="1:18" hidden="1">
      <c r="A1169" s="16">
        <v>46120</v>
      </c>
      <c r="B1169" s="16">
        <v>46125</v>
      </c>
      <c r="C1169" s="21">
        <v>51519060</v>
      </c>
      <c r="D1169" s="16" t="str">
        <f>IFERROR(VLOOKUP(Tabela5[[#This Row],[PREFIXO ]],Tabela4[#All],2,0),"CENTRO DE CUSTO")</f>
        <v>CENTRO DE CUSTO</v>
      </c>
      <c r="E1169" s="18" t="s">
        <v>17</v>
      </c>
      <c r="F1169" s="21">
        <v>42474</v>
      </c>
      <c r="G1169" s="22">
        <v>2905.5</v>
      </c>
      <c r="H1169" s="22"/>
      <c r="I1169" s="22">
        <f t="shared" si="19"/>
        <v>2905.5</v>
      </c>
      <c r="J1169" s="18" t="s">
        <v>1113</v>
      </c>
      <c r="K1169" s="18">
        <v>9826691</v>
      </c>
      <c r="L1169" s="18">
        <v>907522</v>
      </c>
      <c r="M1169" s="18" t="s">
        <v>2917</v>
      </c>
      <c r="N1169" s="16" t="s">
        <v>2556</v>
      </c>
      <c r="O1169" s="18" t="s">
        <v>2918</v>
      </c>
      <c r="P1169" s="18" t="s">
        <v>1526</v>
      </c>
      <c r="Q1169" s="29" t="str" cm="1">
        <f t="array" ref="Q1169">_xlfn.IFS(
A1169="","",
AND(A1169&lt;&gt;"",B1169=""),"FALTA LANÇAMENTO",
AND(B1169&lt;&gt;"",M1169=""),"FALTA O PEDIDO",
AND(M1169&lt;&gt;"",O1169=""),"FALTA NF",
O1169&lt;&gt;"","CONCLUÍDO")</f>
        <v>CONCLUÍDO</v>
      </c>
      <c r="R1169" s="36"/>
    </row>
    <row r="1170" spans="1:18" hidden="1">
      <c r="A1170" s="16">
        <v>46120</v>
      </c>
      <c r="B1170" s="16">
        <v>46121</v>
      </c>
      <c r="C1170" s="21">
        <v>13130045</v>
      </c>
      <c r="D1170" s="16" t="str">
        <f>IFERROR(VLOOKUP(Tabela5[[#This Row],[PREFIXO ]],Tabela4[#All],2,0),"CENTRO DE CUSTO")</f>
        <v>PULV AUTOPROP JOHN DEERE M4030</v>
      </c>
      <c r="E1170" s="18" t="s">
        <v>17</v>
      </c>
      <c r="F1170" s="21">
        <v>43352</v>
      </c>
      <c r="G1170" s="22">
        <v>1817</v>
      </c>
      <c r="H1170" s="22"/>
      <c r="I1170" s="22">
        <f t="shared" si="19"/>
        <v>1817</v>
      </c>
      <c r="J1170" s="18" t="s">
        <v>1080</v>
      </c>
      <c r="K1170" s="18">
        <v>9825372</v>
      </c>
      <c r="L1170" s="18">
        <v>905195</v>
      </c>
      <c r="M1170" s="18" t="s">
        <v>2919</v>
      </c>
      <c r="N1170" s="16" t="s">
        <v>2585</v>
      </c>
      <c r="O1170" s="18" t="s">
        <v>2920</v>
      </c>
      <c r="P1170" s="18" t="s">
        <v>2619</v>
      </c>
      <c r="Q1170" s="29" t="str" cm="1">
        <f t="array" ref="Q1170">_xlfn.IFS(
A1170="","",
AND(A1170&lt;&gt;"",B1170=""),"FALTA LANÇAMENTO",
AND(B1170&lt;&gt;"",M1170=""),"FALTA O PEDIDO",
AND(M1170&lt;&gt;"",O1170=""),"FALTA NF",
O1170&lt;&gt;"","CONCLUÍDO")</f>
        <v>CONCLUÍDO</v>
      </c>
      <c r="R1170" s="36"/>
    </row>
    <row r="1171" spans="1:18" hidden="1">
      <c r="A1171" s="16">
        <v>46120</v>
      </c>
      <c r="B1171" s="16">
        <v>46121</v>
      </c>
      <c r="C1171" s="21">
        <v>85014034</v>
      </c>
      <c r="D1171" s="16" t="str">
        <f>IFERROR(VLOOKUP(Tabela5[[#This Row],[PREFIXO ]],Tabela4[#All],2,0),"CENTRO DE CUSTO")</f>
        <v>CENTRO DE CUSTO</v>
      </c>
      <c r="E1171" s="18" t="s">
        <v>24</v>
      </c>
      <c r="F1171" s="21">
        <v>154617</v>
      </c>
      <c r="G1171" s="22"/>
      <c r="H1171" s="22">
        <v>1337.04</v>
      </c>
      <c r="I1171" s="22">
        <f t="shared" si="19"/>
        <v>1337.04</v>
      </c>
      <c r="J1171" s="18" t="s">
        <v>1085</v>
      </c>
      <c r="K1171" s="18">
        <v>9825820</v>
      </c>
      <c r="L1171" s="18">
        <v>905497</v>
      </c>
      <c r="M1171" s="18" t="s">
        <v>2921</v>
      </c>
      <c r="N1171" s="16" t="s">
        <v>2585</v>
      </c>
      <c r="O1171" s="18" t="s">
        <v>2922</v>
      </c>
      <c r="P1171" s="18" t="s">
        <v>2923</v>
      </c>
      <c r="Q1171" s="29" t="str" cm="1">
        <f t="array" ref="Q1171">_xlfn.IFS(
A1171="","",
AND(A1171&lt;&gt;"",B1171=""),"FALTA LANÇAMENTO",
AND(B1171&lt;&gt;"",M1171=""),"FALTA O PEDIDO",
AND(M1171&lt;&gt;"",O1171=""),"FALTA NF",
O1171&lt;&gt;"","CONCLUÍDO")</f>
        <v>CONCLUÍDO</v>
      </c>
      <c r="R1171" s="36"/>
    </row>
    <row r="1172" spans="1:18" hidden="1">
      <c r="A1172" s="16">
        <v>46120</v>
      </c>
      <c r="B1172" s="16">
        <v>46121</v>
      </c>
      <c r="C1172" s="21">
        <v>85014034</v>
      </c>
      <c r="D1172" s="16" t="str">
        <f>IFERROR(VLOOKUP(Tabela5[[#This Row],[PREFIXO ]],Tabela4[#All],2,0),"CENTRO DE CUSTO")</f>
        <v>CENTRO DE CUSTO</v>
      </c>
      <c r="E1172" s="18" t="s">
        <v>24</v>
      </c>
      <c r="F1172" s="21">
        <v>16667</v>
      </c>
      <c r="G1172" s="22">
        <v>495</v>
      </c>
      <c r="H1172" s="22"/>
      <c r="I1172" s="22">
        <f t="shared" si="19"/>
        <v>495</v>
      </c>
      <c r="J1172" s="18" t="s">
        <v>1085</v>
      </c>
      <c r="K1172" s="18">
        <v>9825820</v>
      </c>
      <c r="L1172" s="18">
        <v>905497</v>
      </c>
      <c r="M1172" s="18" t="s">
        <v>2921</v>
      </c>
      <c r="N1172" s="16" t="s">
        <v>2585</v>
      </c>
      <c r="O1172" s="18" t="s">
        <v>2922</v>
      </c>
      <c r="P1172" s="18" t="s">
        <v>2923</v>
      </c>
      <c r="Q1172" s="29" t="str" cm="1">
        <f t="array" ref="Q1172">_xlfn.IFS(
A1172="","",
AND(A1172&lt;&gt;"",B1172=""),"FALTA LANÇAMENTO",
AND(B1172&lt;&gt;"",M1172=""),"FALTA O PEDIDO",
AND(M1172&lt;&gt;"",O1172=""),"FALTA NF",
O1172&lt;&gt;"","CONCLUÍDO")</f>
        <v>CONCLUÍDO</v>
      </c>
      <c r="R1172" s="36"/>
    </row>
    <row r="1173" spans="1:18" hidden="1">
      <c r="A1173" s="16">
        <v>46120</v>
      </c>
      <c r="B1173" s="16">
        <v>46121</v>
      </c>
      <c r="C1173" s="21">
        <v>500580347</v>
      </c>
      <c r="D1173" s="16" t="str">
        <f>IFERROR(VLOOKUP(Tabela5[[#This Row],[PREFIXO ]],Tabela4[#All],2,0),"CENTRO DE CUSTO")</f>
        <v>Micro-Onibus</v>
      </c>
      <c r="E1173" s="18" t="s">
        <v>339</v>
      </c>
      <c r="F1173" s="21" t="s">
        <v>1134</v>
      </c>
      <c r="G1173" s="22">
        <v>700</v>
      </c>
      <c r="H1173" s="22"/>
      <c r="I1173" s="22">
        <f t="shared" si="19"/>
        <v>700</v>
      </c>
      <c r="J1173" s="18" t="s">
        <v>1085</v>
      </c>
      <c r="K1173" s="18">
        <v>5020332</v>
      </c>
      <c r="L1173" s="18" t="s">
        <v>1134</v>
      </c>
      <c r="M1173" s="18" t="s">
        <v>1095</v>
      </c>
      <c r="N1173" s="16" t="s">
        <v>1095</v>
      </c>
      <c r="O1173" s="18" t="s">
        <v>1095</v>
      </c>
      <c r="P1173" s="18" t="s">
        <v>1095</v>
      </c>
      <c r="Q1173" s="29" t="str" cm="1">
        <f t="array" ref="Q1173">_xlfn.IFS(
A1173="","",
AND(A1173&lt;&gt;"",B1173=""),"FALTA LANÇAMENTO",
AND(B1173&lt;&gt;"",M1173=""),"FALTA O PEDIDO",
AND(M1173&lt;&gt;"",O1173=""),"FALTA NF",
O1173&lt;&gt;"","CONCLUÍDO")</f>
        <v>CONCLUÍDO</v>
      </c>
      <c r="R1173" s="36"/>
    </row>
    <row r="1174" spans="1:18" hidden="1">
      <c r="A1174" s="16">
        <v>46120</v>
      </c>
      <c r="B1174" s="16">
        <v>46125</v>
      </c>
      <c r="C1174" s="21">
        <v>61521002</v>
      </c>
      <c r="D1174" s="16" t="str">
        <f>IFERROR(VLOOKUP(Tabela5[[#This Row],[PREFIXO ]],Tabela4[#All],2,0),"CENTRO DE CUSTO")</f>
        <v>ONIB COLETIVO VW 17230 CAIO APACH</v>
      </c>
      <c r="E1174" s="18" t="s">
        <v>29</v>
      </c>
      <c r="F1174" s="21">
        <v>55357</v>
      </c>
      <c r="G1174" s="22">
        <v>535</v>
      </c>
      <c r="H1174" s="22">
        <v>1480.34</v>
      </c>
      <c r="I1174" s="22">
        <f t="shared" si="19"/>
        <v>2015.34</v>
      </c>
      <c r="J1174" s="18" t="s">
        <v>1199</v>
      </c>
      <c r="K1174" s="18">
        <v>9826656</v>
      </c>
      <c r="L1174" s="18">
        <v>905351</v>
      </c>
      <c r="M1174" s="18" t="s">
        <v>2924</v>
      </c>
      <c r="N1174" s="16" t="s">
        <v>2619</v>
      </c>
      <c r="O1174" s="18" t="s">
        <v>2925</v>
      </c>
      <c r="P1174" s="18" t="s">
        <v>2828</v>
      </c>
      <c r="Q1174" s="29" t="str" cm="1">
        <f t="array" ref="Q1174">_xlfn.IFS(
A1174="","",
AND(A1174&lt;&gt;"",B1174=""),"FALTA LANÇAMENTO",
AND(B1174&lt;&gt;"",M1174=""),"FALTA O PEDIDO",
AND(M1174&lt;&gt;"",O1174=""),"FALTA NF",
O1174&lt;&gt;"","CONCLUÍDO")</f>
        <v>CONCLUÍDO</v>
      </c>
      <c r="R1174" s="36"/>
    </row>
    <row r="1175" spans="1:18" hidden="1">
      <c r="A1175" s="16">
        <v>46120</v>
      </c>
      <c r="B1175" s="16">
        <v>46125</v>
      </c>
      <c r="C1175" s="21">
        <v>81521406</v>
      </c>
      <c r="D1175" s="16" t="str">
        <f>IFERROR(VLOOKUP(Tabela5[[#This Row],[PREFIXO ]],Tabela4[#All],2,0),"CENTRO DE CUSTO")</f>
        <v>SEMI REBOQUE TANQUE INOX RECRUSUL</v>
      </c>
      <c r="E1175" s="18" t="s">
        <v>29</v>
      </c>
      <c r="F1175" s="21">
        <v>55409</v>
      </c>
      <c r="G1175" s="22">
        <v>470</v>
      </c>
      <c r="H1175" s="22">
        <v>878.11</v>
      </c>
      <c r="I1175" s="22">
        <f t="shared" si="19"/>
        <v>1348.1100000000001</v>
      </c>
      <c r="J1175" s="18" t="s">
        <v>1199</v>
      </c>
      <c r="K1175" s="18">
        <v>9826681</v>
      </c>
      <c r="L1175" s="18">
        <v>907089</v>
      </c>
      <c r="M1175" s="18" t="s">
        <v>2926</v>
      </c>
      <c r="N1175" s="16" t="s">
        <v>2643</v>
      </c>
      <c r="O1175" s="18" t="s">
        <v>2927</v>
      </c>
      <c r="P1175" s="18" t="s">
        <v>1480</v>
      </c>
      <c r="Q1175" s="29" t="str" cm="1">
        <f t="array" ref="Q1175">_xlfn.IFS(
A1175="","",
AND(A1175&lt;&gt;"",B1175=""),"FALTA LANÇAMENTO",
AND(B1175&lt;&gt;"",M1175=""),"FALTA O PEDIDO",
AND(M1175&lt;&gt;"",O1175=""),"FALTA NF",
O1175&lt;&gt;"","CONCLUÍDO")</f>
        <v>CONCLUÍDO</v>
      </c>
      <c r="R1175" s="36"/>
    </row>
    <row r="1176" spans="1:18" hidden="1">
      <c r="A1176" s="16">
        <v>46120</v>
      </c>
      <c r="B1176" s="16">
        <v>46125</v>
      </c>
      <c r="C1176" s="21">
        <v>61521080</v>
      </c>
      <c r="D1176" s="16" t="str">
        <f>IFERROR(VLOOKUP(Tabela5[[#This Row],[PREFIXO ]],Tabela4[#All],2,0),"CENTRO DE CUSTO")</f>
        <v>CAV MEC EXT PES VOLVO FH 540</v>
      </c>
      <c r="E1176" s="18" t="s">
        <v>29</v>
      </c>
      <c r="F1176" s="21">
        <v>55437</v>
      </c>
      <c r="G1176" s="22">
        <v>520</v>
      </c>
      <c r="H1176" s="22">
        <v>157.91999999999999</v>
      </c>
      <c r="I1176" s="22">
        <f t="shared" si="19"/>
        <v>677.92</v>
      </c>
      <c r="J1176" s="18" t="s">
        <v>1199</v>
      </c>
      <c r="K1176" s="18">
        <v>9826683</v>
      </c>
      <c r="L1176" s="18">
        <v>907167</v>
      </c>
      <c r="M1176" s="18" t="s">
        <v>2928</v>
      </c>
      <c r="N1176" s="16" t="s">
        <v>2643</v>
      </c>
      <c r="O1176" s="18" t="s">
        <v>2929</v>
      </c>
      <c r="P1176" s="18" t="s">
        <v>1480</v>
      </c>
      <c r="Q1176" s="29" t="str" cm="1">
        <f t="array" ref="Q1176">_xlfn.IFS(
A1176="","",
AND(A1176&lt;&gt;"",B1176=""),"FALTA LANÇAMENTO",
AND(B1176&lt;&gt;"",M1176=""),"FALTA O PEDIDO",
AND(M1176&lt;&gt;"",O1176=""),"FALTA NF",
O1176&lt;&gt;"","CONCLUÍDO")</f>
        <v>CONCLUÍDO</v>
      </c>
      <c r="R1176" s="36"/>
    </row>
    <row r="1177" spans="1:18" hidden="1">
      <c r="A1177" s="16">
        <v>46120</v>
      </c>
      <c r="B1177" s="16">
        <v>46121</v>
      </c>
      <c r="C1177" s="21">
        <v>31521034</v>
      </c>
      <c r="D1177" s="16" t="str">
        <f>IFERROR(VLOOKUP(Tabela5[[#This Row],[PREFIXO ]],Tabela4[#All],2,0),"CENTRO DE CUSTO")</f>
        <v>ADUB AUTOPROP KUHN ACCURA ST 7000</v>
      </c>
      <c r="E1177" s="18" t="s">
        <v>34</v>
      </c>
      <c r="F1177" s="21">
        <v>71330</v>
      </c>
      <c r="G1177" s="22"/>
      <c r="H1177" s="22">
        <v>3950</v>
      </c>
      <c r="I1177" s="22">
        <f t="shared" si="19"/>
        <v>3950</v>
      </c>
      <c r="J1177" s="18" t="s">
        <v>1080</v>
      </c>
      <c r="K1177" s="18">
        <v>9825379</v>
      </c>
      <c r="L1177" s="18">
        <v>905458</v>
      </c>
      <c r="M1177" s="18" t="s">
        <v>2930</v>
      </c>
      <c r="N1177" s="16" t="s">
        <v>2585</v>
      </c>
      <c r="O1177" s="18" t="s">
        <v>2931</v>
      </c>
      <c r="P1177" s="18" t="s">
        <v>2587</v>
      </c>
      <c r="Q1177" s="29" t="str" cm="1">
        <f t="array" ref="Q1177">_xlfn.IFS(
A1177="","",
AND(A1177&lt;&gt;"",B1177=""),"FALTA LANÇAMENTO",
AND(B1177&lt;&gt;"",M1177=""),"FALTA O PEDIDO",
AND(M1177&lt;&gt;"",O1177=""),"FALTA NF",
O1177&lt;&gt;"","CONCLUÍDO")</f>
        <v>CONCLUÍDO</v>
      </c>
      <c r="R1177" s="36"/>
    </row>
    <row r="1178" spans="1:18" hidden="1">
      <c r="A1178" s="16">
        <v>46120</v>
      </c>
      <c r="B1178" s="16">
        <v>46121</v>
      </c>
      <c r="C1178" s="21">
        <v>31521034</v>
      </c>
      <c r="D1178" s="16" t="str">
        <f>IFERROR(VLOOKUP(Tabela5[[#This Row],[PREFIXO ]],Tabela4[#All],2,0),"CENTRO DE CUSTO")</f>
        <v>ADUB AUTOPROP KUHN ACCURA ST 7000</v>
      </c>
      <c r="E1178" s="18" t="s">
        <v>34</v>
      </c>
      <c r="F1178" s="21">
        <v>40892</v>
      </c>
      <c r="G1178" s="22">
        <v>350</v>
      </c>
      <c r="H1178" s="22"/>
      <c r="I1178" s="22">
        <f t="shared" si="19"/>
        <v>350</v>
      </c>
      <c r="J1178" s="18" t="s">
        <v>1080</v>
      </c>
      <c r="K1178" s="18">
        <v>9825379</v>
      </c>
      <c r="L1178" s="18">
        <v>905458</v>
      </c>
      <c r="M1178" s="18" t="s">
        <v>2930</v>
      </c>
      <c r="N1178" s="16" t="s">
        <v>2585</v>
      </c>
      <c r="O1178" s="18" t="s">
        <v>2931</v>
      </c>
      <c r="P1178" s="18" t="s">
        <v>2587</v>
      </c>
      <c r="Q1178" s="29" t="str" cm="1">
        <f t="array" ref="Q1178">_xlfn.IFS(
A1178="","",
AND(A1178&lt;&gt;"",B1178=""),"FALTA LANÇAMENTO",
AND(B1178&lt;&gt;"",M1178=""),"FALTA O PEDIDO",
AND(M1178&lt;&gt;"",O1178=""),"FALTA NF",
O1178&lt;&gt;"","CONCLUÍDO")</f>
        <v>CONCLUÍDO</v>
      </c>
      <c r="R1178" s="36"/>
    </row>
    <row r="1179" spans="1:18" hidden="1">
      <c r="A1179" s="16">
        <v>46120</v>
      </c>
      <c r="B1179" s="16">
        <v>46121</v>
      </c>
      <c r="C1179" s="21">
        <v>500580349</v>
      </c>
      <c r="D1179" s="16" t="str">
        <f>IFERROR(VLOOKUP(Tabela5[[#This Row],[PREFIXO ]],Tabela4[#All],2,0),"CENTRO DE CUSTO")</f>
        <v>ADUBADORES AUTOPROPE</v>
      </c>
      <c r="E1179" s="18" t="s">
        <v>51</v>
      </c>
      <c r="F1179" s="21">
        <v>347</v>
      </c>
      <c r="G1179" s="22">
        <v>35000</v>
      </c>
      <c r="H1179" s="22"/>
      <c r="I1179" s="22">
        <f t="shared" si="19"/>
        <v>35000</v>
      </c>
      <c r="J1179" s="18" t="s">
        <v>1265</v>
      </c>
      <c r="K1179" s="18">
        <v>5020274</v>
      </c>
      <c r="L1179" s="18">
        <v>905212</v>
      </c>
      <c r="M1179" s="18" t="s">
        <v>2932</v>
      </c>
      <c r="N1179" s="16" t="s">
        <v>2585</v>
      </c>
      <c r="O1179" s="18" t="s">
        <v>1296</v>
      </c>
      <c r="P1179" s="18" t="s">
        <v>2585</v>
      </c>
      <c r="Q1179" s="29" t="str" cm="1">
        <f t="array" ref="Q1179">_xlfn.IFS(
A1179="","",
AND(A1179&lt;&gt;"",B1179=""),"FALTA LANÇAMENTO",
AND(B1179&lt;&gt;"",M1179=""),"FALTA O PEDIDO",
AND(M1179&lt;&gt;"",O1179=""),"FALTA NF",
O1179&lt;&gt;"","CONCLUÍDO")</f>
        <v>CONCLUÍDO</v>
      </c>
      <c r="R1179" s="36"/>
    </row>
    <row r="1180" spans="1:18" hidden="1">
      <c r="A1180" s="16">
        <v>46120</v>
      </c>
      <c r="B1180" s="16">
        <v>46121</v>
      </c>
      <c r="C1180" s="21">
        <v>500580100</v>
      </c>
      <c r="D1180" s="16" t="str">
        <f>IFERROR(VLOOKUP(Tabela5[[#This Row],[PREFIXO ]],Tabela4[#All],2,0),"CENTRO DE CUSTO")</f>
        <v>Autopropelidos</v>
      </c>
      <c r="E1180" s="18" t="s">
        <v>62</v>
      </c>
      <c r="F1180" s="21">
        <v>1163</v>
      </c>
      <c r="G1180" s="22">
        <v>960</v>
      </c>
      <c r="H1180" s="22"/>
      <c r="I1180" s="22">
        <f t="shared" si="19"/>
        <v>960</v>
      </c>
      <c r="J1180" s="18" t="s">
        <v>1265</v>
      </c>
      <c r="K1180" s="18">
        <v>5020272</v>
      </c>
      <c r="L1180" s="18">
        <v>905223</v>
      </c>
      <c r="M1180" s="18" t="s">
        <v>2933</v>
      </c>
      <c r="N1180" s="16" t="s">
        <v>2507</v>
      </c>
      <c r="O1180" s="18" t="s">
        <v>2934</v>
      </c>
      <c r="P1180" s="18" t="s">
        <v>2619</v>
      </c>
      <c r="Q1180" s="29" t="str" cm="1">
        <f t="array" ref="Q1180">_xlfn.IFS(
A1180="","",
AND(A1180&lt;&gt;"",B1180=""),"FALTA LANÇAMENTO",
AND(B1180&lt;&gt;"",M1180=""),"FALTA O PEDIDO",
AND(M1180&lt;&gt;"",O1180=""),"FALTA NF",
O1180&lt;&gt;"","CONCLUÍDO")</f>
        <v>CONCLUÍDO</v>
      </c>
      <c r="R1180" s="36"/>
    </row>
    <row r="1181" spans="1:18" hidden="1">
      <c r="A1181" s="16">
        <v>46120</v>
      </c>
      <c r="B1181" s="16">
        <v>46121</v>
      </c>
      <c r="C1181" s="21">
        <v>500580100</v>
      </c>
      <c r="D1181" s="16" t="str">
        <f>IFERROR(VLOOKUP(Tabela5[[#This Row],[PREFIXO ]],Tabela4[#All],2,0),"CENTRO DE CUSTO")</f>
        <v>Autopropelidos</v>
      </c>
      <c r="E1181" s="18" t="s">
        <v>62</v>
      </c>
      <c r="F1181" s="21">
        <v>1216</v>
      </c>
      <c r="G1181" s="22">
        <v>920</v>
      </c>
      <c r="H1181" s="22"/>
      <c r="I1181" s="22">
        <f t="shared" si="19"/>
        <v>920</v>
      </c>
      <c r="J1181" s="18" t="s">
        <v>1265</v>
      </c>
      <c r="K1181" s="18">
        <v>5020272</v>
      </c>
      <c r="L1181" s="18">
        <v>905223</v>
      </c>
      <c r="M1181" s="18" t="s">
        <v>2933</v>
      </c>
      <c r="N1181" s="16" t="s">
        <v>2507</v>
      </c>
      <c r="O1181" s="18" t="s">
        <v>2934</v>
      </c>
      <c r="P1181" s="18" t="s">
        <v>2619</v>
      </c>
      <c r="Q1181" s="29" t="str" cm="1">
        <f t="array" ref="Q1181">_xlfn.IFS(
A1181="","",
AND(A1181&lt;&gt;"",B1181=""),"FALTA LANÇAMENTO",
AND(B1181&lt;&gt;"",M1181=""),"FALTA O PEDIDO",
AND(M1181&lt;&gt;"",O1181=""),"FALTA NF",
O1181&lt;&gt;"","CONCLUÍDO")</f>
        <v>CONCLUÍDO</v>
      </c>
      <c r="R1181" s="36"/>
    </row>
    <row r="1182" spans="1:18" hidden="1">
      <c r="A1182" s="16">
        <v>46120</v>
      </c>
      <c r="B1182" s="16">
        <v>46121</v>
      </c>
      <c r="C1182" s="21" t="s">
        <v>2935</v>
      </c>
      <c r="D1182" s="16" t="str">
        <f>IFERROR(VLOOKUP(Tabela5[[#This Row],[PREFIXO ]],Tabela4[#All],2,0),"CENTRO DE CUSTO")</f>
        <v>CENTRO DE CUSTO</v>
      </c>
      <c r="E1182" s="18" t="s">
        <v>66</v>
      </c>
      <c r="F1182" s="21">
        <v>9321</v>
      </c>
      <c r="G1182" s="22">
        <v>52500</v>
      </c>
      <c r="H1182" s="22"/>
      <c r="I1182" s="22">
        <f t="shared" si="19"/>
        <v>52500</v>
      </c>
      <c r="J1182" s="18" t="s">
        <v>1265</v>
      </c>
      <c r="K1182" s="18" t="s">
        <v>2936</v>
      </c>
      <c r="L1182" s="18">
        <v>904346</v>
      </c>
      <c r="M1182" s="18" t="s">
        <v>2937</v>
      </c>
      <c r="N1182" s="16" t="s">
        <v>2585</v>
      </c>
      <c r="O1182" s="18" t="s">
        <v>2938</v>
      </c>
      <c r="P1182" s="18" t="s">
        <v>2939</v>
      </c>
      <c r="Q1182" s="29" t="str" cm="1">
        <f t="array" ref="Q1182">_xlfn.IFS(
A1182="","",
AND(A1182&lt;&gt;"",B1182=""),"FALTA LANÇAMENTO",
AND(B1182&lt;&gt;"",M1182=""),"FALTA O PEDIDO",
AND(M1182&lt;&gt;"",O1182=""),"FALTA NF",
O1182&lt;&gt;"","CONCLUÍDO")</f>
        <v>CONCLUÍDO</v>
      </c>
      <c r="R1182" s="36"/>
    </row>
    <row r="1183" spans="1:18" hidden="1">
      <c r="A1183" s="16">
        <v>46120</v>
      </c>
      <c r="B1183" s="16">
        <v>46147</v>
      </c>
      <c r="C1183" s="21">
        <v>51521056</v>
      </c>
      <c r="D1183" s="16" t="str">
        <f>IFERROR(VLOOKUP(Tabela5[[#This Row],[PREFIXO ]],Tabela4[#All],2,0),"CENTRO DE CUSTO")</f>
        <v>COLHED ALGODÃO JOHN DEERE CP 690</v>
      </c>
      <c r="E1183" s="18" t="s">
        <v>96</v>
      </c>
      <c r="F1183" s="21" t="s">
        <v>2940</v>
      </c>
      <c r="G1183" s="22">
        <v>3038.83</v>
      </c>
      <c r="H1183" s="22">
        <v>3422.36</v>
      </c>
      <c r="I1183" s="22">
        <f t="shared" si="19"/>
        <v>6461.1900000000005</v>
      </c>
      <c r="J1183" s="18" t="s">
        <v>1113</v>
      </c>
      <c r="K1183" s="18">
        <v>9838938</v>
      </c>
      <c r="L1183" s="18">
        <v>922535</v>
      </c>
      <c r="M1183" s="18" t="s">
        <v>2941</v>
      </c>
      <c r="N1183" s="16" t="s">
        <v>2677</v>
      </c>
      <c r="O1183" s="18" t="s">
        <v>2942</v>
      </c>
      <c r="P1183" s="18" t="s">
        <v>2943</v>
      </c>
      <c r="Q1183" s="29" t="str" cm="1">
        <f t="array" ref="Q1183">_xlfn.IFS(
A1183="","",
AND(A1183&lt;&gt;"",B1183=""),"FALTA LANÇAMENTO",
AND(B1183&lt;&gt;"",M1183=""),"FALTA O PEDIDO",
AND(M1183&lt;&gt;"",O1183=""),"FALTA NF",
O1183&lt;&gt;"","CONCLUÍDO")</f>
        <v>CONCLUÍDO</v>
      </c>
      <c r="R1183" s="36"/>
    </row>
    <row r="1184" spans="1:18" hidden="1">
      <c r="A1184" s="16">
        <v>46120</v>
      </c>
      <c r="B1184" s="16">
        <v>46139</v>
      </c>
      <c r="C1184" s="21">
        <v>81521424</v>
      </c>
      <c r="D1184" s="16" t="str">
        <f>IFERROR(VLOOKUP(Tabela5[[#This Row],[PREFIXO ]],Tabela4[#All],2,0),"CENTRO DE CUSTO")</f>
        <v>CENTRO DE CUSTO</v>
      </c>
      <c r="E1184" s="18" t="s">
        <v>96</v>
      </c>
      <c r="F1184" s="21">
        <v>15142</v>
      </c>
      <c r="G1184" s="22"/>
      <c r="H1184" s="22">
        <v>3029.03</v>
      </c>
      <c r="I1184" s="22">
        <f t="shared" si="19"/>
        <v>3029.03</v>
      </c>
      <c r="J1184" s="18" t="s">
        <v>1085</v>
      </c>
      <c r="K1184" s="18">
        <v>9838884</v>
      </c>
      <c r="L1184" s="18">
        <v>918277</v>
      </c>
      <c r="M1184" s="18" t="s">
        <v>2944</v>
      </c>
      <c r="N1184" s="16" t="s">
        <v>2609</v>
      </c>
      <c r="O1184" s="18" t="s">
        <v>2945</v>
      </c>
      <c r="P1184" s="18" t="s">
        <v>2943</v>
      </c>
      <c r="Q1184" s="29" t="str" cm="1">
        <f t="array" ref="Q1184">_xlfn.IFS(
A1184="","",
AND(A1184&lt;&gt;"",B1184=""),"FALTA LANÇAMENTO",
AND(B1184&lt;&gt;"",M1184=""),"FALTA O PEDIDO",
AND(M1184&lt;&gt;"",O1184=""),"FALTA NF",
O1184&lt;&gt;"","CONCLUÍDO")</f>
        <v>CONCLUÍDO</v>
      </c>
      <c r="R1184" s="36"/>
    </row>
    <row r="1185" spans="1:18" hidden="1">
      <c r="A1185" s="16">
        <v>46120</v>
      </c>
      <c r="B1185" s="16">
        <v>46147</v>
      </c>
      <c r="C1185" s="21">
        <v>61521067</v>
      </c>
      <c r="D1185" s="16" t="str">
        <f>IFERROR(VLOOKUP(Tabela5[[#This Row],[PREFIXO ]],Tabela4[#All],2,0),"CENTRO DE CUSTO")</f>
        <v>CAM ROLL ON/OFF VOLVO VM 330</v>
      </c>
      <c r="E1185" s="18" t="s">
        <v>96</v>
      </c>
      <c r="F1185" s="21" t="s">
        <v>2946</v>
      </c>
      <c r="G1185" s="22">
        <v>1161</v>
      </c>
      <c r="H1185" s="22">
        <v>1859.95</v>
      </c>
      <c r="I1185" s="22">
        <f t="shared" si="19"/>
        <v>3020.95</v>
      </c>
      <c r="J1185" s="18" t="s">
        <v>1085</v>
      </c>
      <c r="K1185" s="18">
        <v>9838891</v>
      </c>
      <c r="L1185" s="18">
        <v>922362</v>
      </c>
      <c r="M1185" s="18" t="s">
        <v>2947</v>
      </c>
      <c r="N1185" s="16" t="s">
        <v>2676</v>
      </c>
      <c r="O1185" s="18" t="s">
        <v>2948</v>
      </c>
      <c r="P1185" s="18" t="s">
        <v>2943</v>
      </c>
      <c r="Q1185" s="29" t="str" cm="1">
        <f t="array" ref="Q1185">_xlfn.IFS(
A1185="","",
AND(A1185&lt;&gt;"",B1185=""),"FALTA LANÇAMENTO",
AND(B1185&lt;&gt;"",M1185=""),"FALTA O PEDIDO",
AND(M1185&lt;&gt;"",O1185=""),"FALTA NF",
O1185&lt;&gt;"","CONCLUÍDO")</f>
        <v>CONCLUÍDO</v>
      </c>
      <c r="R1185" s="36"/>
    </row>
    <row r="1186" spans="1:18" hidden="1">
      <c r="A1186" s="16">
        <v>46120</v>
      </c>
      <c r="B1186" s="16">
        <v>46139</v>
      </c>
      <c r="C1186" s="21">
        <v>500580325</v>
      </c>
      <c r="D1186" s="16" t="str">
        <f>IFERROR(VLOOKUP(Tabela5[[#This Row],[PREFIXO ]],Tabela4[#All],2,0),"CENTRO DE CUSTO")</f>
        <v>Colheitad. Alg Auto</v>
      </c>
      <c r="E1186" s="18" t="s">
        <v>96</v>
      </c>
      <c r="F1186" s="21">
        <v>15187</v>
      </c>
      <c r="G1186" s="22"/>
      <c r="H1186" s="22">
        <v>2924.27</v>
      </c>
      <c r="I1186" s="22">
        <f t="shared" si="19"/>
        <v>2924.27</v>
      </c>
      <c r="J1186" s="18" t="s">
        <v>1113</v>
      </c>
      <c r="K1186" s="18">
        <v>5020460</v>
      </c>
      <c r="L1186" s="18">
        <v>918259</v>
      </c>
      <c r="M1186" s="18" t="s">
        <v>2949</v>
      </c>
      <c r="N1186" s="16" t="s">
        <v>2609</v>
      </c>
      <c r="O1186" s="18" t="s">
        <v>2950</v>
      </c>
      <c r="P1186" s="18" t="s">
        <v>2943</v>
      </c>
      <c r="Q1186" s="29" t="str" cm="1">
        <f t="array" ref="Q1186">_xlfn.IFS(
A1186="","",
AND(A1186&lt;&gt;"",B1186=""),"FALTA LANÇAMENTO",
AND(B1186&lt;&gt;"",M1186=""),"FALTA O PEDIDO",
AND(M1186&lt;&gt;"",O1186=""),"FALTA NF",
O1186&lt;&gt;"","CONCLUÍDO")</f>
        <v>CONCLUÍDO</v>
      </c>
      <c r="R1186" s="36"/>
    </row>
    <row r="1187" spans="1:18" hidden="1">
      <c r="A1187" s="16">
        <v>46120</v>
      </c>
      <c r="B1187" s="16">
        <v>46139</v>
      </c>
      <c r="C1187" s="21">
        <v>51521067</v>
      </c>
      <c r="D1187" s="16" t="str">
        <f>IFERROR(VLOOKUP(Tabela5[[#This Row],[PREFIXO ]],Tabela4[#All],2,0),"CENTRO DE CUSTO")</f>
        <v>COLHED ALGODÃO JOHN DEERE CP 690</v>
      </c>
      <c r="E1187" s="18" t="s">
        <v>96</v>
      </c>
      <c r="F1187" s="21">
        <v>14232</v>
      </c>
      <c r="G1187" s="22"/>
      <c r="H1187" s="22">
        <v>2846.3</v>
      </c>
      <c r="I1187" s="22">
        <f t="shared" si="19"/>
        <v>2846.3</v>
      </c>
      <c r="J1187" s="18" t="s">
        <v>1113</v>
      </c>
      <c r="K1187" s="18">
        <v>9838937</v>
      </c>
      <c r="L1187" s="18">
        <v>917765</v>
      </c>
      <c r="M1187" s="18" t="s">
        <v>2951</v>
      </c>
      <c r="N1187" s="16" t="s">
        <v>2542</v>
      </c>
      <c r="O1187" s="18" t="s">
        <v>2952</v>
      </c>
      <c r="P1187" s="18" t="s">
        <v>2943</v>
      </c>
      <c r="Q1187" s="29" t="str" cm="1">
        <f t="array" ref="Q1187">_xlfn.IFS(
A1187="","",
AND(A1187&lt;&gt;"",B1187=""),"FALTA LANÇAMENTO",
AND(B1187&lt;&gt;"",M1187=""),"FALTA O PEDIDO",
AND(M1187&lt;&gt;"",O1187=""),"FALTA NF",
O1187&lt;&gt;"","CONCLUÍDO")</f>
        <v>CONCLUÍDO</v>
      </c>
      <c r="R1187" s="36"/>
    </row>
    <row r="1188" spans="1:18" hidden="1">
      <c r="A1188" s="16">
        <v>46120</v>
      </c>
      <c r="B1188" s="16">
        <v>46139</v>
      </c>
      <c r="C1188" s="21">
        <v>51521065</v>
      </c>
      <c r="D1188" s="16" t="str">
        <f>IFERROR(VLOOKUP(Tabela5[[#This Row],[PREFIXO ]],Tabela4[#All],2,0),"CENTRO DE CUSTO")</f>
        <v>COLHED ALGODÃO JOHN DEERE CP 690</v>
      </c>
      <c r="E1188" s="18" t="s">
        <v>96</v>
      </c>
      <c r="F1188" s="21">
        <v>4105</v>
      </c>
      <c r="G1188" s="22">
        <v>2304</v>
      </c>
      <c r="H1188" s="22"/>
      <c r="I1188" s="22">
        <f t="shared" si="19"/>
        <v>2304</v>
      </c>
      <c r="J1188" s="18" t="s">
        <v>1113</v>
      </c>
      <c r="K1188" s="18">
        <v>9838935</v>
      </c>
      <c r="L1188" s="18">
        <v>918297</v>
      </c>
      <c r="M1188" s="18" t="s">
        <v>2953</v>
      </c>
      <c r="N1188" s="16" t="s">
        <v>2609</v>
      </c>
      <c r="O1188" s="18" t="s">
        <v>2954</v>
      </c>
      <c r="P1188" s="18" t="s">
        <v>2943</v>
      </c>
      <c r="Q1188" s="29" t="str" cm="1">
        <f t="array" ref="Q1188">_xlfn.IFS(
A1188="","",
AND(A1188&lt;&gt;"",B1188=""),"FALTA LANÇAMENTO",
AND(B1188&lt;&gt;"",M1188=""),"FALTA O PEDIDO",
AND(M1188&lt;&gt;"",O1188=""),"FALTA NF",
O1188&lt;&gt;"","CONCLUÍDO")</f>
        <v>CONCLUÍDO</v>
      </c>
      <c r="R1188" s="36"/>
    </row>
    <row r="1189" spans="1:18" hidden="1">
      <c r="A1189" s="16">
        <v>46120</v>
      </c>
      <c r="B1189" s="16">
        <v>46147</v>
      </c>
      <c r="C1189" s="21">
        <v>51521056</v>
      </c>
      <c r="D1189" s="16" t="str">
        <f>IFERROR(VLOOKUP(Tabela5[[#This Row],[PREFIXO ]],Tabela4[#All],2,0),"CENTRO DE CUSTO")</f>
        <v>COLHED ALGODÃO JOHN DEERE CP 690</v>
      </c>
      <c r="E1189" s="18" t="s">
        <v>96</v>
      </c>
      <c r="F1189" s="21" t="s">
        <v>2955</v>
      </c>
      <c r="G1189" s="22">
        <v>200</v>
      </c>
      <c r="H1189" s="22">
        <v>2045.19</v>
      </c>
      <c r="I1189" s="22">
        <f t="shared" si="19"/>
        <v>2245.19</v>
      </c>
      <c r="J1189" s="18" t="s">
        <v>1113</v>
      </c>
      <c r="K1189" s="18">
        <v>9838881</v>
      </c>
      <c r="L1189" s="18">
        <v>922589</v>
      </c>
      <c r="M1189" s="18" t="s">
        <v>2956</v>
      </c>
      <c r="N1189" s="16" t="s">
        <v>2677</v>
      </c>
      <c r="O1189" s="18" t="s">
        <v>2957</v>
      </c>
      <c r="P1189" s="18" t="s">
        <v>2943</v>
      </c>
      <c r="Q1189" s="29" t="str" cm="1">
        <f t="array" ref="Q1189">_xlfn.IFS(
A1189="","",
AND(A1189&lt;&gt;"",B1189=""),"FALTA LANÇAMENTO",
AND(B1189&lt;&gt;"",M1189=""),"FALTA O PEDIDO",
AND(M1189&lt;&gt;"",O1189=""),"FALTA NF",
O1189&lt;&gt;"","CONCLUÍDO")</f>
        <v>CONCLUÍDO</v>
      </c>
      <c r="R1189" s="36"/>
    </row>
    <row r="1190" spans="1:18" hidden="1">
      <c r="A1190" s="16">
        <v>46120</v>
      </c>
      <c r="B1190" s="16">
        <v>46146</v>
      </c>
      <c r="C1190" s="21">
        <v>51521058</v>
      </c>
      <c r="D1190" s="16" t="str">
        <f>IFERROR(VLOOKUP(Tabela5[[#This Row],[PREFIXO ]],Tabela4[#All],2,0),"CENTRO DE CUSTO")</f>
        <v>COLHED ALGODÃO JOHN DEERE CP 690</v>
      </c>
      <c r="E1190" s="18" t="s">
        <v>96</v>
      </c>
      <c r="F1190" s="21" t="s">
        <v>2958</v>
      </c>
      <c r="G1190" s="22">
        <v>1548</v>
      </c>
      <c r="H1190" s="22">
        <v>682.02</v>
      </c>
      <c r="I1190" s="22">
        <f t="shared" si="19"/>
        <v>2230.02</v>
      </c>
      <c r="J1190" s="18" t="s">
        <v>1113</v>
      </c>
      <c r="K1190" s="18">
        <v>9838934</v>
      </c>
      <c r="L1190" s="18">
        <v>922192</v>
      </c>
      <c r="M1190" s="18" t="s">
        <v>2959</v>
      </c>
      <c r="N1190" s="16" t="s">
        <v>2676</v>
      </c>
      <c r="O1190" s="18" t="s">
        <v>2960</v>
      </c>
      <c r="P1190" s="18" t="s">
        <v>2943</v>
      </c>
      <c r="Q1190" s="29" t="str" cm="1">
        <f t="array" ref="Q1190">_xlfn.IFS(
A1190="","",
AND(A1190&lt;&gt;"",B1190=""),"FALTA LANÇAMENTO",
AND(B1190&lt;&gt;"",M1190=""),"FALTA O PEDIDO",
AND(M1190&lt;&gt;"",O1190=""),"FALTA NF",
O1190&lt;&gt;"","CONCLUÍDO")</f>
        <v>CONCLUÍDO</v>
      </c>
      <c r="R1190" s="36"/>
    </row>
    <row r="1191" spans="1:18" hidden="1">
      <c r="A1191" s="16">
        <v>46120</v>
      </c>
      <c r="B1191" s="16">
        <v>46139</v>
      </c>
      <c r="C1191" s="21">
        <v>51521065</v>
      </c>
      <c r="D1191" s="16" t="str">
        <f>IFERROR(VLOOKUP(Tabela5[[#This Row],[PREFIXO ]],Tabela4[#All],2,0),"CENTRO DE CUSTO")</f>
        <v>COLHED ALGODÃO JOHN DEERE CP 690</v>
      </c>
      <c r="E1191" s="18" t="s">
        <v>96</v>
      </c>
      <c r="F1191" s="21">
        <v>15305</v>
      </c>
      <c r="G1191" s="22"/>
      <c r="H1191" s="22">
        <v>1354.37</v>
      </c>
      <c r="I1191" s="22">
        <f t="shared" si="19"/>
        <v>1354.37</v>
      </c>
      <c r="J1191" s="18" t="s">
        <v>1113</v>
      </c>
      <c r="K1191" s="18">
        <v>9838935</v>
      </c>
      <c r="L1191" s="18">
        <v>918297</v>
      </c>
      <c r="M1191" s="18" t="s">
        <v>2953</v>
      </c>
      <c r="N1191" s="16" t="s">
        <v>2609</v>
      </c>
      <c r="O1191" s="18" t="s">
        <v>2954</v>
      </c>
      <c r="P1191" s="18" t="s">
        <v>2943</v>
      </c>
      <c r="Q1191" s="29" t="str" cm="1">
        <f t="array" ref="Q1191">_xlfn.IFS(
A1191="","",
AND(A1191&lt;&gt;"",B1191=""),"FALTA LANÇAMENTO",
AND(B1191&lt;&gt;"",M1191=""),"FALTA O PEDIDO",
AND(M1191&lt;&gt;"",O1191=""),"FALTA NF",
O1191&lt;&gt;"","CONCLUÍDO")</f>
        <v>CONCLUÍDO</v>
      </c>
      <c r="R1191" s="36"/>
    </row>
    <row r="1192" spans="1:18" hidden="1">
      <c r="A1192" s="16">
        <v>46120</v>
      </c>
      <c r="B1192" s="16">
        <v>46139</v>
      </c>
      <c r="C1192" s="21">
        <v>81521424</v>
      </c>
      <c r="D1192" s="16" t="str">
        <f>IFERROR(VLOOKUP(Tabela5[[#This Row],[PREFIXO ]],Tabela4[#All],2,0),"CENTRO DE CUSTO")</f>
        <v>CENTRO DE CUSTO</v>
      </c>
      <c r="E1192" s="18" t="s">
        <v>96</v>
      </c>
      <c r="F1192" s="21">
        <v>4046</v>
      </c>
      <c r="G1192" s="22">
        <v>1201.5</v>
      </c>
      <c r="H1192" s="22"/>
      <c r="I1192" s="22">
        <f t="shared" si="19"/>
        <v>1201.5</v>
      </c>
      <c r="J1192" s="18" t="s">
        <v>1085</v>
      </c>
      <c r="K1192" s="18">
        <v>9838884</v>
      </c>
      <c r="L1192" s="18">
        <v>918277</v>
      </c>
      <c r="M1192" s="18" t="s">
        <v>2944</v>
      </c>
      <c r="N1192" s="16" t="s">
        <v>2609</v>
      </c>
      <c r="O1192" s="18" t="s">
        <v>2945</v>
      </c>
      <c r="P1192" s="18" t="s">
        <v>2943</v>
      </c>
      <c r="Q1192" s="29" t="str" cm="1">
        <f t="array" ref="Q1192">_xlfn.IFS(
A1192="","",
AND(A1192&lt;&gt;"",B1192=""),"FALTA LANÇAMENTO",
AND(B1192&lt;&gt;"",M1192=""),"FALTA O PEDIDO",
AND(M1192&lt;&gt;"",O1192=""),"FALTA NF",
O1192&lt;&gt;"","CONCLUÍDO")</f>
        <v>CONCLUÍDO</v>
      </c>
      <c r="R1192" s="36"/>
    </row>
    <row r="1193" spans="1:18" hidden="1">
      <c r="A1193" s="16">
        <v>46120</v>
      </c>
      <c r="B1193" s="16">
        <v>46139</v>
      </c>
      <c r="C1193" s="21">
        <v>51521048</v>
      </c>
      <c r="D1193" s="16" t="str">
        <f>IFERROR(VLOOKUP(Tabela5[[#This Row],[PREFIXO ]],Tabela4[#All],2,0),"CENTRO DE CUSTO")</f>
        <v>COLHED ALGODÃO JOHN DEERE CP 690</v>
      </c>
      <c r="E1193" s="18" t="s">
        <v>96</v>
      </c>
      <c r="F1193" s="21">
        <v>15297</v>
      </c>
      <c r="G1193" s="22"/>
      <c r="H1193" s="22">
        <v>1108.3800000000001</v>
      </c>
      <c r="I1193" s="22">
        <f t="shared" si="19"/>
        <v>1108.3800000000001</v>
      </c>
      <c r="J1193" s="18" t="s">
        <v>1113</v>
      </c>
      <c r="K1193" s="18">
        <v>9838936</v>
      </c>
      <c r="L1193" s="18">
        <v>917864</v>
      </c>
      <c r="M1193" s="18" t="s">
        <v>2961</v>
      </c>
      <c r="N1193" s="16" t="s">
        <v>2609</v>
      </c>
      <c r="O1193" s="18" t="s">
        <v>2962</v>
      </c>
      <c r="P1193" s="18" t="s">
        <v>2943</v>
      </c>
      <c r="Q1193" s="29" t="str" cm="1">
        <f t="array" ref="Q1193">_xlfn.IFS(
A1193="","",
AND(A1193&lt;&gt;"",B1193=""),"FALTA LANÇAMENTO",
AND(B1193&lt;&gt;"",M1193=""),"FALTA O PEDIDO",
AND(M1193&lt;&gt;"",O1193=""),"FALTA NF",
O1193&lt;&gt;"","CONCLUÍDO")</f>
        <v>CONCLUÍDO</v>
      </c>
      <c r="R1193" s="36"/>
    </row>
    <row r="1194" spans="1:18" hidden="1">
      <c r="A1194" s="16">
        <v>46120</v>
      </c>
      <c r="B1194" s="16">
        <v>46122</v>
      </c>
      <c r="C1194" s="21">
        <v>51521058</v>
      </c>
      <c r="D1194" s="16" t="str">
        <f>IFERROR(VLOOKUP(Tabela5[[#This Row],[PREFIXO ]],Tabela4[#All],2,0),"CENTRO DE CUSTO")</f>
        <v>COLHED ALGODÃO JOHN DEERE CP 690</v>
      </c>
      <c r="E1194" s="18" t="s">
        <v>96</v>
      </c>
      <c r="F1194" s="21">
        <v>15330</v>
      </c>
      <c r="G1194" s="22"/>
      <c r="H1194" s="22">
        <v>682.02</v>
      </c>
      <c r="I1194" s="22">
        <f t="shared" si="19"/>
        <v>682.02</v>
      </c>
      <c r="J1194" s="18" t="s">
        <v>1113</v>
      </c>
      <c r="K1194" s="18" t="s">
        <v>1095</v>
      </c>
      <c r="L1194" s="18" t="s">
        <v>1095</v>
      </c>
      <c r="M1194" s="18" t="s">
        <v>2963</v>
      </c>
      <c r="N1194" s="16" t="s">
        <v>2676</v>
      </c>
      <c r="O1194" s="18" t="s">
        <v>2964</v>
      </c>
      <c r="P1194" s="18" t="s">
        <v>2544</v>
      </c>
      <c r="Q1194" s="29" t="str" cm="1">
        <f t="array" ref="Q1194">_xlfn.IFS(
A1194="","",
AND(A1194&lt;&gt;"",B1194=""),"FALTA LANÇAMENTO",
AND(B1194&lt;&gt;"",M1194=""),"FALTA O PEDIDO",
AND(M1194&lt;&gt;"",O1194=""),"FALTA NF",
O1194&lt;&gt;"","CONCLUÍDO")</f>
        <v>CONCLUÍDO</v>
      </c>
      <c r="R1194" s="36"/>
    </row>
    <row r="1195" spans="1:18" hidden="1">
      <c r="A1195" s="16">
        <v>46120</v>
      </c>
      <c r="B1195" s="16">
        <v>46134</v>
      </c>
      <c r="C1195" s="21">
        <v>61521039</v>
      </c>
      <c r="D1195" s="16" t="str">
        <f>IFERROR(VLOOKUP(Tabela5[[#This Row],[PREFIXO ]],Tabela4[#All],2,0),"CENTRO DE CUSTO")</f>
        <v>CAM MUNCK MERC BENZ ATEGO 1719</v>
      </c>
      <c r="E1195" s="18" t="s">
        <v>96</v>
      </c>
      <c r="F1195" s="21">
        <v>4170</v>
      </c>
      <c r="G1195" s="22">
        <v>576</v>
      </c>
      <c r="H1195" s="22"/>
      <c r="I1195" s="22">
        <f t="shared" si="19"/>
        <v>576</v>
      </c>
      <c r="J1195" s="18" t="s">
        <v>1085</v>
      </c>
      <c r="K1195" s="18">
        <v>9838885</v>
      </c>
      <c r="L1195" s="18">
        <v>914853</v>
      </c>
      <c r="M1195" s="18" t="s">
        <v>2965</v>
      </c>
      <c r="N1195" s="16" t="s">
        <v>2866</v>
      </c>
      <c r="O1195" s="18" t="s">
        <v>2966</v>
      </c>
      <c r="P1195" s="18" t="s">
        <v>2943</v>
      </c>
      <c r="Q1195" s="29" t="str" cm="1">
        <f t="array" ref="Q1195">_xlfn.IFS(
A1195="","",
AND(A1195&lt;&gt;"",B1195=""),"FALTA LANÇAMENTO",
AND(B1195&lt;&gt;"",M1195=""),"FALTA O PEDIDO",
AND(M1195&lt;&gt;"",O1195=""),"FALTA NF",
O1195&lt;&gt;"","CONCLUÍDO")</f>
        <v>CONCLUÍDO</v>
      </c>
      <c r="R1195" s="36"/>
    </row>
    <row r="1196" spans="1:18" hidden="1">
      <c r="A1196" s="16">
        <v>46120</v>
      </c>
      <c r="B1196" s="16">
        <v>46146</v>
      </c>
      <c r="C1196" s="21">
        <v>17320833</v>
      </c>
      <c r="D1196" s="16" t="str">
        <f>IFERROR(VLOOKUP(Tabela5[[#This Row],[PREFIXO ]],Tabela4[#All],2,0),"CENTRO DE CUSTO")</f>
        <v>PLANTADEIRA CASE IH FAST RISER 6100</v>
      </c>
      <c r="E1196" s="18" t="s">
        <v>96</v>
      </c>
      <c r="F1196" s="21" t="s">
        <v>2967</v>
      </c>
      <c r="G1196" s="22">
        <v>315</v>
      </c>
      <c r="H1196" s="22">
        <v>253.09</v>
      </c>
      <c r="I1196" s="22">
        <f t="shared" si="19"/>
        <v>568.09</v>
      </c>
      <c r="J1196" s="18" t="s">
        <v>1199</v>
      </c>
      <c r="K1196" s="18">
        <v>9838883</v>
      </c>
      <c r="L1196" s="18">
        <v>922086</v>
      </c>
      <c r="M1196" s="18" t="s">
        <v>2968</v>
      </c>
      <c r="N1196" s="16" t="s">
        <v>2969</v>
      </c>
      <c r="O1196" s="18" t="s">
        <v>2970</v>
      </c>
      <c r="P1196" s="18" t="s">
        <v>2943</v>
      </c>
      <c r="Q1196" s="29" t="str" cm="1">
        <f t="array" ref="Q1196">_xlfn.IFS(
A1196="","",
AND(A1196&lt;&gt;"",B1196=""),"FALTA LANÇAMENTO",
AND(B1196&lt;&gt;"",M1196=""),"FALTA O PEDIDO",
AND(M1196&lt;&gt;"",O1196=""),"FALTA NF",
O1196&lt;&gt;"","CONCLUÍDO")</f>
        <v>CONCLUÍDO</v>
      </c>
      <c r="R1196" s="36"/>
    </row>
    <row r="1197" spans="1:18" hidden="1">
      <c r="A1197" s="16">
        <v>46120</v>
      </c>
      <c r="B1197" s="16">
        <v>46122</v>
      </c>
      <c r="C1197" s="21">
        <v>17320833</v>
      </c>
      <c r="D1197" s="16" t="str">
        <f>IFERROR(VLOOKUP(Tabela5[[#This Row],[PREFIXO ]],Tabela4[#All],2,0),"CENTRO DE CUSTO")</f>
        <v>PLANTADEIRA CASE IH FAST RISER 6100</v>
      </c>
      <c r="E1197" s="18" t="s">
        <v>96</v>
      </c>
      <c r="F1197" s="21">
        <v>15466</v>
      </c>
      <c r="G1197" s="22"/>
      <c r="H1197" s="22">
        <v>253.09</v>
      </c>
      <c r="I1197" s="22">
        <f t="shared" si="19"/>
        <v>253.09</v>
      </c>
      <c r="J1197" s="18" t="s">
        <v>1199</v>
      </c>
      <c r="K1197" s="18" t="s">
        <v>1095</v>
      </c>
      <c r="L1197" s="18" t="s">
        <v>1095</v>
      </c>
      <c r="M1197" s="18" t="s">
        <v>2971</v>
      </c>
      <c r="N1197" s="16" t="s">
        <v>2969</v>
      </c>
      <c r="O1197" s="18" t="s">
        <v>2972</v>
      </c>
      <c r="P1197" s="18" t="s">
        <v>2544</v>
      </c>
      <c r="Q1197" s="29" t="str" cm="1">
        <f t="array" ref="Q1197">_xlfn.IFS(
A1197="","",
AND(A1197&lt;&gt;"",B1197=""),"FALTA LANÇAMENTO",
AND(B1197&lt;&gt;"",M1197=""),"FALTA O PEDIDO",
AND(M1197&lt;&gt;"",O1197=""),"FALTA NF",
O1197&lt;&gt;"","CONCLUÍDO")</f>
        <v>CONCLUÍDO</v>
      </c>
      <c r="R1197" s="36"/>
    </row>
    <row r="1198" spans="1:18" hidden="1">
      <c r="A1198" s="16">
        <v>46120</v>
      </c>
      <c r="B1198" s="16">
        <v>46139</v>
      </c>
      <c r="C1198" s="21">
        <v>51521048</v>
      </c>
      <c r="D1198" s="16" t="str">
        <f>IFERROR(VLOOKUP(Tabela5[[#This Row],[PREFIXO ]],Tabela4[#All],2,0),"CENTRO DE CUSTO")</f>
        <v>COLHED ALGODÃO JOHN DEERE CP 690</v>
      </c>
      <c r="E1198" s="18" t="s">
        <v>96</v>
      </c>
      <c r="F1198" s="21">
        <v>4103</v>
      </c>
      <c r="G1198" s="22">
        <v>250</v>
      </c>
      <c r="H1198" s="22"/>
      <c r="I1198" s="22">
        <f t="shared" si="19"/>
        <v>250</v>
      </c>
      <c r="J1198" s="18" t="s">
        <v>1113</v>
      </c>
      <c r="K1198" s="18">
        <v>9838936</v>
      </c>
      <c r="L1198" s="18">
        <v>917864</v>
      </c>
      <c r="M1198" s="18" t="s">
        <v>2961</v>
      </c>
      <c r="N1198" s="16" t="s">
        <v>2609</v>
      </c>
      <c r="O1198" s="18" t="s">
        <v>2962</v>
      </c>
      <c r="P1198" s="18" t="s">
        <v>2943</v>
      </c>
      <c r="Q1198" s="29" t="str" cm="1">
        <f t="array" ref="Q1198">_xlfn.IFS(
A1198="","",
AND(A1198&lt;&gt;"",B1198=""),"FALTA LANÇAMENTO",
AND(B1198&lt;&gt;"",M1198=""),"FALTA O PEDIDO",
AND(M1198&lt;&gt;"",O1198=""),"FALTA NF",
O1198&lt;&gt;"","CONCLUÍDO")</f>
        <v>CONCLUÍDO</v>
      </c>
      <c r="R1198" s="36"/>
    </row>
    <row r="1199" spans="1:18" hidden="1">
      <c r="A1199" s="16">
        <v>46120</v>
      </c>
      <c r="B1199" s="16">
        <v>46122</v>
      </c>
      <c r="C1199" s="21">
        <v>500580325</v>
      </c>
      <c r="D1199" s="16" t="str">
        <f>IFERROR(VLOOKUP(Tabela5[[#This Row],[PREFIXO ]],Tabela4[#All],2,0),"CENTRO DE CUSTO")</f>
        <v>Colheitad. Alg Auto</v>
      </c>
      <c r="E1199" s="18" t="s">
        <v>96</v>
      </c>
      <c r="F1199" s="21">
        <v>4061</v>
      </c>
      <c r="G1199" s="22">
        <v>200</v>
      </c>
      <c r="H1199" s="22"/>
      <c r="I1199" s="22">
        <f t="shared" si="19"/>
        <v>200</v>
      </c>
      <c r="J1199" s="18" t="s">
        <v>1113</v>
      </c>
      <c r="K1199" s="18" t="s">
        <v>1095</v>
      </c>
      <c r="L1199" s="18" t="s">
        <v>1095</v>
      </c>
      <c r="M1199" s="18" t="s">
        <v>1095</v>
      </c>
      <c r="N1199" s="16" t="s">
        <v>1095</v>
      </c>
      <c r="O1199" s="18" t="s">
        <v>1095</v>
      </c>
      <c r="P1199" s="18" t="s">
        <v>1095</v>
      </c>
      <c r="Q1199" s="29" t="str" cm="1">
        <f t="array" ref="Q1199">_xlfn.IFS(
A1199="","",
AND(A1199&lt;&gt;"",B1199=""),"FALTA LANÇAMENTO",
AND(B1199&lt;&gt;"",M1199=""),"FALTA O PEDIDO",
AND(M1199&lt;&gt;"",O1199=""),"FALTA NF",
O1199&lt;&gt;"","CONCLUÍDO")</f>
        <v>CONCLUÍDO</v>
      </c>
      <c r="R1199" s="36"/>
    </row>
    <row r="1200" spans="1:18" hidden="1">
      <c r="A1200" s="16">
        <v>46120</v>
      </c>
      <c r="B1200" s="16">
        <v>46134</v>
      </c>
      <c r="C1200" s="21">
        <v>61521039</v>
      </c>
      <c r="D1200" s="16" t="str">
        <f>IFERROR(VLOOKUP(Tabela5[[#This Row],[PREFIXO ]],Tabela4[#All],2,0),"CENTRO DE CUSTO")</f>
        <v>CAM MUNCK MERC BENZ ATEGO 1719</v>
      </c>
      <c r="E1200" s="18" t="s">
        <v>96</v>
      </c>
      <c r="F1200" s="21">
        <v>15484</v>
      </c>
      <c r="G1200" s="22"/>
      <c r="H1200" s="22">
        <v>180.82</v>
      </c>
      <c r="I1200" s="22">
        <f t="shared" si="19"/>
        <v>180.82</v>
      </c>
      <c r="J1200" s="18" t="s">
        <v>1085</v>
      </c>
      <c r="K1200" s="18">
        <v>9838885</v>
      </c>
      <c r="L1200" s="18">
        <v>914853</v>
      </c>
      <c r="M1200" s="18" t="s">
        <v>2965</v>
      </c>
      <c r="N1200" s="16" t="s">
        <v>2866</v>
      </c>
      <c r="O1200" s="18" t="s">
        <v>2966</v>
      </c>
      <c r="P1200" s="18" t="s">
        <v>2943</v>
      </c>
      <c r="Q1200" s="29" t="str" cm="1">
        <f t="array" ref="Q1200">_xlfn.IFS(
A1200="","",
AND(A1200&lt;&gt;"",B1200=""),"FALTA LANÇAMENTO",
AND(B1200&lt;&gt;"",M1200=""),"FALTA O PEDIDO",
AND(M1200&lt;&gt;"",O1200=""),"FALTA NF",
O1200&lt;&gt;"","CONCLUÍDO")</f>
        <v>CONCLUÍDO</v>
      </c>
      <c r="R1200" s="36"/>
    </row>
    <row r="1201" spans="1:18" hidden="1">
      <c r="A1201" s="16">
        <v>46120</v>
      </c>
      <c r="B1201" s="16">
        <v>46139</v>
      </c>
      <c r="C1201" s="21">
        <v>51521067</v>
      </c>
      <c r="D1201" s="16" t="str">
        <f>IFERROR(VLOOKUP(Tabela5[[#This Row],[PREFIXO ]],Tabela4[#All],2,0),"CENTRO DE CUSTO")</f>
        <v>COLHED ALGODÃO JOHN DEERE CP 690</v>
      </c>
      <c r="E1201" s="18" t="s">
        <v>96</v>
      </c>
      <c r="F1201" s="21">
        <v>3719</v>
      </c>
      <c r="G1201" s="22">
        <v>100</v>
      </c>
      <c r="H1201" s="22"/>
      <c r="I1201" s="22">
        <f t="shared" si="19"/>
        <v>100</v>
      </c>
      <c r="J1201" s="18" t="s">
        <v>1113</v>
      </c>
      <c r="K1201" s="18">
        <v>9838937</v>
      </c>
      <c r="L1201" s="18">
        <v>917765</v>
      </c>
      <c r="M1201" s="18" t="s">
        <v>2951</v>
      </c>
      <c r="N1201" s="16" t="s">
        <v>2542</v>
      </c>
      <c r="O1201" s="18" t="s">
        <v>2952</v>
      </c>
      <c r="P1201" s="18" t="s">
        <v>2943</v>
      </c>
      <c r="Q1201" s="29" t="str" cm="1">
        <f t="array" ref="Q1201">_xlfn.IFS(
A1201="","",
AND(A1201&lt;&gt;"",B1201=""),"FALTA LANÇAMENTO",
AND(B1201&lt;&gt;"",M1201=""),"FALTA O PEDIDO",
AND(M1201&lt;&gt;"",O1201=""),"FALTA NF",
O1201&lt;&gt;"","CONCLUÍDO")</f>
        <v>CONCLUÍDO</v>
      </c>
      <c r="R1201" s="36"/>
    </row>
    <row r="1202" spans="1:18" hidden="1">
      <c r="A1202" s="16">
        <v>46120</v>
      </c>
      <c r="B1202" s="16">
        <v>46121</v>
      </c>
      <c r="C1202" s="21">
        <v>41521070</v>
      </c>
      <c r="D1202" s="16" t="str">
        <f>IFERROR(VLOOKUP(Tabela5[[#This Row],[PREFIXO ]],Tabela4[#All],2,0),"CENTRO DE CUSTO")</f>
        <v>MICROONIBUS SPRINTER 417 CDI K42B</v>
      </c>
      <c r="E1202" s="18" t="s">
        <v>124</v>
      </c>
      <c r="F1202" s="21">
        <v>541</v>
      </c>
      <c r="G1202" s="22">
        <v>2774.4</v>
      </c>
      <c r="H1202" s="22"/>
      <c r="I1202" s="22">
        <f t="shared" si="19"/>
        <v>2774.4</v>
      </c>
      <c r="J1202" s="18" t="s">
        <v>1085</v>
      </c>
      <c r="K1202" s="18">
        <v>9825443</v>
      </c>
      <c r="L1202" s="18">
        <v>905184</v>
      </c>
      <c r="M1202" s="18" t="s">
        <v>2973</v>
      </c>
      <c r="N1202" s="16" t="s">
        <v>2585</v>
      </c>
      <c r="O1202" s="18" t="s">
        <v>2974</v>
      </c>
      <c r="P1202" s="18" t="s">
        <v>2585</v>
      </c>
      <c r="Q1202" s="29" t="str" cm="1">
        <f t="array" ref="Q1202">_xlfn.IFS(
A1202="","",
AND(A1202&lt;&gt;"",B1202=""),"FALTA LANÇAMENTO",
AND(B1202&lt;&gt;"",M1202=""),"FALTA O PEDIDO",
AND(M1202&lt;&gt;"",O1202=""),"FALTA NF",
O1202&lt;&gt;"","CONCLUÍDO")</f>
        <v>CONCLUÍDO</v>
      </c>
      <c r="R1202" s="36"/>
    </row>
    <row r="1203" spans="1:18" hidden="1">
      <c r="A1203" s="16">
        <v>46120</v>
      </c>
      <c r="B1203" s="16">
        <v>46132</v>
      </c>
      <c r="C1203" s="21">
        <v>51521070</v>
      </c>
      <c r="D1203" s="16" t="str">
        <f>IFERROR(VLOOKUP(Tabela5[[#This Row],[PREFIXO ]],Tabela4[#All],2,0),"CENTRO DE CUSTO")</f>
        <v>COLHED ALGODÃO JOHN DEERE CP 690</v>
      </c>
      <c r="E1203" s="18" t="s">
        <v>70</v>
      </c>
      <c r="F1203" s="21">
        <v>22129</v>
      </c>
      <c r="G1203" s="22">
        <v>1000</v>
      </c>
      <c r="H1203" s="22">
        <v>28289.599999999999</v>
      </c>
      <c r="I1203" s="22">
        <f t="shared" si="19"/>
        <v>29289.599999999999</v>
      </c>
      <c r="J1203" s="18" t="s">
        <v>1199</v>
      </c>
      <c r="K1203" s="18">
        <v>9826690</v>
      </c>
      <c r="L1203" s="18">
        <v>907498</v>
      </c>
      <c r="M1203" s="18" t="s">
        <v>2975</v>
      </c>
      <c r="N1203" s="16" t="s">
        <v>1526</v>
      </c>
      <c r="O1203" s="18" t="s">
        <v>1095</v>
      </c>
      <c r="P1203" s="18" t="s">
        <v>1095</v>
      </c>
      <c r="Q1203" s="29" t="str" cm="1">
        <f t="array" ref="Q1203">_xlfn.IFS(
A1203="","",
AND(A1203&lt;&gt;"",B1203=""),"FALTA LANÇAMENTO",
AND(B1203&lt;&gt;"",M1203=""),"FALTA O PEDIDO",
AND(M1203&lt;&gt;"",O1203=""),"FALTA NF",
O1203&lt;&gt;"","CONCLUÍDO")</f>
        <v>CONCLUÍDO</v>
      </c>
      <c r="R1203" s="36"/>
    </row>
    <row r="1204" spans="1:18" hidden="1">
      <c r="A1204" s="16">
        <v>46120</v>
      </c>
      <c r="B1204" s="16">
        <v>46121</v>
      </c>
      <c r="C1204" s="21">
        <v>5152107</v>
      </c>
      <c r="D1204" s="16" t="str">
        <f>IFERROR(VLOOKUP(Tabela5[[#This Row],[PREFIXO ]],Tabela4[#All],2,0),"CENTRO DE CUSTO")</f>
        <v>CENTRO DE CUSTO</v>
      </c>
      <c r="E1204" s="18" t="s">
        <v>70</v>
      </c>
      <c r="F1204" s="21">
        <v>23046</v>
      </c>
      <c r="G1204" s="22">
        <v>25000</v>
      </c>
      <c r="H1204" s="22">
        <v>2940</v>
      </c>
      <c r="I1204" s="22">
        <f t="shared" si="19"/>
        <v>27940</v>
      </c>
      <c r="J1204" s="18" t="s">
        <v>1123</v>
      </c>
      <c r="K1204" s="18">
        <v>9825404</v>
      </c>
      <c r="L1204" s="18">
        <v>905306</v>
      </c>
      <c r="M1204" s="18" t="s">
        <v>2976</v>
      </c>
      <c r="N1204" s="16" t="s">
        <v>2585</v>
      </c>
      <c r="O1204" s="18" t="s">
        <v>2977</v>
      </c>
      <c r="P1204" s="18" t="s">
        <v>1480</v>
      </c>
      <c r="Q1204" s="29" t="str" cm="1">
        <f t="array" ref="Q1204">_xlfn.IFS(
A1204="","",
AND(A1204&lt;&gt;"",B1204=""),"FALTA LANÇAMENTO",
AND(B1204&lt;&gt;"",M1204=""),"FALTA O PEDIDO",
AND(M1204&lt;&gt;"",O1204=""),"FALTA NF",
O1204&lt;&gt;"","CONCLUÍDO")</f>
        <v>CONCLUÍDO</v>
      </c>
      <c r="R1204" s="36"/>
    </row>
    <row r="1205" spans="1:18" hidden="1">
      <c r="A1205" s="16">
        <v>46120</v>
      </c>
      <c r="B1205" s="16">
        <v>46132</v>
      </c>
      <c r="C1205" s="21" t="s">
        <v>1134</v>
      </c>
      <c r="D1205" s="16" t="str">
        <f>IFERROR(VLOOKUP(Tabela5[[#This Row],[PREFIXO ]],Tabela4[#All],2,0),"CENTRO DE CUSTO")</f>
        <v>CENTRO DE CUSTO</v>
      </c>
      <c r="E1205" s="18" t="s">
        <v>70</v>
      </c>
      <c r="F1205" s="21">
        <v>23075</v>
      </c>
      <c r="G1205" s="22">
        <v>15920</v>
      </c>
      <c r="H1205" s="22">
        <v>8820</v>
      </c>
      <c r="I1205" s="22">
        <f t="shared" si="19"/>
        <v>24740</v>
      </c>
      <c r="J1205" s="18" t="s">
        <v>1113</v>
      </c>
      <c r="K1205" s="18">
        <v>9826763</v>
      </c>
      <c r="L1205" s="18">
        <v>907511</v>
      </c>
      <c r="M1205" s="18" t="s">
        <v>2978</v>
      </c>
      <c r="N1205" s="16" t="s">
        <v>1526</v>
      </c>
      <c r="O1205" s="18" t="s">
        <v>1095</v>
      </c>
      <c r="P1205" s="18" t="s">
        <v>1095</v>
      </c>
      <c r="Q1205" s="29" t="str" cm="1">
        <f t="array" ref="Q1205">_xlfn.IFS(
A1205="","",
AND(A1205&lt;&gt;"",B1205=""),"FALTA LANÇAMENTO",
AND(B1205&lt;&gt;"",M1205=""),"FALTA O PEDIDO",
AND(M1205&lt;&gt;"",O1205=""),"FALTA NF",
O1205&lt;&gt;"","CONCLUÍDO")</f>
        <v>CONCLUÍDO</v>
      </c>
      <c r="R1205" s="36"/>
    </row>
    <row r="1206" spans="1:18" hidden="1">
      <c r="A1206" s="16">
        <v>46120</v>
      </c>
      <c r="B1206" s="16">
        <v>46132</v>
      </c>
      <c r="C1206" s="21">
        <v>500580325</v>
      </c>
      <c r="D1206" s="16" t="str">
        <f>IFERROR(VLOOKUP(Tabela5[[#This Row],[PREFIXO ]],Tabela4[#All],2,0),"CENTRO DE CUSTO")</f>
        <v>Colheitad. Alg Auto</v>
      </c>
      <c r="E1206" s="18" t="s">
        <v>70</v>
      </c>
      <c r="F1206" s="21">
        <v>22706</v>
      </c>
      <c r="G1206" s="22">
        <v>2800</v>
      </c>
      <c r="H1206" s="22">
        <v>19898</v>
      </c>
      <c r="I1206" s="22">
        <f t="shared" si="19"/>
        <v>22698</v>
      </c>
      <c r="J1206" s="18" t="s">
        <v>1199</v>
      </c>
      <c r="K1206" s="18">
        <v>5020330</v>
      </c>
      <c r="L1206" s="18">
        <v>907236</v>
      </c>
      <c r="M1206" s="18" t="s">
        <v>2979</v>
      </c>
      <c r="N1206" s="16" t="s">
        <v>2542</v>
      </c>
      <c r="O1206" s="18" t="s">
        <v>2980</v>
      </c>
      <c r="P1206" s="18" t="s">
        <v>2981</v>
      </c>
      <c r="Q1206" s="29" t="str" cm="1">
        <f t="array" ref="Q1206">_xlfn.IFS(
A1206="","",
AND(A1206&lt;&gt;"",B1206=""),"FALTA LANÇAMENTO",
AND(B1206&lt;&gt;"",M1206=""),"FALTA O PEDIDO",
AND(M1206&lt;&gt;"",O1206=""),"FALTA NF",
O1206&lt;&gt;"","CONCLUÍDO")</f>
        <v>CONCLUÍDO</v>
      </c>
      <c r="R1206" s="36"/>
    </row>
    <row r="1207" spans="1:18" hidden="1">
      <c r="A1207" s="16">
        <v>46120</v>
      </c>
      <c r="B1207" s="16">
        <v>46129</v>
      </c>
      <c r="C1207" s="21">
        <v>51521047</v>
      </c>
      <c r="D1207" s="16" t="str">
        <f>IFERROR(VLOOKUP(Tabela5[[#This Row],[PREFIXO ]],Tabela4[#All],2,0),"CENTRO DE CUSTO")</f>
        <v>COLHED ALGODÃO JOHN DEERE CP 690</v>
      </c>
      <c r="E1207" s="18" t="s">
        <v>70</v>
      </c>
      <c r="F1207" s="21">
        <v>23045</v>
      </c>
      <c r="G1207" s="22">
        <v>15200</v>
      </c>
      <c r="H1207" s="22">
        <v>2940</v>
      </c>
      <c r="I1207" s="22">
        <f t="shared" si="19"/>
        <v>18140</v>
      </c>
      <c r="J1207" s="18" t="s">
        <v>1123</v>
      </c>
      <c r="K1207" s="18">
        <v>9825368</v>
      </c>
      <c r="L1207" s="18">
        <v>905265</v>
      </c>
      <c r="M1207" s="18" t="s">
        <v>2982</v>
      </c>
      <c r="N1207" s="16" t="s">
        <v>2507</v>
      </c>
      <c r="O1207" s="18" t="s">
        <v>2983</v>
      </c>
      <c r="P1207" s="18" t="s">
        <v>1480</v>
      </c>
      <c r="Q1207" s="29" t="str" cm="1">
        <f t="array" ref="Q1207">_xlfn.IFS(
A1207="","",
AND(A1207&lt;&gt;"",B1207=""),"FALTA LANÇAMENTO",
AND(B1207&lt;&gt;"",M1207=""),"FALTA O PEDIDO",
AND(M1207&lt;&gt;"",O1207=""),"FALTA NF",
O1207&lt;&gt;"","CONCLUÍDO")</f>
        <v>CONCLUÍDO</v>
      </c>
      <c r="R1207" s="36"/>
    </row>
    <row r="1208" spans="1:18" hidden="1">
      <c r="A1208" s="16">
        <v>46120</v>
      </c>
      <c r="B1208" s="16">
        <v>46121</v>
      </c>
      <c r="C1208" s="21">
        <v>51521051</v>
      </c>
      <c r="D1208" s="16" t="str">
        <f>IFERROR(VLOOKUP(Tabela5[[#This Row],[PREFIXO ]],Tabela4[#All],2,0),"CENTRO DE CUSTO")</f>
        <v>COLHED ALGODÃO JOHN DEERE CP 690</v>
      </c>
      <c r="E1208" s="18" t="s">
        <v>70</v>
      </c>
      <c r="F1208" s="21">
        <v>23044</v>
      </c>
      <c r="G1208" s="22">
        <v>3100</v>
      </c>
      <c r="H1208" s="22">
        <v>2940</v>
      </c>
      <c r="I1208" s="22">
        <f t="shared" si="19"/>
        <v>6040</v>
      </c>
      <c r="J1208" s="18" t="s">
        <v>1123</v>
      </c>
      <c r="K1208" s="18">
        <v>9825364</v>
      </c>
      <c r="L1208" s="18">
        <v>905241</v>
      </c>
      <c r="M1208" s="18" t="s">
        <v>2984</v>
      </c>
      <c r="N1208" s="16" t="s">
        <v>2507</v>
      </c>
      <c r="O1208" s="18" t="s">
        <v>2985</v>
      </c>
      <c r="P1208" s="18" t="s">
        <v>1480</v>
      </c>
      <c r="Q1208" s="29" t="str" cm="1">
        <f t="array" ref="Q1208">_xlfn.IFS(
A1208="","",
AND(A1208&lt;&gt;"",B1208=""),"FALTA LANÇAMENTO",
AND(B1208&lt;&gt;"",M1208=""),"FALTA O PEDIDO",
AND(M1208&lt;&gt;"",O1208=""),"FALTA NF",
O1208&lt;&gt;"","CONCLUÍDO")</f>
        <v>CONCLUÍDO</v>
      </c>
      <c r="R1208" s="36"/>
    </row>
    <row r="1209" spans="1:18" hidden="1">
      <c r="A1209" s="16">
        <v>46120</v>
      </c>
      <c r="B1209" s="16">
        <v>46121</v>
      </c>
      <c r="C1209" s="21">
        <v>51519062</v>
      </c>
      <c r="D1209" s="16" t="str">
        <f>IFERROR(VLOOKUP(Tabela5[[#This Row],[PREFIXO ]],Tabela4[#All],2,0),"CENTRO DE CUSTO")</f>
        <v>CENTRO DE CUSTO</v>
      </c>
      <c r="E1209" s="18" t="s">
        <v>70</v>
      </c>
      <c r="F1209" s="21">
        <v>23043</v>
      </c>
      <c r="G1209" s="22">
        <v>5350</v>
      </c>
      <c r="H1209" s="22"/>
      <c r="I1209" s="22">
        <f t="shared" si="19"/>
        <v>5350</v>
      </c>
      <c r="J1209" s="18" t="s">
        <v>1123</v>
      </c>
      <c r="K1209" s="18">
        <v>9825365</v>
      </c>
      <c r="L1209" s="18">
        <v>905264</v>
      </c>
      <c r="M1209" s="18" t="s">
        <v>2986</v>
      </c>
      <c r="N1209" s="16" t="s">
        <v>2507</v>
      </c>
      <c r="O1209" s="18" t="s">
        <v>2987</v>
      </c>
      <c r="P1209" s="18" t="s">
        <v>2581</v>
      </c>
      <c r="Q1209" s="29" t="str" cm="1">
        <f t="array" ref="Q1209">_xlfn.IFS(
A1209="","",
AND(A1209&lt;&gt;"",B1209=""),"FALTA LANÇAMENTO",
AND(B1209&lt;&gt;"",M1209=""),"FALTA O PEDIDO",
AND(M1209&lt;&gt;"",O1209=""),"FALTA NF",
O1209&lt;&gt;"","CONCLUÍDO")</f>
        <v>CONCLUÍDO</v>
      </c>
      <c r="R1209" s="36"/>
    </row>
    <row r="1210" spans="1:18" hidden="1">
      <c r="A1210" s="16">
        <v>46120</v>
      </c>
      <c r="B1210" s="16">
        <v>46122</v>
      </c>
      <c r="C1210" s="21">
        <v>11040016</v>
      </c>
      <c r="D1210" s="16" t="str">
        <f>IFERROR(VLOOKUP(Tabela5[[#This Row],[PREFIXO ]],Tabela4[#All],2,0),"CENTRO DE CUSTO")</f>
        <v>CAV MEC EXT PES SCANIA R500</v>
      </c>
      <c r="E1210" s="18" t="s">
        <v>366</v>
      </c>
      <c r="F1210" s="21">
        <v>194727</v>
      </c>
      <c r="G1210" s="22">
        <v>340</v>
      </c>
      <c r="H1210" s="22">
        <v>5816</v>
      </c>
      <c r="I1210" s="22">
        <f t="shared" si="19"/>
        <v>6156</v>
      </c>
      <c r="J1210" s="18" t="s">
        <v>1085</v>
      </c>
      <c r="K1210" s="18" t="s">
        <v>2988</v>
      </c>
      <c r="L1210" s="18" t="s">
        <v>2989</v>
      </c>
      <c r="M1210" s="18" t="s">
        <v>2990</v>
      </c>
      <c r="N1210" s="16">
        <v>46224</v>
      </c>
      <c r="O1210" s="18"/>
      <c r="P1210" s="18"/>
      <c r="Q1210" s="29" t="str" cm="1">
        <f t="array" ref="Q1210">_xlfn.IFS(
A1210="","",
AND(A1210&lt;&gt;"",B1210=""),"FALTA LANÇAMENTO",
AND(B1210&lt;&gt;"",M1210=""),"FALTA O PEDIDO",
AND(M1210&lt;&gt;"",O1210=""),"FALTA NF",
O1210&lt;&gt;"","CONCLUÍDO")</f>
        <v>FALTA NF</v>
      </c>
      <c r="R1210" s="36"/>
    </row>
    <row r="1211" spans="1:18" hidden="1">
      <c r="A1211" s="16">
        <v>46120</v>
      </c>
      <c r="B1211" s="16">
        <v>46135</v>
      </c>
      <c r="C1211" s="21" t="s">
        <v>1134</v>
      </c>
      <c r="D1211" s="16" t="str">
        <f>IFERROR(VLOOKUP(Tabela5[[#This Row],[PREFIXO ]],Tabela4[#All],2,0),"CENTRO DE CUSTO")</f>
        <v>CENTRO DE CUSTO</v>
      </c>
      <c r="E1211" s="18" t="s">
        <v>366</v>
      </c>
      <c r="F1211" s="21">
        <v>194789</v>
      </c>
      <c r="G1211" s="22">
        <v>110</v>
      </c>
      <c r="H1211" s="22">
        <v>480</v>
      </c>
      <c r="I1211" s="22">
        <f t="shared" si="19"/>
        <v>590</v>
      </c>
      <c r="J1211" s="18" t="s">
        <v>1085</v>
      </c>
      <c r="K1211" s="18">
        <v>9826699</v>
      </c>
      <c r="L1211" s="18">
        <v>915921</v>
      </c>
      <c r="M1211" s="18" t="s">
        <v>2991</v>
      </c>
      <c r="N1211" s="16" t="s">
        <v>2866</v>
      </c>
      <c r="O1211" s="18" t="s">
        <v>1095</v>
      </c>
      <c r="P1211" s="18" t="s">
        <v>1095</v>
      </c>
      <c r="Q1211" s="29" t="str" cm="1">
        <f t="array" ref="Q1211">_xlfn.IFS(
A1211="","",
AND(A1211&lt;&gt;"",B1211=""),"FALTA LANÇAMENTO",
AND(B1211&lt;&gt;"",M1211=""),"FALTA O PEDIDO",
AND(M1211&lt;&gt;"",O1211=""),"FALTA NF",
O1211&lt;&gt;"","CONCLUÍDO")</f>
        <v>CONCLUÍDO</v>
      </c>
      <c r="R1211" s="36"/>
    </row>
    <row r="1212" spans="1:18" hidden="1">
      <c r="A1212" s="16">
        <v>46120</v>
      </c>
      <c r="B1212" s="16">
        <v>46125</v>
      </c>
      <c r="C1212" s="21">
        <v>31521046</v>
      </c>
      <c r="D1212" s="16" t="str">
        <f>IFERROR(VLOOKUP(Tabela5[[#This Row],[PREFIXO ]],Tabela4[#All],2,0),"CENTRO DE CUSTO")</f>
        <v>PULV AUTOPROP JACTO UNIPORT 3030</v>
      </c>
      <c r="E1212" s="18" t="s">
        <v>179</v>
      </c>
      <c r="F1212" s="21">
        <v>2519</v>
      </c>
      <c r="G1212" s="22">
        <v>5940</v>
      </c>
      <c r="H1212" s="22">
        <v>11808.54</v>
      </c>
      <c r="I1212" s="22">
        <f t="shared" si="19"/>
        <v>17748.54</v>
      </c>
      <c r="J1212" s="18" t="s">
        <v>1265</v>
      </c>
      <c r="K1212" s="18">
        <v>9825406</v>
      </c>
      <c r="L1212" s="18">
        <v>907899</v>
      </c>
      <c r="M1212" s="18" t="s">
        <v>2992</v>
      </c>
      <c r="N1212" s="16" t="s">
        <v>2725</v>
      </c>
      <c r="O1212" s="18" t="s">
        <v>2993</v>
      </c>
      <c r="P1212" s="18" t="s">
        <v>2994</v>
      </c>
      <c r="Q1212" s="29" t="str" cm="1">
        <f t="array" ref="Q1212">_xlfn.IFS(
A1212="","",
AND(A1212&lt;&gt;"",B1212=""),"FALTA LANÇAMENTO",
AND(B1212&lt;&gt;"",M1212=""),"FALTA O PEDIDO",
AND(M1212&lt;&gt;"",O1212=""),"FALTA NF",
O1212&lt;&gt;"","CONCLUÍDO")</f>
        <v>CONCLUÍDO</v>
      </c>
      <c r="R1212" s="36"/>
    </row>
    <row r="1213" spans="1:18" hidden="1">
      <c r="A1213" s="16">
        <v>46120</v>
      </c>
      <c r="B1213" s="16">
        <v>46133</v>
      </c>
      <c r="C1213" s="21">
        <v>51521060</v>
      </c>
      <c r="D1213" s="16" t="str">
        <f>IFERROR(VLOOKUP(Tabela5[[#This Row],[PREFIXO ]],Tabela4[#All],2,0),"CENTRO DE CUSTO")</f>
        <v>COLHED ALGODÃO JOHN DEERE CP 690</v>
      </c>
      <c r="E1213" s="18" t="s">
        <v>71</v>
      </c>
      <c r="F1213" s="21">
        <v>7745</v>
      </c>
      <c r="G1213" s="22">
        <v>9300</v>
      </c>
      <c r="H1213" s="22">
        <v>4465.55</v>
      </c>
      <c r="I1213" s="22">
        <f t="shared" si="19"/>
        <v>13765.55</v>
      </c>
      <c r="J1213" s="18" t="s">
        <v>1113</v>
      </c>
      <c r="K1213" s="18">
        <v>9826695</v>
      </c>
      <c r="L1213" s="18">
        <v>907537</v>
      </c>
      <c r="M1213" s="18" t="s">
        <v>2995</v>
      </c>
      <c r="N1213" s="16" t="s">
        <v>2866</v>
      </c>
      <c r="O1213" s="18" t="s">
        <v>2996</v>
      </c>
      <c r="P1213" s="18" t="s">
        <v>2997</v>
      </c>
      <c r="Q1213" s="29" t="str" cm="1">
        <f t="array" ref="Q1213">_xlfn.IFS(
A1213="","",
AND(A1213&lt;&gt;"",B1213=""),"FALTA LANÇAMENTO",
AND(B1213&lt;&gt;"",M1213=""),"FALTA O PEDIDO",
AND(M1213&lt;&gt;"",O1213=""),"FALTA NF",
O1213&lt;&gt;"","CONCLUÍDO")</f>
        <v>CONCLUÍDO</v>
      </c>
      <c r="R1213" s="36"/>
    </row>
    <row r="1214" spans="1:18" hidden="1">
      <c r="A1214" s="16">
        <v>46120</v>
      </c>
      <c r="B1214" s="16">
        <v>46125</v>
      </c>
      <c r="C1214" s="21" t="s">
        <v>2998</v>
      </c>
      <c r="D1214" s="16" t="str">
        <f>IFERROR(VLOOKUP(Tabela5[[#This Row],[PREFIXO ]],Tabela4[#All],2,0),"CENTRO DE CUSTO")</f>
        <v>CENTRO DE CUSTO</v>
      </c>
      <c r="E1214" s="18" t="s">
        <v>71</v>
      </c>
      <c r="F1214" s="21">
        <v>7746</v>
      </c>
      <c r="G1214" s="22">
        <v>1625</v>
      </c>
      <c r="H1214" s="22"/>
      <c r="I1214" s="22">
        <f t="shared" si="19"/>
        <v>1625</v>
      </c>
      <c r="J1214" s="18" t="s">
        <v>1113</v>
      </c>
      <c r="K1214" s="18">
        <v>9826700</v>
      </c>
      <c r="L1214" s="18" t="s">
        <v>1095</v>
      </c>
      <c r="M1214" s="18" t="s">
        <v>2999</v>
      </c>
      <c r="N1214" s="16" t="s">
        <v>2643</v>
      </c>
      <c r="O1214" s="18" t="s">
        <v>3000</v>
      </c>
      <c r="P1214" s="18" t="s">
        <v>2302</v>
      </c>
      <c r="Q1214" s="29" t="str" cm="1">
        <f t="array" ref="Q1214">_xlfn.IFS(
A1214="","",
AND(A1214&lt;&gt;"",B1214=""),"FALTA LANÇAMENTO",
AND(B1214&lt;&gt;"",M1214=""),"FALTA O PEDIDO",
AND(M1214&lt;&gt;"",O1214=""),"FALTA NF",
O1214&lt;&gt;"","CONCLUÍDO")</f>
        <v>CONCLUÍDO</v>
      </c>
      <c r="R1214" s="36"/>
    </row>
    <row r="1215" spans="1:18" hidden="1">
      <c r="A1215" s="16">
        <v>46120</v>
      </c>
      <c r="B1215" s="16">
        <v>46140</v>
      </c>
      <c r="C1215" s="21">
        <v>6173059</v>
      </c>
      <c r="D1215" s="16" t="str">
        <f>IFERROR(VLOOKUP(Tabela5[[#This Row],[PREFIXO ]],Tabela4[#All],2,0),"CENTRO DE CUSTO")</f>
        <v>CAM CARGA SECA FORD F-4000</v>
      </c>
      <c r="E1215" s="18" t="s">
        <v>347</v>
      </c>
      <c r="F1215" s="21">
        <v>1039</v>
      </c>
      <c r="G1215" s="22">
        <v>21004</v>
      </c>
      <c r="H1215" s="22">
        <v>35925.96</v>
      </c>
      <c r="I1215" s="22">
        <f t="shared" si="19"/>
        <v>56929.96</v>
      </c>
      <c r="J1215" s="18" t="s">
        <v>1199</v>
      </c>
      <c r="K1215" s="18">
        <v>9826687</v>
      </c>
      <c r="L1215" s="18">
        <v>919151</v>
      </c>
      <c r="M1215" s="18" t="s">
        <v>3001</v>
      </c>
      <c r="N1215" s="16" t="s">
        <v>3002</v>
      </c>
      <c r="O1215" s="18" t="s">
        <v>3003</v>
      </c>
      <c r="P1215" s="18" t="s">
        <v>3004</v>
      </c>
      <c r="Q1215" s="29" t="str" cm="1">
        <f t="array" ref="Q1215">_xlfn.IFS(
A1215="","",
AND(A1215&lt;&gt;"",B1215=""),"FALTA LANÇAMENTO",
AND(B1215&lt;&gt;"",M1215=""),"FALTA O PEDIDO",
AND(M1215&lt;&gt;"",O1215=""),"FALTA NF",
O1215&lt;&gt;"","CONCLUÍDO")</f>
        <v>CONCLUÍDO</v>
      </c>
      <c r="R1215" s="36"/>
    </row>
    <row r="1216" spans="1:18" hidden="1">
      <c r="A1216" s="16">
        <v>46120</v>
      </c>
      <c r="B1216" s="16">
        <v>46133</v>
      </c>
      <c r="C1216" s="21">
        <v>11040015</v>
      </c>
      <c r="D1216" s="16" t="str">
        <f>IFERROR(VLOOKUP(Tabela5[[#This Row],[PREFIXO ]],Tabela4[#All],2,0),"CENTRO DE CUSTO")</f>
        <v>CAV MEC EXT PES SCANIA R500</v>
      </c>
      <c r="E1216" s="18" t="s">
        <v>365</v>
      </c>
      <c r="F1216" s="21">
        <v>70314</v>
      </c>
      <c r="G1216" s="22">
        <v>10190</v>
      </c>
      <c r="H1216" s="22"/>
      <c r="I1216" s="22">
        <f t="shared" ref="I1216:I1279" si="20">G1216+H1216</f>
        <v>10190</v>
      </c>
      <c r="J1216" s="18" t="s">
        <v>1199</v>
      </c>
      <c r="K1216" s="18">
        <v>9834449</v>
      </c>
      <c r="L1216" s="18">
        <v>913835</v>
      </c>
      <c r="M1216" s="18" t="s">
        <v>3005</v>
      </c>
      <c r="N1216" s="16" t="s">
        <v>2866</v>
      </c>
      <c r="O1216" s="18" t="s">
        <v>3006</v>
      </c>
      <c r="P1216" s="18" t="s">
        <v>3007</v>
      </c>
      <c r="Q1216" s="29" t="str" cm="1">
        <f t="array" ref="Q1216">_xlfn.IFS(
A1216="","",
AND(A1216&lt;&gt;"",B1216=""),"FALTA LANÇAMENTO",
AND(B1216&lt;&gt;"",M1216=""),"FALTA O PEDIDO",
AND(M1216&lt;&gt;"",O1216=""),"FALTA NF",
O1216&lt;&gt;"","CONCLUÍDO")</f>
        <v>CONCLUÍDO</v>
      </c>
      <c r="R1216" s="36"/>
    </row>
    <row r="1217" spans="1:18" hidden="1">
      <c r="A1217" s="16">
        <v>46120</v>
      </c>
      <c r="B1217" s="16">
        <v>46121</v>
      </c>
      <c r="C1217" s="21">
        <v>51519028</v>
      </c>
      <c r="D1217" s="16" t="str">
        <f>IFERROR(VLOOKUP(Tabela5[[#This Row],[PREFIXO ]],Tabela4[#All],2,0),"CENTRO DE CUSTO")</f>
        <v>COLHEIT DE GRÃOS N.HOLLAND CR 8.90</v>
      </c>
      <c r="E1217" s="18" t="s">
        <v>247</v>
      </c>
      <c r="F1217" s="21">
        <v>135106</v>
      </c>
      <c r="G1217" s="22">
        <v>1900</v>
      </c>
      <c r="H1217" s="22">
        <v>12510</v>
      </c>
      <c r="I1217" s="22">
        <f t="shared" si="20"/>
        <v>14410</v>
      </c>
      <c r="J1217" s="18" t="s">
        <v>1113</v>
      </c>
      <c r="K1217" s="18">
        <v>9825363</v>
      </c>
      <c r="L1217" s="18">
        <v>905443</v>
      </c>
      <c r="M1217" s="18" t="s">
        <v>3008</v>
      </c>
      <c r="N1217" s="16" t="s">
        <v>2585</v>
      </c>
      <c r="O1217" s="18" t="s">
        <v>3009</v>
      </c>
      <c r="P1217" s="18" t="s">
        <v>2587</v>
      </c>
      <c r="Q1217" s="29" t="str" cm="1">
        <f t="array" ref="Q1217">_xlfn.IFS(
A1217="","",
AND(A1217&lt;&gt;"",B1217=""),"FALTA LANÇAMENTO",
AND(B1217&lt;&gt;"",M1217=""),"FALTA O PEDIDO",
AND(M1217&lt;&gt;"",O1217=""),"FALTA NF",
O1217&lt;&gt;"","CONCLUÍDO")</f>
        <v>CONCLUÍDO</v>
      </c>
      <c r="R1217" s="36"/>
    </row>
    <row r="1218" spans="1:18" hidden="1">
      <c r="A1218" s="16">
        <v>46120</v>
      </c>
      <c r="B1218" s="16">
        <v>46121</v>
      </c>
      <c r="C1218" s="21">
        <v>51521083</v>
      </c>
      <c r="D1218" s="16" t="str">
        <f>IFERROR(VLOOKUP(Tabela5[[#This Row],[PREFIXO ]],Tabela4[#All],2,0),"CENTRO DE CUSTO")</f>
        <v>COLHEIT DE GRÃOS N.HOLLAND CR 8.90</v>
      </c>
      <c r="E1218" s="18" t="s">
        <v>247</v>
      </c>
      <c r="F1218" s="21">
        <v>135087</v>
      </c>
      <c r="G1218" s="22">
        <v>266</v>
      </c>
      <c r="H1218" s="22">
        <v>228</v>
      </c>
      <c r="I1218" s="22">
        <f t="shared" si="20"/>
        <v>494</v>
      </c>
      <c r="J1218" s="18" t="s">
        <v>1113</v>
      </c>
      <c r="K1218" s="18">
        <v>9825361</v>
      </c>
      <c r="L1218" s="18">
        <v>905386</v>
      </c>
      <c r="M1218" s="18" t="s">
        <v>3010</v>
      </c>
      <c r="N1218" s="16" t="s">
        <v>2585</v>
      </c>
      <c r="O1218" s="18" t="s">
        <v>3011</v>
      </c>
      <c r="P1218" s="18" t="s">
        <v>3012</v>
      </c>
      <c r="Q1218" s="29" t="str" cm="1">
        <f t="array" ref="Q1218">_xlfn.IFS(
A1218="","",
AND(A1218&lt;&gt;"",B1218=""),"FALTA LANÇAMENTO",
AND(B1218&lt;&gt;"",M1218=""),"FALTA O PEDIDO",
AND(M1218&lt;&gt;"",O1218=""),"FALTA NF",
O1218&lt;&gt;"","CONCLUÍDO")</f>
        <v>CONCLUÍDO</v>
      </c>
      <c r="R1218" s="36"/>
    </row>
    <row r="1219" spans="1:18" hidden="1">
      <c r="A1219" s="16">
        <v>46120</v>
      </c>
      <c r="B1219" s="16">
        <v>46121</v>
      </c>
      <c r="C1219" s="21">
        <v>500580579</v>
      </c>
      <c r="D1219" s="16" t="str">
        <f>IFERROR(VLOOKUP(Tabela5[[#This Row],[PREFIXO ]],Tabela4[#All],2,0),"CENTRO DE CUSTO")</f>
        <v>Pátio de Vendas</v>
      </c>
      <c r="E1219" s="18" t="s">
        <v>249</v>
      </c>
      <c r="F1219" s="21">
        <v>230</v>
      </c>
      <c r="G1219" s="22">
        <v>2100</v>
      </c>
      <c r="H1219" s="22"/>
      <c r="I1219" s="22">
        <f t="shared" si="20"/>
        <v>2100</v>
      </c>
      <c r="J1219" s="18" t="s">
        <v>1199</v>
      </c>
      <c r="K1219" s="18" t="s">
        <v>1134</v>
      </c>
      <c r="L1219" s="18" t="s">
        <v>1134</v>
      </c>
      <c r="M1219" s="18" t="s">
        <v>1095</v>
      </c>
      <c r="N1219" s="16" t="s">
        <v>1095</v>
      </c>
      <c r="O1219" s="18" t="s">
        <v>1095</v>
      </c>
      <c r="P1219" s="18" t="s">
        <v>1095</v>
      </c>
      <c r="Q1219" s="29" t="str" cm="1">
        <f t="array" ref="Q1219">_xlfn.IFS(
A1219="","",
AND(A1219&lt;&gt;"",B1219=""),"FALTA LANÇAMENTO",
AND(B1219&lt;&gt;"",M1219=""),"FALTA O PEDIDO",
AND(M1219&lt;&gt;"",O1219=""),"FALTA NF",
O1219&lt;&gt;"","CONCLUÍDO")</f>
        <v>CONCLUÍDO</v>
      </c>
      <c r="R1219" s="36"/>
    </row>
    <row r="1220" spans="1:18" hidden="1">
      <c r="A1220" s="16">
        <v>46120</v>
      </c>
      <c r="B1220" s="16">
        <v>46128</v>
      </c>
      <c r="C1220" s="21">
        <v>15110010</v>
      </c>
      <c r="D1220" s="16" t="str">
        <f>IFERROR(VLOOKUP(Tabela5[[#This Row],[PREFIXO ]],Tabela4[#All],2,0),"CENTRO DE CUSTO")</f>
        <v>DISTRIB CORRET STARA BRUTTUS 25000</v>
      </c>
      <c r="E1220" s="18" t="s">
        <v>364</v>
      </c>
      <c r="F1220" s="21">
        <v>20265</v>
      </c>
      <c r="G1220" s="22">
        <v>9600</v>
      </c>
      <c r="H1220" s="22">
        <v>10276.56</v>
      </c>
      <c r="I1220" s="22">
        <f t="shared" si="20"/>
        <v>19876.559999999998</v>
      </c>
      <c r="J1220" s="18" t="s">
        <v>1265</v>
      </c>
      <c r="K1220" s="18">
        <v>9825441</v>
      </c>
      <c r="L1220" s="18">
        <v>910491</v>
      </c>
      <c r="M1220" s="18" t="s">
        <v>3013</v>
      </c>
      <c r="N1220" s="16" t="s">
        <v>2590</v>
      </c>
      <c r="O1220" s="18" t="s">
        <v>3014</v>
      </c>
      <c r="P1220" s="18" t="s">
        <v>2645</v>
      </c>
      <c r="Q1220" s="29" t="str" cm="1">
        <f t="array" ref="Q1220">_xlfn.IFS(
A1220="","",
AND(A1220&lt;&gt;"",B1220=""),"FALTA LANÇAMENTO",
AND(B1220&lt;&gt;"",M1220=""),"FALTA O PEDIDO",
AND(M1220&lt;&gt;"",O1220=""),"FALTA NF",
O1220&lt;&gt;"","CONCLUÍDO")</f>
        <v>CONCLUÍDO</v>
      </c>
      <c r="R1220" s="36"/>
    </row>
    <row r="1221" spans="1:18" hidden="1">
      <c r="A1221" s="16">
        <v>46120</v>
      </c>
      <c r="B1221" s="16">
        <v>46127</v>
      </c>
      <c r="C1221" s="21">
        <v>15110012</v>
      </c>
      <c r="D1221" s="16" t="str">
        <f>IFERROR(VLOOKUP(Tabela5[[#This Row],[PREFIXO ]],Tabela4[#All],2,0),"CENTRO DE CUSTO")</f>
        <v>DISTRIB CORRET STARA BRUTTUS 25000</v>
      </c>
      <c r="E1221" s="18" t="s">
        <v>364</v>
      </c>
      <c r="F1221" s="21">
        <v>20259</v>
      </c>
      <c r="G1221" s="22">
        <v>9600</v>
      </c>
      <c r="H1221" s="22">
        <v>8761.15</v>
      </c>
      <c r="I1221" s="22">
        <f t="shared" si="20"/>
        <v>18361.150000000001</v>
      </c>
      <c r="J1221" s="18" t="s">
        <v>1265</v>
      </c>
      <c r="K1221" s="18">
        <v>9895416</v>
      </c>
      <c r="L1221" s="18">
        <v>910441</v>
      </c>
      <c r="M1221" s="18" t="s">
        <v>3013</v>
      </c>
      <c r="N1221" s="16" t="s">
        <v>2590</v>
      </c>
      <c r="O1221" s="18" t="s">
        <v>3014</v>
      </c>
      <c r="P1221" s="18" t="s">
        <v>2645</v>
      </c>
      <c r="Q1221" s="29" t="str" cm="1">
        <f t="array" ref="Q1221">_xlfn.IFS(
A1221="","",
AND(A1221&lt;&gt;"",B1221=""),"FALTA LANÇAMENTO",
AND(B1221&lt;&gt;"",M1221=""),"FALTA O PEDIDO",
AND(M1221&lt;&gt;"",O1221=""),"FALTA NF",
O1221&lt;&gt;"","CONCLUÍDO")</f>
        <v>CONCLUÍDO</v>
      </c>
      <c r="R1221" s="36"/>
    </row>
    <row r="1222" spans="1:18" hidden="1">
      <c r="A1222" s="16">
        <v>46120</v>
      </c>
      <c r="B1222" s="16">
        <v>46127</v>
      </c>
      <c r="C1222" s="21" t="s">
        <v>1134</v>
      </c>
      <c r="D1222" s="16" t="str">
        <f>IFERROR(VLOOKUP(Tabela5[[#This Row],[PREFIXO ]],Tabela4[#All],2,0),"CENTRO DE CUSTO")</f>
        <v>CENTRO DE CUSTO</v>
      </c>
      <c r="E1222" s="18" t="s">
        <v>364</v>
      </c>
      <c r="F1222" s="21">
        <v>20263</v>
      </c>
      <c r="G1222" s="22">
        <v>2550</v>
      </c>
      <c r="H1222" s="22">
        <v>6482.04</v>
      </c>
      <c r="I1222" s="22">
        <f t="shared" si="20"/>
        <v>9032.0400000000009</v>
      </c>
      <c r="J1222" s="18" t="s">
        <v>1265</v>
      </c>
      <c r="K1222" s="18">
        <v>9825822</v>
      </c>
      <c r="L1222" s="18">
        <v>910455</v>
      </c>
      <c r="M1222" s="18" t="s">
        <v>3015</v>
      </c>
      <c r="N1222" s="16" t="s">
        <v>2590</v>
      </c>
      <c r="O1222" s="18" t="s">
        <v>3016</v>
      </c>
      <c r="P1222" s="18" t="s">
        <v>2645</v>
      </c>
      <c r="Q1222" s="29" t="str" cm="1">
        <f t="array" ref="Q1222">_xlfn.IFS(
A1222="","",
AND(A1222&lt;&gt;"",B1222=""),"FALTA LANÇAMENTO",
AND(B1222&lt;&gt;"",M1222=""),"FALTA O PEDIDO",
AND(M1222&lt;&gt;"",O1222=""),"FALTA NF",
O1222&lt;&gt;"","CONCLUÍDO")</f>
        <v>CONCLUÍDO</v>
      </c>
      <c r="R1222" s="36"/>
    </row>
    <row r="1223" spans="1:18" hidden="1">
      <c r="A1223" s="16">
        <v>46120</v>
      </c>
      <c r="B1223" s="16">
        <v>46134</v>
      </c>
      <c r="C1223" s="21">
        <v>15110008</v>
      </c>
      <c r="D1223" s="16" t="str">
        <f>IFERROR(VLOOKUP(Tabela5[[#This Row],[PREFIXO ]],Tabela4[#All],2,0),"CENTRO DE CUSTO")</f>
        <v>DISTRIB CORRET STARA BRUTTUS 25000</v>
      </c>
      <c r="E1223" s="18" t="s">
        <v>364</v>
      </c>
      <c r="F1223" s="21">
        <v>20260</v>
      </c>
      <c r="G1223" s="22">
        <v>2250</v>
      </c>
      <c r="H1223" s="22">
        <v>542.5</v>
      </c>
      <c r="I1223" s="22">
        <f t="shared" si="20"/>
        <v>2792.5</v>
      </c>
      <c r="J1223" s="18" t="s">
        <v>1265</v>
      </c>
      <c r="K1223" s="18">
        <v>9835196</v>
      </c>
      <c r="L1223" s="18">
        <v>907814</v>
      </c>
      <c r="M1223" s="18" t="s">
        <v>3017</v>
      </c>
      <c r="N1223" s="16" t="s">
        <v>2866</v>
      </c>
      <c r="O1223" s="18" t="s">
        <v>3018</v>
      </c>
      <c r="P1223" s="18" t="s">
        <v>3019</v>
      </c>
      <c r="Q1223" s="29" t="str" cm="1">
        <f t="array" ref="Q1223">_xlfn.IFS(
A1223="","",
AND(A1223&lt;&gt;"",B1223=""),"FALTA LANÇAMENTO",
AND(B1223&lt;&gt;"",M1223=""),"FALTA O PEDIDO",
AND(M1223&lt;&gt;"",O1223=""),"FALTA NF",
O1223&lt;&gt;"","CONCLUÍDO")</f>
        <v>CONCLUÍDO</v>
      </c>
      <c r="R1223" s="36"/>
    </row>
    <row r="1224" spans="1:18" hidden="1">
      <c r="A1224" s="16">
        <v>46120</v>
      </c>
      <c r="B1224" s="16">
        <v>46125</v>
      </c>
      <c r="C1224" s="21" t="s">
        <v>1134</v>
      </c>
      <c r="D1224" s="16" t="str">
        <f>IFERROR(VLOOKUP(Tabela5[[#This Row],[PREFIXO ]],Tabela4[#All],2,0),"CENTRO DE CUSTO")</f>
        <v>CENTRO DE CUSTO</v>
      </c>
      <c r="E1224" s="18" t="s">
        <v>260</v>
      </c>
      <c r="F1224" s="21">
        <v>193571</v>
      </c>
      <c r="G1224" s="22">
        <v>90</v>
      </c>
      <c r="H1224" s="22">
        <v>365</v>
      </c>
      <c r="I1224" s="22">
        <f t="shared" si="20"/>
        <v>455</v>
      </c>
      <c r="J1224" s="18" t="s">
        <v>1085</v>
      </c>
      <c r="K1224" s="18">
        <v>9826702</v>
      </c>
      <c r="L1224" s="18">
        <v>907832</v>
      </c>
      <c r="M1224" s="18" t="s">
        <v>3020</v>
      </c>
      <c r="N1224" s="16" t="s">
        <v>2619</v>
      </c>
      <c r="O1224" s="18" t="s">
        <v>3021</v>
      </c>
      <c r="P1224" s="18" t="s">
        <v>3022</v>
      </c>
      <c r="Q1224" s="29" t="str" cm="1">
        <f t="array" ref="Q1224">_xlfn.IFS(
A1224="","",
AND(A1224&lt;&gt;"",B1224=""),"FALTA LANÇAMENTO",
AND(B1224&lt;&gt;"",M1224=""),"FALTA O PEDIDO",
AND(M1224&lt;&gt;"",O1224=""),"FALTA NF",
O1224&lt;&gt;"","CONCLUÍDO")</f>
        <v>CONCLUÍDO</v>
      </c>
      <c r="R1224" s="36"/>
    </row>
    <row r="1225" spans="1:18" hidden="1">
      <c r="A1225" s="16">
        <v>46122</v>
      </c>
      <c r="B1225" s="16">
        <v>46133</v>
      </c>
      <c r="C1225" s="21" t="s">
        <v>1134</v>
      </c>
      <c r="D1225" s="16" t="str">
        <f>IFERROR(VLOOKUP(Tabela5[[#This Row],[PREFIXO ]],Tabela4[#All],2,0),"CENTRO DE CUSTO")</f>
        <v>CENTRO DE CUSTO</v>
      </c>
      <c r="E1225" s="18" t="s">
        <v>293</v>
      </c>
      <c r="F1225" s="21">
        <v>58</v>
      </c>
      <c r="G1225" s="22">
        <v>36822</v>
      </c>
      <c r="H1225" s="22"/>
      <c r="I1225" s="22">
        <f t="shared" si="20"/>
        <v>36822</v>
      </c>
      <c r="J1225" s="18" t="s">
        <v>1113</v>
      </c>
      <c r="K1225" s="18">
        <v>5020318</v>
      </c>
      <c r="L1225" s="18">
        <v>913765</v>
      </c>
      <c r="M1225" s="18" t="s">
        <v>3023</v>
      </c>
      <c r="N1225" s="16" t="s">
        <v>2866</v>
      </c>
      <c r="O1225" s="18" t="s">
        <v>3024</v>
      </c>
      <c r="P1225" s="18" t="s">
        <v>2676</v>
      </c>
      <c r="Q1225" s="29" t="str" cm="1">
        <f t="array" ref="Q1225">_xlfn.IFS(
A1225="","",
AND(A1225&lt;&gt;"",B1225=""),"FALTA LANÇAMENTO",
AND(B1225&lt;&gt;"",M1225=""),"FALTA O PEDIDO",
AND(M1225&lt;&gt;"",O1225=""),"FALTA NF",
O1225&lt;&gt;"","CONCLUÍDO")</f>
        <v>CONCLUÍDO</v>
      </c>
      <c r="R1225" s="36"/>
    </row>
    <row r="1226" spans="1:18" hidden="1">
      <c r="A1226" s="16">
        <v>46122</v>
      </c>
      <c r="B1226" s="16">
        <v>46135</v>
      </c>
      <c r="C1226" s="21" t="s">
        <v>1134</v>
      </c>
      <c r="D1226" s="16" t="str">
        <f>IFERROR(VLOOKUP(Tabela5[[#This Row],[PREFIXO ]],Tabela4[#All],2,0),"CENTRO DE CUSTO")</f>
        <v>CENTRO DE CUSTO</v>
      </c>
      <c r="E1226" s="18" t="s">
        <v>17</v>
      </c>
      <c r="F1226" s="21">
        <v>43636</v>
      </c>
      <c r="G1226" s="22">
        <v>42409.89</v>
      </c>
      <c r="H1226" s="22">
        <v>97240.5</v>
      </c>
      <c r="I1226" s="22">
        <f t="shared" si="20"/>
        <v>139650.39000000001</v>
      </c>
      <c r="J1226" s="18" t="s">
        <v>1113</v>
      </c>
      <c r="K1226" s="18">
        <v>9829707</v>
      </c>
      <c r="L1226" s="18">
        <v>914408</v>
      </c>
      <c r="M1226" s="18" t="s">
        <v>3025</v>
      </c>
      <c r="N1226" s="16" t="s">
        <v>2542</v>
      </c>
      <c r="O1226" s="18" t="s">
        <v>3026</v>
      </c>
      <c r="P1226" s="18" t="s">
        <v>3027</v>
      </c>
      <c r="Q1226" s="29" t="str" cm="1">
        <f t="array" ref="Q1226">_xlfn.IFS(
A1226="","",
AND(A1226&lt;&gt;"",B1226=""),"FALTA LANÇAMENTO",
AND(B1226&lt;&gt;"",M1226=""),"FALTA O PEDIDO",
AND(M1226&lt;&gt;"",O1226=""),"FALTA NF",
O1226&lt;&gt;"","CONCLUÍDO")</f>
        <v>CONCLUÍDO</v>
      </c>
      <c r="R1226" s="36"/>
    </row>
    <row r="1227" spans="1:18" hidden="1">
      <c r="A1227" s="16">
        <v>46122</v>
      </c>
      <c r="B1227" s="16">
        <v>46126</v>
      </c>
      <c r="C1227" s="21">
        <v>35009001</v>
      </c>
      <c r="D1227" s="16" t="str">
        <f>IFERROR(VLOOKUP(Tabela5[[#This Row],[PREFIXO ]],Tabela4[#All],2,0),"CENTRO DE CUSTO")</f>
        <v>PULV AUTOPROP JACTO UNIPORT 3030</v>
      </c>
      <c r="E1227" s="18" t="s">
        <v>66</v>
      </c>
      <c r="F1227" s="21">
        <v>30263</v>
      </c>
      <c r="G1227" s="22"/>
      <c r="H1227" s="22">
        <v>55559.62</v>
      </c>
      <c r="I1227" s="22">
        <f t="shared" si="20"/>
        <v>55559.62</v>
      </c>
      <c r="J1227" s="18" t="s">
        <v>1265</v>
      </c>
      <c r="K1227" s="18" t="s">
        <v>1095</v>
      </c>
      <c r="L1227" s="18" t="s">
        <v>1095</v>
      </c>
      <c r="M1227" s="18" t="s">
        <v>1095</v>
      </c>
      <c r="N1227" s="16" t="s">
        <v>1095</v>
      </c>
      <c r="O1227" s="18" t="s">
        <v>1095</v>
      </c>
      <c r="P1227" s="18" t="s">
        <v>1095</v>
      </c>
      <c r="Q1227" s="29" t="str" cm="1">
        <f t="array" ref="Q1227">_xlfn.IFS(
A1227="","",
AND(A1227&lt;&gt;"",B1227=""),"FALTA LANÇAMENTO",
AND(B1227&lt;&gt;"",M1227=""),"FALTA O PEDIDO",
AND(M1227&lt;&gt;"",O1227=""),"FALTA NF",
O1227&lt;&gt;"","CONCLUÍDO")</f>
        <v>CONCLUÍDO</v>
      </c>
      <c r="R1227" s="36"/>
    </row>
    <row r="1228" spans="1:18" hidden="1">
      <c r="A1228" s="16">
        <v>46122</v>
      </c>
      <c r="B1228" s="16">
        <v>46135</v>
      </c>
      <c r="C1228" s="21">
        <v>35009001</v>
      </c>
      <c r="D1228" s="16" t="str">
        <f>IFERROR(VLOOKUP(Tabela5[[#This Row],[PREFIXO ]],Tabela4[#All],2,0),"CENTRO DE CUSTO")</f>
        <v>PULV AUTOPROP JACTO UNIPORT 3030</v>
      </c>
      <c r="E1228" s="18" t="s">
        <v>66</v>
      </c>
      <c r="F1228" s="21">
        <v>10015</v>
      </c>
      <c r="G1228" s="22">
        <v>8983</v>
      </c>
      <c r="H1228" s="22"/>
      <c r="I1228" s="22">
        <f t="shared" si="20"/>
        <v>8983</v>
      </c>
      <c r="J1228" s="18" t="s">
        <v>1265</v>
      </c>
      <c r="K1228" s="18">
        <v>9829704</v>
      </c>
      <c r="L1228" s="18" t="s">
        <v>3028</v>
      </c>
      <c r="M1228" s="18" t="s">
        <v>3029</v>
      </c>
      <c r="N1228" s="16" t="s">
        <v>2542</v>
      </c>
      <c r="O1228" s="18" t="s">
        <v>3030</v>
      </c>
      <c r="P1228" s="18" t="s">
        <v>3031</v>
      </c>
      <c r="Q1228" s="29" t="str" cm="1">
        <f t="array" ref="Q1228">_xlfn.IFS(
A1228="","",
AND(A1228&lt;&gt;"",B1228=""),"FALTA LANÇAMENTO",
AND(B1228&lt;&gt;"",M1228=""),"FALTA O PEDIDO",
AND(M1228&lt;&gt;"",O1228=""),"FALTA NF",
O1228&lt;&gt;"","CONCLUÍDO")</f>
        <v>CONCLUÍDO</v>
      </c>
      <c r="R1228" s="36"/>
    </row>
    <row r="1229" spans="1:18" hidden="1">
      <c r="A1229" s="16">
        <v>46122</v>
      </c>
      <c r="B1229" s="16">
        <v>46126</v>
      </c>
      <c r="C1229" s="21">
        <v>31521015</v>
      </c>
      <c r="D1229" s="16" t="str">
        <f>IFERROR(VLOOKUP(Tabela5[[#This Row],[PREFIXO ]],Tabela4[#All],2,0),"CENTRO DE CUSTO")</f>
        <v>PULV AUTOPROP JACTO UNIPORT 3030</v>
      </c>
      <c r="E1229" s="18" t="s">
        <v>66</v>
      </c>
      <c r="F1229" s="21">
        <v>68585</v>
      </c>
      <c r="G1229" s="22"/>
      <c r="H1229" s="22">
        <v>7587.47</v>
      </c>
      <c r="I1229" s="22">
        <f t="shared" si="20"/>
        <v>7587.47</v>
      </c>
      <c r="J1229" s="18" t="s">
        <v>1265</v>
      </c>
      <c r="K1229" s="18">
        <v>9829703</v>
      </c>
      <c r="L1229" s="18">
        <v>908929</v>
      </c>
      <c r="M1229" s="18" t="s">
        <v>3032</v>
      </c>
      <c r="N1229" s="16" t="s">
        <v>2725</v>
      </c>
      <c r="O1229" s="18" t="s">
        <v>3033</v>
      </c>
      <c r="P1229" s="18" t="s">
        <v>3034</v>
      </c>
      <c r="Q1229" s="29" t="str" cm="1">
        <f t="array" ref="Q1229">_xlfn.IFS(
A1229="","",
AND(A1229&lt;&gt;"",B1229=""),"FALTA LANÇAMENTO",
AND(B1229&lt;&gt;"",M1229=""),"FALTA O PEDIDO",
AND(M1229&lt;&gt;"",O1229=""),"FALTA NF",
O1229&lt;&gt;"","CONCLUÍDO")</f>
        <v>CONCLUÍDO</v>
      </c>
      <c r="R1229" s="36"/>
    </row>
    <row r="1230" spans="1:18" hidden="1">
      <c r="A1230" s="16">
        <v>46122</v>
      </c>
      <c r="B1230" s="16">
        <v>46126</v>
      </c>
      <c r="C1230" s="21">
        <v>31521015</v>
      </c>
      <c r="D1230" s="16" t="str">
        <f>IFERROR(VLOOKUP(Tabela5[[#This Row],[PREFIXO ]],Tabela4[#All],2,0),"CENTRO DE CUSTO")</f>
        <v>PULV AUTOPROP JACTO UNIPORT 3030</v>
      </c>
      <c r="E1230" s="18" t="s">
        <v>66</v>
      </c>
      <c r="F1230" s="21">
        <v>9540</v>
      </c>
      <c r="G1230" s="22">
        <v>400</v>
      </c>
      <c r="H1230" s="22"/>
      <c r="I1230" s="22">
        <f t="shared" si="20"/>
        <v>400</v>
      </c>
      <c r="J1230" s="18" t="s">
        <v>1265</v>
      </c>
      <c r="K1230" s="18">
        <v>9829703</v>
      </c>
      <c r="L1230" s="18">
        <v>908929</v>
      </c>
      <c r="M1230" s="18" t="s">
        <v>3032</v>
      </c>
      <c r="N1230" s="16" t="s">
        <v>2725</v>
      </c>
      <c r="O1230" s="18" t="s">
        <v>3033</v>
      </c>
      <c r="P1230" s="18" t="s">
        <v>3034</v>
      </c>
      <c r="Q1230" s="29" t="str" cm="1">
        <f t="array" ref="Q1230">_xlfn.IFS(
A1230="","",
AND(A1230&lt;&gt;"",B1230=""),"FALTA LANÇAMENTO",
AND(B1230&lt;&gt;"",M1230=""),"FALTA O PEDIDO",
AND(M1230&lt;&gt;"",O1230=""),"FALTA NF",
O1230&lt;&gt;"","CONCLUÍDO")</f>
        <v>CONCLUÍDO</v>
      </c>
      <c r="R1230" s="36"/>
    </row>
    <row r="1231" spans="1:18" hidden="1">
      <c r="A1231" s="16">
        <v>46122</v>
      </c>
      <c r="B1231" s="16">
        <v>46126</v>
      </c>
      <c r="C1231" s="21">
        <v>35005015</v>
      </c>
      <c r="D1231" s="16" t="str">
        <f>IFERROR(VLOOKUP(Tabela5[[#This Row],[PREFIXO ]],Tabela4[#All],2,0),"CENTRO DE CUSTO")</f>
        <v>PULV AUTOPROP JACTO UNIPORT 3030</v>
      </c>
      <c r="E1231" s="18" t="s">
        <v>96</v>
      </c>
      <c r="F1231" s="21">
        <v>15416</v>
      </c>
      <c r="G1231" s="22"/>
      <c r="H1231" s="22">
        <v>1381.32</v>
      </c>
      <c r="I1231" s="22">
        <f t="shared" si="20"/>
        <v>1381.32</v>
      </c>
      <c r="J1231" s="18" t="s">
        <v>1265</v>
      </c>
      <c r="K1231" s="18" t="s">
        <v>1095</v>
      </c>
      <c r="L1231" s="18" t="s">
        <v>1095</v>
      </c>
      <c r="M1231" s="18" t="s">
        <v>3035</v>
      </c>
      <c r="N1231" s="16" t="s">
        <v>3036</v>
      </c>
      <c r="O1231" s="18" t="s">
        <v>3037</v>
      </c>
      <c r="P1231" s="18" t="s">
        <v>2544</v>
      </c>
      <c r="Q1231" s="29" t="str" cm="1">
        <f t="array" ref="Q1231">_xlfn.IFS(
A1231="","",
AND(A1231&lt;&gt;"",B1231=""),"FALTA LANÇAMENTO",
AND(B1231&lt;&gt;"",M1231=""),"FALTA O PEDIDO",
AND(M1231&lt;&gt;"",O1231=""),"FALTA NF",
O1231&lt;&gt;"","CONCLUÍDO")</f>
        <v>CONCLUÍDO</v>
      </c>
      <c r="R1231" s="36"/>
    </row>
    <row r="1232" spans="1:18" hidden="1">
      <c r="A1232" s="16">
        <v>46122</v>
      </c>
      <c r="B1232" s="16">
        <v>46126</v>
      </c>
      <c r="C1232" s="21">
        <v>61521039</v>
      </c>
      <c r="D1232" s="16" t="str">
        <f>IFERROR(VLOOKUP(Tabela5[[#This Row],[PREFIXO ]],Tabela4[#All],2,0),"CENTRO DE CUSTO")</f>
        <v>CAM MUNCK MERC BENZ ATEGO 1719</v>
      </c>
      <c r="E1232" s="18" t="s">
        <v>96</v>
      </c>
      <c r="F1232" s="21">
        <v>15413</v>
      </c>
      <c r="G1232" s="22"/>
      <c r="H1232" s="22">
        <v>1370.69</v>
      </c>
      <c r="I1232" s="22">
        <f t="shared" si="20"/>
        <v>1370.69</v>
      </c>
      <c r="J1232" s="18" t="s">
        <v>1199</v>
      </c>
      <c r="K1232" s="18" t="s">
        <v>1095</v>
      </c>
      <c r="L1232" s="18" t="s">
        <v>1095</v>
      </c>
      <c r="M1232" s="18" t="s">
        <v>3038</v>
      </c>
      <c r="N1232" s="16" t="s">
        <v>3036</v>
      </c>
      <c r="O1232" s="18" t="s">
        <v>3039</v>
      </c>
      <c r="P1232" s="18" t="s">
        <v>2544</v>
      </c>
      <c r="Q1232" s="29" t="str" cm="1">
        <f t="array" ref="Q1232">_xlfn.IFS(
A1232="","",
AND(A1232&lt;&gt;"",B1232=""),"FALTA LANÇAMENTO",
AND(B1232&lt;&gt;"",M1232=""),"FALTA O PEDIDO",
AND(M1232&lt;&gt;"",O1232=""),"FALTA NF",
O1232&lt;&gt;"","CONCLUÍDO")</f>
        <v>CONCLUÍDO</v>
      </c>
      <c r="R1232" s="36"/>
    </row>
    <row r="1233" spans="1:18" hidden="1">
      <c r="A1233" s="16">
        <v>46122</v>
      </c>
      <c r="B1233" s="16">
        <v>46126</v>
      </c>
      <c r="C1233" s="21">
        <v>61521039</v>
      </c>
      <c r="D1233" s="16" t="str">
        <f>IFERROR(VLOOKUP(Tabela5[[#This Row],[PREFIXO ]],Tabela4[#All],2,0),"CENTRO DE CUSTO")</f>
        <v>CAM MUNCK MERC BENZ ATEGO 1719</v>
      </c>
      <c r="E1233" s="18" t="s">
        <v>96</v>
      </c>
      <c r="F1233" s="21">
        <v>4149</v>
      </c>
      <c r="G1233" s="22">
        <v>450</v>
      </c>
      <c r="H1233" s="22"/>
      <c r="I1233" s="22">
        <f t="shared" si="20"/>
        <v>450</v>
      </c>
      <c r="J1233" s="18" t="s">
        <v>1199</v>
      </c>
      <c r="K1233" s="18" t="s">
        <v>1095</v>
      </c>
      <c r="L1233" s="18" t="s">
        <v>1095</v>
      </c>
      <c r="M1233" s="18" t="s">
        <v>1095</v>
      </c>
      <c r="N1233" s="16" t="s">
        <v>1095</v>
      </c>
      <c r="O1233" s="18" t="s">
        <v>1095</v>
      </c>
      <c r="P1233" s="18" t="s">
        <v>1095</v>
      </c>
      <c r="Q1233" s="29" t="str" cm="1">
        <f t="array" ref="Q1233">_xlfn.IFS(
A1233="","",
AND(A1233&lt;&gt;"",B1233=""),"FALTA LANÇAMENTO",
AND(B1233&lt;&gt;"",M1233=""),"FALTA O PEDIDO",
AND(M1233&lt;&gt;"",O1233=""),"FALTA NF",
O1233&lt;&gt;"","CONCLUÍDO")</f>
        <v>CONCLUÍDO</v>
      </c>
      <c r="R1233" s="36"/>
    </row>
    <row r="1234" spans="1:18" hidden="1">
      <c r="A1234" s="16">
        <v>46122</v>
      </c>
      <c r="B1234" s="16">
        <v>46129</v>
      </c>
      <c r="C1234" s="21">
        <v>81521315</v>
      </c>
      <c r="D1234" s="16" t="str">
        <f>IFERROR(VLOOKUP(Tabela5[[#This Row],[PREFIXO ]],Tabela4[#All],2,0),"CENTRO DE CUSTO")</f>
        <v>PLANT GRÃOS JOHN DEERE DB90 ME 60 LINHAS</v>
      </c>
      <c r="E1234" s="18" t="s">
        <v>96</v>
      </c>
      <c r="F1234" s="21">
        <v>4166</v>
      </c>
      <c r="G1234" s="22">
        <v>243</v>
      </c>
      <c r="H1234" s="22"/>
      <c r="I1234" s="22">
        <f t="shared" si="20"/>
        <v>243</v>
      </c>
      <c r="J1234" s="18" t="s">
        <v>1199</v>
      </c>
      <c r="K1234" s="18">
        <v>9814499</v>
      </c>
      <c r="L1234" s="18">
        <v>912392</v>
      </c>
      <c r="M1234" s="18" t="s">
        <v>3040</v>
      </c>
      <c r="N1234" s="16" t="s">
        <v>2302</v>
      </c>
      <c r="O1234" s="18" t="s">
        <v>3041</v>
      </c>
      <c r="P1234" s="18" t="s">
        <v>3034</v>
      </c>
      <c r="Q1234" s="29" t="str" cm="1">
        <f t="array" ref="Q1234">_xlfn.IFS(
A1234="","",
AND(A1234&lt;&gt;"",B1234=""),"FALTA LANÇAMENTO",
AND(B1234&lt;&gt;"",M1234=""),"FALTA O PEDIDO",
AND(M1234&lt;&gt;"",O1234=""),"FALTA NF",
O1234&lt;&gt;"","CONCLUÍDO")</f>
        <v>CONCLUÍDO</v>
      </c>
      <c r="R1234" s="36"/>
    </row>
    <row r="1235" spans="1:18" hidden="1">
      <c r="A1235" s="16">
        <v>46122</v>
      </c>
      <c r="B1235" s="16">
        <v>46126</v>
      </c>
      <c r="C1235" s="21">
        <v>35005015</v>
      </c>
      <c r="D1235" s="16" t="str">
        <f>IFERROR(VLOOKUP(Tabela5[[#This Row],[PREFIXO ]],Tabela4[#All],2,0),"CENTRO DE CUSTO")</f>
        <v>PULV AUTOPROP JACTO UNIPORT 3030</v>
      </c>
      <c r="E1235" s="18" t="s">
        <v>96</v>
      </c>
      <c r="F1235" s="21">
        <v>4178</v>
      </c>
      <c r="G1235" s="22">
        <v>200</v>
      </c>
      <c r="H1235" s="22"/>
      <c r="I1235" s="22">
        <f t="shared" si="20"/>
        <v>200</v>
      </c>
      <c r="J1235" s="18" t="s">
        <v>1265</v>
      </c>
      <c r="K1235" s="18" t="s">
        <v>1095</v>
      </c>
      <c r="L1235" s="18" t="s">
        <v>1095</v>
      </c>
      <c r="M1235" s="18" t="s">
        <v>1095</v>
      </c>
      <c r="N1235" s="16" t="s">
        <v>1095</v>
      </c>
      <c r="O1235" s="18" t="s">
        <v>1095</v>
      </c>
      <c r="P1235" s="18" t="s">
        <v>1095</v>
      </c>
      <c r="Q1235" s="29" t="str" cm="1">
        <f t="array" ref="Q1235">_xlfn.IFS(
A1235="","",
AND(A1235&lt;&gt;"",B1235=""),"FALTA LANÇAMENTO",
AND(B1235&lt;&gt;"",M1235=""),"FALTA O PEDIDO",
AND(M1235&lt;&gt;"",O1235=""),"FALTA NF",
O1235&lt;&gt;"","CONCLUÍDO")</f>
        <v>CONCLUÍDO</v>
      </c>
      <c r="R1235" s="36"/>
    </row>
    <row r="1236" spans="1:18" hidden="1">
      <c r="A1236" s="16">
        <v>46122</v>
      </c>
      <c r="B1236" s="16">
        <v>46129</v>
      </c>
      <c r="C1236" s="21">
        <v>81521315</v>
      </c>
      <c r="D1236" s="16" t="str">
        <f>IFERROR(VLOOKUP(Tabela5[[#This Row],[PREFIXO ]],Tabela4[#All],2,0),"CENTRO DE CUSTO")</f>
        <v>PLANT GRÃOS JOHN DEERE DB90 ME 60 LINHAS</v>
      </c>
      <c r="E1236" s="18" t="s">
        <v>96</v>
      </c>
      <c r="F1236" s="21">
        <v>15469</v>
      </c>
      <c r="G1236" s="22"/>
      <c r="H1236" s="22">
        <v>162.44999999999999</v>
      </c>
      <c r="I1236" s="22">
        <f t="shared" si="20"/>
        <v>162.44999999999999</v>
      </c>
      <c r="J1236" s="18" t="s">
        <v>1199</v>
      </c>
      <c r="K1236" s="18">
        <v>9814498</v>
      </c>
      <c r="L1236" s="18">
        <v>912392</v>
      </c>
      <c r="M1236" s="18" t="s">
        <v>3040</v>
      </c>
      <c r="N1236" s="16" t="s">
        <v>2302</v>
      </c>
      <c r="O1236" s="18" t="s">
        <v>3041</v>
      </c>
      <c r="P1236" s="18" t="s">
        <v>3034</v>
      </c>
      <c r="Q1236" s="29" t="str" cm="1">
        <f t="array" ref="Q1236">_xlfn.IFS(
A1236="","",
AND(A1236&lt;&gt;"",B1236=""),"FALTA LANÇAMENTO",
AND(B1236&lt;&gt;"",M1236=""),"FALTA O PEDIDO",
AND(M1236&lt;&gt;"",O1236=""),"FALTA NF",
O1236&lt;&gt;"","CONCLUÍDO")</f>
        <v>CONCLUÍDO</v>
      </c>
      <c r="R1236" s="36"/>
    </row>
    <row r="1237" spans="1:18" hidden="1">
      <c r="A1237" s="16">
        <v>46122</v>
      </c>
      <c r="B1237" s="16">
        <v>46126</v>
      </c>
      <c r="C1237" s="21">
        <v>15690001</v>
      </c>
      <c r="D1237" s="16" t="str">
        <f>IFERROR(VLOOKUP(Tabela5[[#This Row],[PREFIXO ]],Tabela4[#All],2,0),"CENTRO DE CUSTO")</f>
        <v>COLHE FORRAGEM CASALE CRC-180 AP</v>
      </c>
      <c r="E1237" s="18" t="s">
        <v>359</v>
      </c>
      <c r="F1237" s="21" t="s">
        <v>1314</v>
      </c>
      <c r="G1237" s="22">
        <v>1942.56</v>
      </c>
      <c r="H1237" s="22"/>
      <c r="I1237" s="22">
        <f t="shared" si="20"/>
        <v>1942.56</v>
      </c>
      <c r="J1237" s="18" t="s">
        <v>1199</v>
      </c>
      <c r="K1237" s="18">
        <v>9829709</v>
      </c>
      <c r="L1237" s="18">
        <v>908637</v>
      </c>
      <c r="M1237" s="18" t="s">
        <v>3042</v>
      </c>
      <c r="N1237" s="16" t="s">
        <v>2619</v>
      </c>
      <c r="O1237" s="18" t="s">
        <v>1758</v>
      </c>
      <c r="P1237" s="18" t="s">
        <v>2556</v>
      </c>
      <c r="Q1237" s="29" t="str" cm="1">
        <f t="array" ref="Q1237">_xlfn.IFS(
A1237="","",
AND(A1237&lt;&gt;"",B1237=""),"FALTA LANÇAMENTO",
AND(B1237&lt;&gt;"",M1237=""),"FALTA O PEDIDO",
AND(M1237&lt;&gt;"",O1237=""),"FALTA NF",
O1237&lt;&gt;"","CONCLUÍDO")</f>
        <v>CONCLUÍDO</v>
      </c>
      <c r="R1237" s="36"/>
    </row>
    <row r="1238" spans="1:18" hidden="1">
      <c r="A1238" s="16">
        <v>46122</v>
      </c>
      <c r="B1238" s="16">
        <v>46133</v>
      </c>
      <c r="C1238" s="21" t="s">
        <v>1134</v>
      </c>
      <c r="D1238" s="16" t="str">
        <f>IFERROR(VLOOKUP(Tabela5[[#This Row],[PREFIXO ]],Tabela4[#All],2,0),"CENTRO DE CUSTO")</f>
        <v>CENTRO DE CUSTO</v>
      </c>
      <c r="E1238" s="18" t="s">
        <v>351</v>
      </c>
      <c r="F1238" s="21" t="s">
        <v>1134</v>
      </c>
      <c r="G1238" s="22">
        <v>22916</v>
      </c>
      <c r="H1238" s="22"/>
      <c r="I1238" s="22">
        <f t="shared" si="20"/>
        <v>22916</v>
      </c>
      <c r="J1238" s="18" t="s">
        <v>2467</v>
      </c>
      <c r="K1238" s="18">
        <v>9829717</v>
      </c>
      <c r="L1238" s="18">
        <v>913853</v>
      </c>
      <c r="M1238" s="18" t="s">
        <v>3043</v>
      </c>
      <c r="N1238" s="16" t="s">
        <v>2866</v>
      </c>
      <c r="O1238" s="18" t="s">
        <v>1752</v>
      </c>
      <c r="P1238" s="18" t="s">
        <v>2684</v>
      </c>
      <c r="Q1238" s="29" t="str" cm="1">
        <f t="array" ref="Q1238">_xlfn.IFS(
A1238="","",
AND(A1238&lt;&gt;"",B1238=""),"FALTA LANÇAMENTO",
AND(B1238&lt;&gt;"",M1238=""),"FALTA O PEDIDO",
AND(M1238&lt;&gt;"",O1238=""),"FALTA NF",
O1238&lt;&gt;"","CONCLUÍDO")</f>
        <v>CONCLUÍDO</v>
      </c>
      <c r="R1238" s="36"/>
    </row>
    <row r="1239" spans="1:18" hidden="1">
      <c r="A1239" s="16">
        <v>46122</v>
      </c>
      <c r="B1239" s="16">
        <v>46132</v>
      </c>
      <c r="C1239" s="21">
        <v>61521074</v>
      </c>
      <c r="D1239" s="16" t="str">
        <f>IFERROR(VLOOKUP(Tabela5[[#This Row],[PREFIXO ]],Tabela4[#All],2,0),"CENTRO DE CUSTO")</f>
        <v>CAV MEC PES VOLVO VM 220</v>
      </c>
      <c r="E1239" s="18" t="s">
        <v>207</v>
      </c>
      <c r="F1239" s="21">
        <v>1230</v>
      </c>
      <c r="G1239" s="22">
        <v>3815</v>
      </c>
      <c r="H1239" s="22">
        <v>7958.78</v>
      </c>
      <c r="I1239" s="22">
        <f t="shared" si="20"/>
        <v>11773.779999999999</v>
      </c>
      <c r="J1239" s="18" t="s">
        <v>1199</v>
      </c>
      <c r="K1239" s="18">
        <v>9829713</v>
      </c>
      <c r="L1239" s="18">
        <v>909954</v>
      </c>
      <c r="M1239" s="18" t="s">
        <v>3044</v>
      </c>
      <c r="N1239" s="16" t="s">
        <v>1526</v>
      </c>
      <c r="O1239" s="18" t="s">
        <v>3045</v>
      </c>
      <c r="P1239" s="18" t="s">
        <v>2579</v>
      </c>
      <c r="Q1239" s="29" t="str" cm="1">
        <f t="array" ref="Q1239">_xlfn.IFS(
A1239="","",
AND(A1239&lt;&gt;"",B1239=""),"FALTA LANÇAMENTO",
AND(B1239&lt;&gt;"",M1239=""),"FALTA O PEDIDO",
AND(M1239&lt;&gt;"",O1239=""),"FALTA NF",
O1239&lt;&gt;"","CONCLUÍDO")</f>
        <v>CONCLUÍDO</v>
      </c>
      <c r="R1239" s="36"/>
    </row>
    <row r="1240" spans="1:18" hidden="1">
      <c r="A1240" s="16">
        <v>46122</v>
      </c>
      <c r="B1240" s="16">
        <v>46126</v>
      </c>
      <c r="C1240" s="21">
        <v>81521406</v>
      </c>
      <c r="D1240" s="16" t="str">
        <f>IFERROR(VLOOKUP(Tabela5[[#This Row],[PREFIXO ]],Tabela4[#All],2,0),"CENTRO DE CUSTO")</f>
        <v>SEMI REBOQUE TANQUE INOX RECRUSUL</v>
      </c>
      <c r="E1240" s="18" t="s">
        <v>207</v>
      </c>
      <c r="F1240" s="21">
        <v>1233</v>
      </c>
      <c r="G1240" s="22">
        <v>1200</v>
      </c>
      <c r="H1240" s="22"/>
      <c r="I1240" s="22">
        <f t="shared" si="20"/>
        <v>1200</v>
      </c>
      <c r="J1240" s="18" t="s">
        <v>1199</v>
      </c>
      <c r="K1240" s="18">
        <v>9829750</v>
      </c>
      <c r="L1240" s="18">
        <v>908620</v>
      </c>
      <c r="M1240" s="18" t="s">
        <v>3046</v>
      </c>
      <c r="N1240" s="16" t="s">
        <v>2619</v>
      </c>
      <c r="O1240" s="18" t="s">
        <v>3047</v>
      </c>
      <c r="P1240" s="18" t="s">
        <v>3048</v>
      </c>
      <c r="Q1240" s="29" t="str" cm="1">
        <f t="array" ref="Q1240">_xlfn.IFS(
A1240="","",
AND(A1240&lt;&gt;"",B1240=""),"FALTA LANÇAMENTO",
AND(B1240&lt;&gt;"",M1240=""),"FALTA O PEDIDO",
AND(M1240&lt;&gt;"",O1240=""),"FALTA NF",
O1240&lt;&gt;"","CONCLUÍDO")</f>
        <v>CONCLUÍDO</v>
      </c>
      <c r="R1240" s="36"/>
    </row>
    <row r="1241" spans="1:18" hidden="1">
      <c r="A1241" s="16">
        <v>46122</v>
      </c>
      <c r="B1241" s="16">
        <v>46127</v>
      </c>
      <c r="C1241" s="21" t="s">
        <v>1134</v>
      </c>
      <c r="D1241" s="16" t="str">
        <f>IFERROR(VLOOKUP(Tabela5[[#This Row],[PREFIXO ]],Tabela4[#All],2,0),"CENTRO DE CUSTO")</f>
        <v>CENTRO DE CUSTO</v>
      </c>
      <c r="E1241" s="18" t="s">
        <v>172</v>
      </c>
      <c r="F1241" s="21">
        <v>61237</v>
      </c>
      <c r="G1241" s="22">
        <v>897</v>
      </c>
      <c r="H1241" s="22"/>
      <c r="I1241" s="22">
        <f t="shared" si="20"/>
        <v>897</v>
      </c>
      <c r="J1241" s="18" t="s">
        <v>1085</v>
      </c>
      <c r="K1241" s="18">
        <v>9829708</v>
      </c>
      <c r="L1241" s="18">
        <v>908098</v>
      </c>
      <c r="M1241" s="18" t="s">
        <v>1095</v>
      </c>
      <c r="N1241" s="16" t="s">
        <v>1095</v>
      </c>
      <c r="O1241" s="18" t="s">
        <v>1095</v>
      </c>
      <c r="P1241" s="18" t="s">
        <v>1095</v>
      </c>
      <c r="Q1241" s="29" t="str" cm="1">
        <f t="array" ref="Q1241">_xlfn.IFS(
A1241="","",
AND(A1241&lt;&gt;"",B1241=""),"FALTA LANÇAMENTO",
AND(B1241&lt;&gt;"",M1241=""),"FALTA O PEDIDO",
AND(M1241&lt;&gt;"",O1241=""),"FALTA NF",
O1241&lt;&gt;"","CONCLUÍDO")</f>
        <v>CONCLUÍDO</v>
      </c>
      <c r="R1241" s="36"/>
    </row>
    <row r="1242" spans="1:18" hidden="1">
      <c r="A1242" s="16">
        <v>46122</v>
      </c>
      <c r="B1242" s="16">
        <v>46122</v>
      </c>
      <c r="C1242" s="21">
        <v>11521004</v>
      </c>
      <c r="D1242" s="16" t="str">
        <f>IFERROR(VLOOKUP(Tabela5[[#This Row],[PREFIXO ]],Tabela4[#All],2,0),"CENTRO DE CUSTO")</f>
        <v>TRAT PN EXT PES CASE STEIGER 620</v>
      </c>
      <c r="E1242" s="18" t="s">
        <v>148</v>
      </c>
      <c r="F1242" s="21">
        <v>77</v>
      </c>
      <c r="G1242" s="22">
        <v>3800</v>
      </c>
      <c r="H1242" s="22"/>
      <c r="I1242" s="22">
        <f t="shared" si="20"/>
        <v>3800</v>
      </c>
      <c r="J1242" s="18" t="s">
        <v>1199</v>
      </c>
      <c r="K1242" s="18" t="s">
        <v>1095</v>
      </c>
      <c r="L1242" s="18" t="s">
        <v>1095</v>
      </c>
      <c r="M1242" s="18" t="s">
        <v>1095</v>
      </c>
      <c r="N1242" s="16" t="s">
        <v>1095</v>
      </c>
      <c r="O1242" s="18" t="s">
        <v>1095</v>
      </c>
      <c r="P1242" s="18" t="s">
        <v>1095</v>
      </c>
      <c r="Q1242" s="29" t="str" cm="1">
        <f t="array" ref="Q1242">_xlfn.IFS(
A1242="","",
AND(A1242&lt;&gt;"",B1242=""),"FALTA LANÇAMENTO",
AND(B1242&lt;&gt;"",M1242=""),"FALTA O PEDIDO",
AND(M1242&lt;&gt;"",O1242=""),"FALTA NF",
O1242&lt;&gt;"","CONCLUÍDO")</f>
        <v>CONCLUÍDO</v>
      </c>
      <c r="R1242" s="36"/>
    </row>
    <row r="1243" spans="1:18" hidden="1">
      <c r="A1243" s="16">
        <v>46122</v>
      </c>
      <c r="B1243" s="16">
        <v>46125</v>
      </c>
      <c r="C1243" s="21" t="s">
        <v>1134</v>
      </c>
      <c r="D1243" s="16" t="str">
        <f>IFERROR(VLOOKUP(Tabela5[[#This Row],[PREFIXO ]],Tabela4[#All],2,0),"CENTRO DE CUSTO")</f>
        <v>CENTRO DE CUSTO</v>
      </c>
      <c r="E1243" s="18" t="s">
        <v>148</v>
      </c>
      <c r="F1243" s="21">
        <v>98</v>
      </c>
      <c r="G1243" s="22">
        <v>1800</v>
      </c>
      <c r="H1243" s="22"/>
      <c r="I1243" s="22">
        <f t="shared" si="20"/>
        <v>1800</v>
      </c>
      <c r="J1243" s="18" t="s">
        <v>1199</v>
      </c>
      <c r="K1243" s="18">
        <v>9827549</v>
      </c>
      <c r="L1243" s="18">
        <v>905811</v>
      </c>
      <c r="M1243" s="18" t="s">
        <v>3049</v>
      </c>
      <c r="N1243" s="16" t="s">
        <v>2585</v>
      </c>
      <c r="O1243" s="18" t="s">
        <v>3050</v>
      </c>
      <c r="P1243" s="18" t="s">
        <v>2619</v>
      </c>
      <c r="Q1243" s="29" t="str" cm="1">
        <f t="array" ref="Q1243">_xlfn.IFS(
A1243="","",
AND(A1243&lt;&gt;"",B1243=""),"FALTA LANÇAMENTO",
AND(B1243&lt;&gt;"",M1243=""),"FALTA O PEDIDO",
AND(M1243&lt;&gt;"",O1243=""),"FALTA NF",
O1243&lt;&gt;"","CONCLUÍDO")</f>
        <v>CONCLUÍDO</v>
      </c>
      <c r="R1243" s="36"/>
    </row>
    <row r="1244" spans="1:18" hidden="1">
      <c r="A1244" s="16">
        <v>46122</v>
      </c>
      <c r="B1244" s="16">
        <v>46125</v>
      </c>
      <c r="C1244" s="21">
        <v>500580579</v>
      </c>
      <c r="D1244" s="16" t="str">
        <f>IFERROR(VLOOKUP(Tabela5[[#This Row],[PREFIXO ]],Tabela4[#All],2,0),"CENTRO DE CUSTO")</f>
        <v>Pátio de Vendas</v>
      </c>
      <c r="E1244" s="18" t="s">
        <v>224</v>
      </c>
      <c r="F1244" s="21">
        <v>2582</v>
      </c>
      <c r="G1244" s="22">
        <v>3600</v>
      </c>
      <c r="H1244" s="22"/>
      <c r="I1244" s="22">
        <f t="shared" si="20"/>
        <v>3600</v>
      </c>
      <c r="J1244" s="18" t="s">
        <v>1152</v>
      </c>
      <c r="K1244" s="18">
        <v>5020317</v>
      </c>
      <c r="L1244" s="18" t="s">
        <v>1095</v>
      </c>
      <c r="M1244" s="18" t="s">
        <v>1095</v>
      </c>
      <c r="N1244" s="16" t="s">
        <v>1095</v>
      </c>
      <c r="O1244" s="18" t="s">
        <v>1095</v>
      </c>
      <c r="P1244" s="18" t="s">
        <v>1095</v>
      </c>
      <c r="Q1244" s="29" t="str" cm="1">
        <f t="array" ref="Q1244">_xlfn.IFS(
A1244="","",
AND(A1244&lt;&gt;"",B1244=""),"FALTA LANÇAMENTO",
AND(B1244&lt;&gt;"",M1244=""),"FALTA O PEDIDO",
AND(M1244&lt;&gt;"",O1244=""),"FALTA NF",
O1244&lt;&gt;"","CONCLUÍDO")</f>
        <v>CONCLUÍDO</v>
      </c>
      <c r="R1244" s="36"/>
    </row>
    <row r="1245" spans="1:18" hidden="1">
      <c r="A1245" s="16">
        <v>46122</v>
      </c>
      <c r="B1245" s="16">
        <v>46125</v>
      </c>
      <c r="C1245" s="21">
        <v>500580579</v>
      </c>
      <c r="D1245" s="16" t="str">
        <f>IFERROR(VLOOKUP(Tabela5[[#This Row],[PREFIXO ]],Tabela4[#All],2,0),"CENTRO DE CUSTO")</f>
        <v>Pátio de Vendas</v>
      </c>
      <c r="E1245" s="18" t="s">
        <v>224</v>
      </c>
      <c r="F1245" s="21">
        <v>2581</v>
      </c>
      <c r="G1245" s="22">
        <v>2325</v>
      </c>
      <c r="H1245" s="22"/>
      <c r="I1245" s="22">
        <f t="shared" si="20"/>
        <v>2325</v>
      </c>
      <c r="J1245" s="18" t="s">
        <v>1152</v>
      </c>
      <c r="K1245" s="18">
        <v>5020317</v>
      </c>
      <c r="L1245" s="18" t="s">
        <v>1095</v>
      </c>
      <c r="M1245" s="18" t="s">
        <v>1095</v>
      </c>
      <c r="N1245" s="16" t="s">
        <v>1095</v>
      </c>
      <c r="O1245" s="18" t="s">
        <v>1095</v>
      </c>
      <c r="P1245" s="18" t="s">
        <v>1095</v>
      </c>
      <c r="Q1245" s="29" t="str" cm="1">
        <f t="array" ref="Q1245">_xlfn.IFS(
A1245="","",
AND(A1245&lt;&gt;"",B1245=""),"FALTA LANÇAMENTO",
AND(B1245&lt;&gt;"",M1245=""),"FALTA O PEDIDO",
AND(M1245&lt;&gt;"",O1245=""),"FALTA NF",
O1245&lt;&gt;"","CONCLUÍDO")</f>
        <v>CONCLUÍDO</v>
      </c>
      <c r="R1245" s="36"/>
    </row>
    <row r="1246" spans="1:18" hidden="1">
      <c r="A1246" s="16">
        <v>46122</v>
      </c>
      <c r="B1246" s="16">
        <v>46133</v>
      </c>
      <c r="C1246" s="21" t="s">
        <v>1134</v>
      </c>
      <c r="D1246" s="16" t="str">
        <f>IFERROR(VLOOKUP(Tabela5[[#This Row],[PREFIXO ]],Tabela4[#All],2,0),"CENTRO DE CUSTO")</f>
        <v>CENTRO DE CUSTO</v>
      </c>
      <c r="E1246" s="18" t="s">
        <v>347</v>
      </c>
      <c r="F1246" s="21">
        <v>989</v>
      </c>
      <c r="G1246" s="22">
        <v>65000</v>
      </c>
      <c r="H1246" s="22"/>
      <c r="I1246" s="22">
        <f t="shared" si="20"/>
        <v>65000</v>
      </c>
      <c r="J1246" s="18" t="s">
        <v>1199</v>
      </c>
      <c r="K1246" s="18">
        <v>9829705</v>
      </c>
      <c r="L1246" s="18">
        <v>913901</v>
      </c>
      <c r="M1246" s="18" t="s">
        <v>3051</v>
      </c>
      <c r="N1246" s="16" t="s">
        <v>2866</v>
      </c>
      <c r="O1246" s="18" t="s">
        <v>3052</v>
      </c>
      <c r="P1246" s="18" t="s">
        <v>3053</v>
      </c>
      <c r="Q1246" s="29" t="str" cm="1">
        <f t="array" ref="Q1246">_xlfn.IFS(
A1246="","",
AND(A1246&lt;&gt;"",B1246=""),"FALTA LANÇAMENTO",
AND(B1246&lt;&gt;"",M1246=""),"FALTA O PEDIDO",
AND(M1246&lt;&gt;"",O1246=""),"FALTA NF",
O1246&lt;&gt;"","CONCLUÍDO")</f>
        <v>CONCLUÍDO</v>
      </c>
      <c r="R1246" s="36"/>
    </row>
    <row r="1247" spans="1:18" hidden="1">
      <c r="A1247" s="16">
        <v>46122</v>
      </c>
      <c r="B1247" s="16">
        <v>46133</v>
      </c>
      <c r="C1247" s="21" t="s">
        <v>1134</v>
      </c>
      <c r="D1247" s="16" t="str">
        <f>IFERROR(VLOOKUP(Tabela5[[#This Row],[PREFIXO ]],Tabela4[#All],2,0),"CENTRO DE CUSTO")</f>
        <v>CENTRO DE CUSTO</v>
      </c>
      <c r="E1247" s="18" t="s">
        <v>249</v>
      </c>
      <c r="F1247" s="21">
        <v>234</v>
      </c>
      <c r="G1247" s="22">
        <v>39725</v>
      </c>
      <c r="H1247" s="22"/>
      <c r="I1247" s="22">
        <f t="shared" si="20"/>
        <v>39725</v>
      </c>
      <c r="J1247" s="18" t="s">
        <v>1199</v>
      </c>
      <c r="K1247" s="18" t="s">
        <v>3054</v>
      </c>
      <c r="L1247" s="18">
        <v>913855</v>
      </c>
      <c r="M1247" s="18" t="s">
        <v>3055</v>
      </c>
      <c r="N1247" s="16" t="s">
        <v>2866</v>
      </c>
      <c r="O1247" s="18" t="s">
        <v>3056</v>
      </c>
      <c r="P1247" s="18" t="s">
        <v>2581</v>
      </c>
      <c r="Q1247" s="29" t="str" cm="1">
        <f t="array" ref="Q1247">_xlfn.IFS(
A1247="","",
AND(A1247&lt;&gt;"",B1247=""),"FALTA LANÇAMENTO",
AND(B1247&lt;&gt;"",M1247=""),"FALTA O PEDIDO",
AND(M1247&lt;&gt;"",O1247=""),"FALTA NF",
O1247&lt;&gt;"","CONCLUÍDO")</f>
        <v>CONCLUÍDO</v>
      </c>
      <c r="R1247" s="36"/>
    </row>
    <row r="1248" spans="1:18" hidden="1">
      <c r="A1248" s="16">
        <v>46122</v>
      </c>
      <c r="B1248" s="16">
        <v>46126</v>
      </c>
      <c r="C1248" s="21" t="s">
        <v>1134</v>
      </c>
      <c r="D1248" s="16" t="str">
        <f>IFERROR(VLOOKUP(Tabela5[[#This Row],[PREFIXO ]],Tabela4[#All],2,0),"CENTRO DE CUSTO")</f>
        <v>CENTRO DE CUSTO</v>
      </c>
      <c r="E1248" s="18" t="s">
        <v>249</v>
      </c>
      <c r="F1248" s="21">
        <v>233</v>
      </c>
      <c r="G1248" s="22">
        <v>29640</v>
      </c>
      <c r="H1248" s="22"/>
      <c r="I1248" s="22">
        <f t="shared" si="20"/>
        <v>29640</v>
      </c>
      <c r="J1248" s="18" t="s">
        <v>1199</v>
      </c>
      <c r="K1248" s="18"/>
      <c r="L1248" s="18" t="s">
        <v>1095</v>
      </c>
      <c r="M1248" s="18" t="s">
        <v>1095</v>
      </c>
      <c r="N1248" s="16" t="s">
        <v>1095</v>
      </c>
      <c r="O1248" s="18" t="s">
        <v>1095</v>
      </c>
      <c r="P1248" s="18" t="s">
        <v>1095</v>
      </c>
      <c r="Q1248" s="29" t="str" cm="1">
        <f t="array" ref="Q1248">_xlfn.IFS(
A1248="","",
AND(A1248&lt;&gt;"",B1248=""),"FALTA LANÇAMENTO",
AND(B1248&lt;&gt;"",M1248=""),"FALTA O PEDIDO",
AND(M1248&lt;&gt;"",O1248=""),"FALTA NF",
O1248&lt;&gt;"","CONCLUÍDO")</f>
        <v>CONCLUÍDO</v>
      </c>
      <c r="R1248" s="36"/>
    </row>
    <row r="1249" spans="1:18" hidden="1">
      <c r="A1249" s="16">
        <v>46122</v>
      </c>
      <c r="B1249" s="16">
        <v>46126</v>
      </c>
      <c r="C1249" s="21">
        <v>13100038</v>
      </c>
      <c r="D1249" s="16" t="str">
        <f>IFERROR(VLOOKUP(Tabela5[[#This Row],[PREFIXO ]],Tabela4[#All],2,0),"CENTRO DE CUSTO")</f>
        <v>CENTRO DE CUSTO</v>
      </c>
      <c r="E1249" s="18" t="s">
        <v>312</v>
      </c>
      <c r="F1249" s="21" t="s">
        <v>1311</v>
      </c>
      <c r="G1249" s="22">
        <v>8325</v>
      </c>
      <c r="H1249" s="22"/>
      <c r="I1249" s="22">
        <f t="shared" si="20"/>
        <v>8325</v>
      </c>
      <c r="J1249" s="18" t="s">
        <v>1199</v>
      </c>
      <c r="K1249" s="18">
        <v>9829527</v>
      </c>
      <c r="L1249" s="18">
        <v>908660</v>
      </c>
      <c r="M1249" s="18" t="s">
        <v>3057</v>
      </c>
      <c r="N1249" s="16" t="s">
        <v>2725</v>
      </c>
      <c r="O1249" s="18" t="s">
        <v>2572</v>
      </c>
      <c r="P1249" s="18" t="s">
        <v>2542</v>
      </c>
      <c r="Q1249" s="29" t="str" cm="1">
        <f t="array" ref="Q1249">_xlfn.IFS(
A1249="","",
AND(A1249&lt;&gt;"",B1249=""),"FALTA LANÇAMENTO",
AND(B1249&lt;&gt;"",M1249=""),"FALTA O PEDIDO",
AND(M1249&lt;&gt;"",O1249=""),"FALTA NF",
O1249&lt;&gt;"","CONCLUÍDO")</f>
        <v>CONCLUÍDO</v>
      </c>
      <c r="R1249" s="36"/>
    </row>
    <row r="1250" spans="1:18" hidden="1">
      <c r="A1250" s="16">
        <v>46122</v>
      </c>
      <c r="B1250" s="16">
        <v>46125</v>
      </c>
      <c r="C1250" s="21">
        <v>13100037</v>
      </c>
      <c r="D1250" s="16" t="str">
        <f>IFERROR(VLOOKUP(Tabela5[[#This Row],[PREFIXO ]],Tabela4[#All],2,0),"CENTRO DE CUSTO")</f>
        <v>CENTRO DE CUSTO</v>
      </c>
      <c r="E1250" s="18" t="s">
        <v>312</v>
      </c>
      <c r="F1250" s="21" t="s">
        <v>1309</v>
      </c>
      <c r="G1250" s="22">
        <v>6975</v>
      </c>
      <c r="H1250" s="22"/>
      <c r="I1250" s="22">
        <f t="shared" si="20"/>
        <v>6975</v>
      </c>
      <c r="J1250" s="18" t="s">
        <v>1199</v>
      </c>
      <c r="K1250" s="18">
        <v>9828619</v>
      </c>
      <c r="L1250" s="18">
        <v>907044</v>
      </c>
      <c r="M1250" s="18" t="s">
        <v>3058</v>
      </c>
      <c r="N1250" s="16" t="s">
        <v>2725</v>
      </c>
      <c r="O1250" s="18" t="s">
        <v>1777</v>
      </c>
      <c r="P1250" s="18" t="s">
        <v>2542</v>
      </c>
      <c r="Q1250" s="29" t="str" cm="1">
        <f t="array" ref="Q1250">_xlfn.IFS(
A1250="","",
AND(A1250&lt;&gt;"",B1250=""),"FALTA LANÇAMENTO",
AND(B1250&lt;&gt;"",M1250=""),"FALTA O PEDIDO",
AND(M1250&lt;&gt;"",O1250=""),"FALTA NF",
O1250&lt;&gt;"","CONCLUÍDO")</f>
        <v>CONCLUÍDO</v>
      </c>
      <c r="R1250" s="36"/>
    </row>
    <row r="1251" spans="1:18" hidden="1">
      <c r="A1251" s="16">
        <v>46122</v>
      </c>
      <c r="B1251" s="16">
        <v>46126</v>
      </c>
      <c r="C1251" s="21">
        <v>13100042</v>
      </c>
      <c r="D1251" s="16" t="str">
        <f>IFERROR(VLOOKUP(Tabela5[[#This Row],[PREFIXO ]],Tabela4[#All],2,0),"CENTRO DE CUSTO")</f>
        <v>CENTRO DE CUSTO</v>
      </c>
      <c r="E1251" s="18" t="s">
        <v>312</v>
      </c>
      <c r="F1251" s="21" t="s">
        <v>1306</v>
      </c>
      <c r="G1251" s="22">
        <v>6975</v>
      </c>
      <c r="H1251" s="22"/>
      <c r="I1251" s="22">
        <f t="shared" si="20"/>
        <v>6975</v>
      </c>
      <c r="J1251" s="18" t="s">
        <v>1199</v>
      </c>
      <c r="K1251" s="18">
        <v>9829526</v>
      </c>
      <c r="L1251" s="18">
        <v>908660</v>
      </c>
      <c r="M1251" s="18" t="s">
        <v>3057</v>
      </c>
      <c r="N1251" s="16" t="s">
        <v>2725</v>
      </c>
      <c r="O1251" s="18" t="s">
        <v>2572</v>
      </c>
      <c r="P1251" s="18" t="s">
        <v>2542</v>
      </c>
      <c r="Q1251" s="29" t="str" cm="1">
        <f t="array" ref="Q1251">_xlfn.IFS(
A1251="","",
AND(A1251&lt;&gt;"",B1251=""),"FALTA LANÇAMENTO",
AND(B1251&lt;&gt;"",M1251=""),"FALTA O PEDIDO",
AND(M1251&lt;&gt;"",O1251=""),"FALTA NF",
O1251&lt;&gt;"","CONCLUÍDO")</f>
        <v>CONCLUÍDO</v>
      </c>
      <c r="R1251" s="36"/>
    </row>
    <row r="1252" spans="1:18" hidden="1">
      <c r="A1252" s="16">
        <v>46122</v>
      </c>
      <c r="B1252" s="16">
        <v>46125</v>
      </c>
      <c r="C1252" s="21">
        <v>11521022</v>
      </c>
      <c r="D1252" s="16" t="str">
        <f>IFERROR(VLOOKUP(Tabela5[[#This Row],[PREFIXO ]],Tabela4[#All],2,0),"CENTRO DE CUSTO")</f>
        <v>TRAT PN MED CASE PUMA 140</v>
      </c>
      <c r="E1252" s="18" t="s">
        <v>312</v>
      </c>
      <c r="F1252" s="21" t="s">
        <v>1258</v>
      </c>
      <c r="G1252" s="22">
        <v>2188.6</v>
      </c>
      <c r="H1252" s="22"/>
      <c r="I1252" s="22">
        <f t="shared" si="20"/>
        <v>2188.6</v>
      </c>
      <c r="J1252" s="18" t="s">
        <v>1199</v>
      </c>
      <c r="K1252" s="18">
        <v>9828820</v>
      </c>
      <c r="L1252" s="18">
        <v>907044</v>
      </c>
      <c r="M1252" s="18" t="s">
        <v>3058</v>
      </c>
      <c r="N1252" s="16" t="s">
        <v>2725</v>
      </c>
      <c r="O1252" s="18" t="s">
        <v>1777</v>
      </c>
      <c r="P1252" s="18" t="s">
        <v>2542</v>
      </c>
      <c r="Q1252" s="29" t="str" cm="1">
        <f t="array" ref="Q1252">_xlfn.IFS(
A1252="","",
AND(A1252&lt;&gt;"",B1252=""),"FALTA LANÇAMENTO",
AND(B1252&lt;&gt;"",M1252=""),"FALTA O PEDIDO",
AND(M1252&lt;&gt;"",O1252=""),"FALTA NF",
O1252&lt;&gt;"","CONCLUÍDO")</f>
        <v>CONCLUÍDO</v>
      </c>
      <c r="R1252" s="36"/>
    </row>
    <row r="1253" spans="1:18" hidden="1">
      <c r="A1253" s="16">
        <v>46122</v>
      </c>
      <c r="B1253" s="16">
        <v>46125</v>
      </c>
      <c r="C1253" s="21">
        <v>11521023</v>
      </c>
      <c r="D1253" s="16" t="str">
        <f>IFERROR(VLOOKUP(Tabela5[[#This Row],[PREFIXO ]],Tabela4[#All],2,0),"CENTRO DE CUSTO")</f>
        <v>TRAT PN MED CASE PUMA 140</v>
      </c>
      <c r="E1253" s="18" t="s">
        <v>312</v>
      </c>
      <c r="F1253" s="21" t="s">
        <v>1296</v>
      </c>
      <c r="G1253" s="22">
        <v>2163</v>
      </c>
      <c r="H1253" s="22"/>
      <c r="I1253" s="22">
        <f t="shared" si="20"/>
        <v>2163</v>
      </c>
      <c r="J1253" s="18" t="s">
        <v>1199</v>
      </c>
      <c r="K1253" s="18">
        <v>9828823</v>
      </c>
      <c r="L1253" s="18">
        <v>907044</v>
      </c>
      <c r="M1253" s="18" t="s">
        <v>3058</v>
      </c>
      <c r="N1253" s="16" t="s">
        <v>2725</v>
      </c>
      <c r="O1253" s="18" t="s">
        <v>1777</v>
      </c>
      <c r="P1253" s="18" t="s">
        <v>2542</v>
      </c>
      <c r="Q1253" s="29" t="str" cm="1">
        <f t="array" ref="Q1253">_xlfn.IFS(
A1253="","",
AND(A1253&lt;&gt;"",B1253=""),"FALTA LANÇAMENTO",
AND(B1253&lt;&gt;"",M1253=""),"FALTA O PEDIDO",
AND(M1253&lt;&gt;"",O1253=""),"FALTA NF",
O1253&lt;&gt;"","CONCLUÍDO")</f>
        <v>CONCLUÍDO</v>
      </c>
      <c r="R1253" s="36"/>
    </row>
    <row r="1254" spans="1:18" hidden="1">
      <c r="A1254" s="16">
        <v>46122</v>
      </c>
      <c r="B1254" s="16">
        <v>46126</v>
      </c>
      <c r="C1254" s="21">
        <v>11521016</v>
      </c>
      <c r="D1254" s="16" t="str">
        <f>IFERROR(VLOOKUP(Tabela5[[#This Row],[PREFIXO ]],Tabela4[#All],2,0),"CENTRO DE CUSTO")</f>
        <v>TRAT PN MED CASE PUMA 140</v>
      </c>
      <c r="E1254" s="18" t="s">
        <v>312</v>
      </c>
      <c r="F1254" s="21" t="s">
        <v>1310</v>
      </c>
      <c r="G1254" s="22">
        <v>1753</v>
      </c>
      <c r="H1254" s="22"/>
      <c r="I1254" s="22">
        <f t="shared" si="20"/>
        <v>1753</v>
      </c>
      <c r="J1254" s="18" t="s">
        <v>1199</v>
      </c>
      <c r="K1254" s="18">
        <v>9829525</v>
      </c>
      <c r="L1254" s="18">
        <v>908660</v>
      </c>
      <c r="M1254" s="18" t="s">
        <v>3057</v>
      </c>
      <c r="N1254" s="16" t="s">
        <v>2725</v>
      </c>
      <c r="O1254" s="18" t="s">
        <v>2572</v>
      </c>
      <c r="P1254" s="18" t="s">
        <v>2542</v>
      </c>
      <c r="Q1254" s="29" t="str" cm="1">
        <f t="array" ref="Q1254">_xlfn.IFS(
A1254="","",
AND(A1254&lt;&gt;"",B1254=""),"FALTA LANÇAMENTO",
AND(B1254&lt;&gt;"",M1254=""),"FALTA O PEDIDO",
AND(M1254&lt;&gt;"",O1254=""),"FALTA NF",
O1254&lt;&gt;"","CONCLUÍDO")</f>
        <v>CONCLUÍDO</v>
      </c>
      <c r="R1254" s="36"/>
    </row>
    <row r="1255" spans="1:18" hidden="1">
      <c r="A1255" s="16">
        <v>46122</v>
      </c>
      <c r="B1255" s="16">
        <v>46126</v>
      </c>
      <c r="C1255" s="21">
        <v>11521001</v>
      </c>
      <c r="D1255" s="16" t="str">
        <f>IFERROR(VLOOKUP(Tabela5[[#This Row],[PREFIXO ]],Tabela4[#All],2,0),"CENTRO DE CUSTO")</f>
        <v>TRAT PN EXT PES CASE STEIGER 620</v>
      </c>
      <c r="E1255" s="18" t="s">
        <v>312</v>
      </c>
      <c r="F1255" s="21" t="s">
        <v>1298</v>
      </c>
      <c r="G1255" s="22">
        <v>1361</v>
      </c>
      <c r="H1255" s="22"/>
      <c r="I1255" s="22">
        <f t="shared" si="20"/>
        <v>1361</v>
      </c>
      <c r="J1255" s="18" t="s">
        <v>1199</v>
      </c>
      <c r="K1255" s="18">
        <v>9829524</v>
      </c>
      <c r="L1255" s="18">
        <v>908660</v>
      </c>
      <c r="M1255" s="18" t="s">
        <v>3057</v>
      </c>
      <c r="N1255" s="16" t="s">
        <v>2725</v>
      </c>
      <c r="O1255" s="18" t="s">
        <v>2572</v>
      </c>
      <c r="P1255" s="18" t="s">
        <v>2542</v>
      </c>
      <c r="Q1255" s="29" t="str" cm="1">
        <f t="array" ref="Q1255">_xlfn.IFS(
A1255="","",
AND(A1255&lt;&gt;"",B1255=""),"FALTA LANÇAMENTO",
AND(B1255&lt;&gt;"",M1255=""),"FALTA O PEDIDO",
AND(M1255&lt;&gt;"",O1255=""),"FALTA NF",
O1255&lt;&gt;"","CONCLUÍDO")</f>
        <v>CONCLUÍDO</v>
      </c>
      <c r="R1255" s="36"/>
    </row>
    <row r="1256" spans="1:18" hidden="1">
      <c r="A1256" s="16">
        <v>46122</v>
      </c>
      <c r="B1256" s="16">
        <v>46126</v>
      </c>
      <c r="C1256" s="21">
        <v>11521009</v>
      </c>
      <c r="D1256" s="16" t="str">
        <f>IFERROR(VLOOKUP(Tabela5[[#This Row],[PREFIXO ]],Tabela4[#All],2,0),"CENTRO DE CUSTO")</f>
        <v>TRAT PN MED CASE PUMA 140</v>
      </c>
      <c r="E1256" s="18" t="s">
        <v>312</v>
      </c>
      <c r="F1256" s="21" t="s">
        <v>1308</v>
      </c>
      <c r="G1256" s="22">
        <v>1248</v>
      </c>
      <c r="H1256" s="22"/>
      <c r="I1256" s="22">
        <f t="shared" si="20"/>
        <v>1248</v>
      </c>
      <c r="J1256" s="18" t="s">
        <v>1199</v>
      </c>
      <c r="K1256" s="18">
        <v>9829523</v>
      </c>
      <c r="L1256" s="18">
        <v>908660</v>
      </c>
      <c r="M1256" s="18" t="s">
        <v>3057</v>
      </c>
      <c r="N1256" s="16" t="s">
        <v>2725</v>
      </c>
      <c r="O1256" s="18" t="s">
        <v>2572</v>
      </c>
      <c r="P1256" s="18" t="s">
        <v>2542</v>
      </c>
      <c r="Q1256" s="29" t="str" cm="1">
        <f t="array" ref="Q1256">_xlfn.IFS(
A1256="","",
AND(A1256&lt;&gt;"",B1256=""),"FALTA LANÇAMENTO",
AND(B1256&lt;&gt;"",M1256=""),"FALTA O PEDIDO",
AND(M1256&lt;&gt;"",O1256=""),"FALTA NF",
O1256&lt;&gt;"","CONCLUÍDO")</f>
        <v>CONCLUÍDO</v>
      </c>
      <c r="R1256" s="36"/>
    </row>
    <row r="1257" spans="1:18" hidden="1">
      <c r="A1257" s="16">
        <v>46122</v>
      </c>
      <c r="B1257" s="16">
        <v>46125</v>
      </c>
      <c r="C1257" s="21">
        <v>1173004</v>
      </c>
      <c r="D1257" s="16" t="str">
        <f>IFERROR(VLOOKUP(Tabela5[[#This Row],[PREFIXO ]],Tabela4[#All],2,0),"CENTRO DE CUSTO")</f>
        <v>TRAT PN LEVE M FERGUSON MF 275</v>
      </c>
      <c r="E1257" s="18" t="s">
        <v>312</v>
      </c>
      <c r="F1257" s="21" t="s">
        <v>1302</v>
      </c>
      <c r="G1257" s="22">
        <v>976.2</v>
      </c>
      <c r="H1257" s="22"/>
      <c r="I1257" s="22">
        <f t="shared" si="20"/>
        <v>976.2</v>
      </c>
      <c r="J1257" s="18" t="s">
        <v>1199</v>
      </c>
      <c r="K1257" s="18">
        <v>9828824</v>
      </c>
      <c r="L1257" s="18">
        <v>907044</v>
      </c>
      <c r="M1257" s="18" t="s">
        <v>3058</v>
      </c>
      <c r="N1257" s="16" t="s">
        <v>2725</v>
      </c>
      <c r="O1257" s="18" t="s">
        <v>1777</v>
      </c>
      <c r="P1257" s="18" t="s">
        <v>2542</v>
      </c>
      <c r="Q1257" s="29" t="str" cm="1">
        <f t="array" ref="Q1257">_xlfn.IFS(
A1257="","",
AND(A1257&lt;&gt;"",B1257=""),"FALTA LANÇAMENTO",
AND(B1257&lt;&gt;"",M1257=""),"FALTA O PEDIDO",
AND(M1257&lt;&gt;"",O1257=""),"FALTA NF",
O1257&lt;&gt;"","CONCLUÍDO")</f>
        <v>CONCLUÍDO</v>
      </c>
      <c r="R1257" s="36"/>
    </row>
    <row r="1258" spans="1:18" hidden="1">
      <c r="A1258" s="16">
        <v>46122</v>
      </c>
      <c r="B1258" s="16">
        <v>46125</v>
      </c>
      <c r="C1258" s="21">
        <v>11530002</v>
      </c>
      <c r="D1258" s="16" t="str">
        <f>IFERROR(VLOOKUP(Tabela5[[#This Row],[PREFIXO ]],Tabela4[#All],2,0),"CENTRO DE CUSTO")</f>
        <v>TRAT PN MED M FERGUSON MF 630</v>
      </c>
      <c r="E1258" s="18" t="s">
        <v>312</v>
      </c>
      <c r="F1258" s="21" t="s">
        <v>1304</v>
      </c>
      <c r="G1258" s="22">
        <v>588</v>
      </c>
      <c r="H1258" s="22"/>
      <c r="I1258" s="22">
        <f t="shared" si="20"/>
        <v>588</v>
      </c>
      <c r="J1258" s="18" t="s">
        <v>1199</v>
      </c>
      <c r="K1258" s="18">
        <v>9828822</v>
      </c>
      <c r="L1258" s="18">
        <v>907044</v>
      </c>
      <c r="M1258" s="18" t="s">
        <v>3058</v>
      </c>
      <c r="N1258" s="16" t="s">
        <v>2725</v>
      </c>
      <c r="O1258" s="18" t="s">
        <v>1777</v>
      </c>
      <c r="P1258" s="18" t="s">
        <v>2542</v>
      </c>
      <c r="Q1258" s="29" t="str" cm="1">
        <f t="array" ref="Q1258">_xlfn.IFS(
A1258="","",
AND(A1258&lt;&gt;"",B1258=""),"FALTA LANÇAMENTO",
AND(B1258&lt;&gt;"",M1258=""),"FALTA O PEDIDO",
AND(M1258&lt;&gt;"",O1258=""),"FALTA NF",
O1258&lt;&gt;"","CONCLUÍDO")</f>
        <v>CONCLUÍDO</v>
      </c>
      <c r="R1258" s="36"/>
    </row>
    <row r="1259" spans="1:18" hidden="1">
      <c r="A1259" s="16">
        <v>46122</v>
      </c>
      <c r="B1259" s="16">
        <v>46126</v>
      </c>
      <c r="C1259" s="21">
        <v>1310042</v>
      </c>
      <c r="D1259" s="16" t="str">
        <f>IFERROR(VLOOKUP(Tabela5[[#This Row],[PREFIXO ]],Tabela4[#All],2,0),"CENTRO DE CUSTO")</f>
        <v>CENTRO DE CUSTO</v>
      </c>
      <c r="E1259" s="18" t="s">
        <v>312</v>
      </c>
      <c r="F1259" s="21" t="s">
        <v>1300</v>
      </c>
      <c r="G1259" s="22">
        <v>500</v>
      </c>
      <c r="H1259" s="22"/>
      <c r="I1259" s="22">
        <f t="shared" si="20"/>
        <v>500</v>
      </c>
      <c r="J1259" s="18" t="s">
        <v>1199</v>
      </c>
      <c r="K1259" s="18">
        <v>9829522</v>
      </c>
      <c r="L1259" s="18">
        <v>908660</v>
      </c>
      <c r="M1259" s="18" t="s">
        <v>3057</v>
      </c>
      <c r="N1259" s="16" t="s">
        <v>2725</v>
      </c>
      <c r="O1259" s="18" t="s">
        <v>2572</v>
      </c>
      <c r="P1259" s="18" t="s">
        <v>2542</v>
      </c>
      <c r="Q1259" s="29" t="str" cm="1">
        <f t="array" ref="Q1259">_xlfn.IFS(
A1259="","",
AND(A1259&lt;&gt;"",B1259=""),"FALTA LANÇAMENTO",
AND(B1259&lt;&gt;"",M1259=""),"FALTA O PEDIDO",
AND(M1259&lt;&gt;"",O1259=""),"FALTA NF",
O1259&lt;&gt;"","CONCLUÍDO")</f>
        <v>CONCLUÍDO</v>
      </c>
      <c r="R1259" s="36"/>
    </row>
    <row r="1260" spans="1:18" hidden="1">
      <c r="A1260" s="16">
        <v>46125</v>
      </c>
      <c r="B1260" s="16">
        <v>46133</v>
      </c>
      <c r="C1260" s="21">
        <v>18010002</v>
      </c>
      <c r="D1260" s="16" t="str">
        <f>IFERROR(VLOOKUP(Tabela5[[#This Row],[PREFIXO ]],Tabela4[#All],2,0),"CENTRO DE CUSTO")</f>
        <v>AVIAO APLIC AGR AIR TRACT AT-802A</v>
      </c>
      <c r="E1260" s="18" t="s">
        <v>13</v>
      </c>
      <c r="F1260" s="21" t="s">
        <v>3059</v>
      </c>
      <c r="G1260" s="22">
        <v>11500</v>
      </c>
      <c r="H1260" s="22"/>
      <c r="I1260" s="22">
        <f t="shared" si="20"/>
        <v>11500</v>
      </c>
      <c r="J1260" s="18" t="s">
        <v>1251</v>
      </c>
      <c r="K1260" s="18">
        <v>9830668</v>
      </c>
      <c r="L1260" s="18">
        <v>913831</v>
      </c>
      <c r="M1260" s="18" t="s">
        <v>3060</v>
      </c>
      <c r="N1260" s="16" t="s">
        <v>2866</v>
      </c>
      <c r="O1260" s="18" t="s">
        <v>3061</v>
      </c>
      <c r="P1260" s="18" t="s">
        <v>2542</v>
      </c>
      <c r="Q1260" s="29" t="str" cm="1">
        <f t="array" ref="Q1260">_xlfn.IFS(
A1260="","",
AND(A1260&lt;&gt;"",B1260=""),"FALTA LANÇAMENTO",
AND(B1260&lt;&gt;"",M1260=""),"FALTA O PEDIDO",
AND(M1260&lt;&gt;"",O1260=""),"FALTA NF",
O1260&lt;&gt;"","CONCLUÍDO")</f>
        <v>CONCLUÍDO</v>
      </c>
      <c r="R1260" s="36"/>
    </row>
    <row r="1261" spans="1:18" hidden="1">
      <c r="A1261" s="16">
        <v>46125</v>
      </c>
      <c r="B1261" s="16">
        <v>46126</v>
      </c>
      <c r="C1261" s="21">
        <v>18010001</v>
      </c>
      <c r="D1261" s="16" t="str">
        <f>IFERROR(VLOOKUP(Tabela5[[#This Row],[PREFIXO ]],Tabela4[#All],2,0),"CENTRO DE CUSTO")</f>
        <v>AVIAO APLIC AGR AIR TRACT AT-802A</v>
      </c>
      <c r="E1261" s="18" t="s">
        <v>13</v>
      </c>
      <c r="F1261" s="21" t="s">
        <v>3062</v>
      </c>
      <c r="G1261" s="22">
        <v>6000</v>
      </c>
      <c r="H1261" s="22"/>
      <c r="I1261" s="22">
        <f t="shared" si="20"/>
        <v>6000</v>
      </c>
      <c r="J1261" s="18" t="s">
        <v>1251</v>
      </c>
      <c r="K1261" s="18">
        <v>9830666</v>
      </c>
      <c r="L1261" s="18">
        <v>909009</v>
      </c>
      <c r="M1261" s="18" t="s">
        <v>3063</v>
      </c>
      <c r="N1261" s="16" t="s">
        <v>2725</v>
      </c>
      <c r="O1261" s="18" t="s">
        <v>3064</v>
      </c>
      <c r="P1261" s="18" t="s">
        <v>2590</v>
      </c>
      <c r="Q1261" s="29" t="str" cm="1">
        <f t="array" ref="Q1261">_xlfn.IFS(
A1261="","",
AND(A1261&lt;&gt;"",B1261=""),"FALTA LANÇAMENTO",
AND(B1261&lt;&gt;"",M1261=""),"FALTA O PEDIDO",
AND(M1261&lt;&gt;"",O1261=""),"FALTA NF",
O1261&lt;&gt;"","CONCLUÍDO")</f>
        <v>CONCLUÍDO</v>
      </c>
      <c r="R1261" s="36"/>
    </row>
    <row r="1262" spans="1:18" hidden="1">
      <c r="A1262" s="16">
        <v>46125</v>
      </c>
      <c r="B1262" s="16">
        <v>46126</v>
      </c>
      <c r="C1262" s="21">
        <v>51521048</v>
      </c>
      <c r="D1262" s="16" t="str">
        <f>IFERROR(VLOOKUP(Tabela5[[#This Row],[PREFIXO ]],Tabela4[#All],2,0),"CENTRO DE CUSTO")</f>
        <v>COLHED ALGODÃO JOHN DEERE CP 690</v>
      </c>
      <c r="E1262" s="18" t="s">
        <v>17</v>
      </c>
      <c r="F1262" s="21">
        <v>44003</v>
      </c>
      <c r="G1262" s="22">
        <v>1492.92</v>
      </c>
      <c r="H1262" s="22"/>
      <c r="I1262" s="22">
        <f t="shared" si="20"/>
        <v>1492.92</v>
      </c>
      <c r="J1262" s="18" t="s">
        <v>1113</v>
      </c>
      <c r="K1262" s="18">
        <v>9830673</v>
      </c>
      <c r="L1262" s="18">
        <v>909152</v>
      </c>
      <c r="M1262" s="18" t="s">
        <v>3065</v>
      </c>
      <c r="N1262" s="16" t="s">
        <v>2619</v>
      </c>
      <c r="O1262" s="18" t="s">
        <v>3066</v>
      </c>
      <c r="P1262" s="18" t="s">
        <v>2590</v>
      </c>
      <c r="Q1262" s="29" t="str" cm="1">
        <f t="array" ref="Q1262">_xlfn.IFS(
A1262="","",
AND(A1262&lt;&gt;"",B1262=""),"FALTA LANÇAMENTO",
AND(B1262&lt;&gt;"",M1262=""),"FALTA O PEDIDO",
AND(M1262&lt;&gt;"",O1262=""),"FALTA NF",
O1262&lt;&gt;"","CONCLUÍDO")</f>
        <v>CONCLUÍDO</v>
      </c>
      <c r="R1262" s="36"/>
    </row>
    <row r="1263" spans="1:18" hidden="1">
      <c r="A1263" s="16">
        <v>46125</v>
      </c>
      <c r="B1263" s="16">
        <v>46126</v>
      </c>
      <c r="C1263" s="21">
        <v>51521068</v>
      </c>
      <c r="D1263" s="16" t="str">
        <f>IFERROR(VLOOKUP(Tabela5[[#This Row],[PREFIXO ]],Tabela4[#All],2,0),"CENTRO DE CUSTO")</f>
        <v>COLHED ALGODÃO JOHN DEERE CP 690</v>
      </c>
      <c r="E1263" s="18" t="s">
        <v>17</v>
      </c>
      <c r="F1263" s="21">
        <v>44000</v>
      </c>
      <c r="G1263" s="22">
        <v>1224.31</v>
      </c>
      <c r="H1263" s="22"/>
      <c r="I1263" s="22">
        <f t="shared" si="20"/>
        <v>1224.31</v>
      </c>
      <c r="J1263" s="18" t="s">
        <v>1113</v>
      </c>
      <c r="K1263" s="18">
        <v>9830678</v>
      </c>
      <c r="L1263" s="18">
        <v>909188</v>
      </c>
      <c r="M1263" s="18" t="s">
        <v>3067</v>
      </c>
      <c r="N1263" s="16" t="s">
        <v>2619</v>
      </c>
      <c r="O1263" s="18" t="s">
        <v>3068</v>
      </c>
      <c r="P1263" s="18" t="s">
        <v>2590</v>
      </c>
      <c r="Q1263" s="29" t="str" cm="1">
        <f t="array" ref="Q1263">_xlfn.IFS(
A1263="","",
AND(A1263&lt;&gt;"",B1263=""),"FALTA LANÇAMENTO",
AND(B1263&lt;&gt;"",M1263=""),"FALTA O PEDIDO",
AND(M1263&lt;&gt;"",O1263=""),"FALTA NF",
O1263&lt;&gt;"","CONCLUÍDO")</f>
        <v>CONCLUÍDO</v>
      </c>
      <c r="R1263" s="36"/>
    </row>
    <row r="1264" spans="1:18" hidden="1">
      <c r="A1264" s="16">
        <v>46125</v>
      </c>
      <c r="B1264" s="16">
        <v>46126</v>
      </c>
      <c r="C1264" s="21">
        <v>51521060</v>
      </c>
      <c r="D1264" s="16" t="str">
        <f>IFERROR(VLOOKUP(Tabela5[[#This Row],[PREFIXO ]],Tabela4[#All],2,0),"CENTRO DE CUSTO")</f>
        <v>COLHED ALGODÃO JOHN DEERE CP 690</v>
      </c>
      <c r="E1264" s="18" t="s">
        <v>17</v>
      </c>
      <c r="F1264" s="21">
        <v>44001</v>
      </c>
      <c r="G1264" s="22">
        <v>1219.31</v>
      </c>
      <c r="H1264" s="22"/>
      <c r="I1264" s="22">
        <f t="shared" si="20"/>
        <v>1219.31</v>
      </c>
      <c r="J1264" s="18" t="s">
        <v>1113</v>
      </c>
      <c r="K1264" s="18">
        <v>9830676</v>
      </c>
      <c r="L1264" s="18">
        <v>909128</v>
      </c>
      <c r="M1264" s="18" t="s">
        <v>3069</v>
      </c>
      <c r="N1264" s="16" t="s">
        <v>2619</v>
      </c>
      <c r="O1264" s="18" t="s">
        <v>3070</v>
      </c>
      <c r="P1264" s="18" t="s">
        <v>2590</v>
      </c>
      <c r="Q1264" s="29" t="str" cm="1">
        <f t="array" ref="Q1264">_xlfn.IFS(
A1264="","",
AND(A1264&lt;&gt;"",B1264=""),"FALTA LANÇAMENTO",
AND(B1264&lt;&gt;"",M1264=""),"FALTA O PEDIDO",
AND(M1264&lt;&gt;"",O1264=""),"FALTA NF",
O1264&lt;&gt;"","CONCLUÍDO")</f>
        <v>CONCLUÍDO</v>
      </c>
      <c r="R1264" s="36"/>
    </row>
    <row r="1265" spans="1:18" hidden="1">
      <c r="A1265" s="16">
        <v>46125</v>
      </c>
      <c r="B1265" s="16">
        <v>46126</v>
      </c>
      <c r="C1265" s="21">
        <v>51521052</v>
      </c>
      <c r="D1265" s="16" t="str">
        <f>IFERROR(VLOOKUP(Tabela5[[#This Row],[PREFIXO ]],Tabela4[#All],2,0),"CENTRO DE CUSTO")</f>
        <v>COLHED ALGODÃO JOHN DEERE CP 690</v>
      </c>
      <c r="E1265" s="18" t="s">
        <v>17</v>
      </c>
      <c r="F1265" s="21">
        <v>44002</v>
      </c>
      <c r="G1265" s="22">
        <v>924.16</v>
      </c>
      <c r="H1265" s="22"/>
      <c r="I1265" s="22">
        <f t="shared" si="20"/>
        <v>924.16</v>
      </c>
      <c r="J1265" s="18" t="s">
        <v>1113</v>
      </c>
      <c r="K1265" s="18">
        <v>9830674</v>
      </c>
      <c r="L1265" s="18">
        <v>909163</v>
      </c>
      <c r="M1265" s="18" t="s">
        <v>3071</v>
      </c>
      <c r="N1265" s="16" t="s">
        <v>2619</v>
      </c>
      <c r="O1265" s="18" t="s">
        <v>3072</v>
      </c>
      <c r="P1265" s="18" t="s">
        <v>2590</v>
      </c>
      <c r="Q1265" s="29" t="str" cm="1">
        <f t="array" ref="Q1265">_xlfn.IFS(
A1265="","",
AND(A1265&lt;&gt;"",B1265=""),"FALTA LANÇAMENTO",
AND(B1265&lt;&gt;"",M1265=""),"FALTA O PEDIDO",
AND(M1265&lt;&gt;"",O1265=""),"FALTA NF",
O1265&lt;&gt;"","CONCLUÍDO")</f>
        <v>CONCLUÍDO</v>
      </c>
      <c r="R1265" s="36"/>
    </row>
    <row r="1266" spans="1:18" hidden="1">
      <c r="A1266" s="16">
        <v>46125</v>
      </c>
      <c r="B1266" s="16">
        <v>46125</v>
      </c>
      <c r="C1266" s="21">
        <v>81519219</v>
      </c>
      <c r="D1266" s="16" t="str">
        <f>IFERROR(VLOOKUP(Tabela5[[#This Row],[PREFIXO ]],Tabela4[#All],2,0),"CENTRO DE CUSTO")</f>
        <v>PLANT GRÃOS JOHN DEERE DB90 ME 60 LINHAS</v>
      </c>
      <c r="E1266" s="18" t="s">
        <v>62</v>
      </c>
      <c r="F1266" s="21" t="s">
        <v>3073</v>
      </c>
      <c r="G1266" s="22">
        <v>4730.7700000000004</v>
      </c>
      <c r="H1266" s="22"/>
      <c r="I1266" s="22">
        <f t="shared" si="20"/>
        <v>4730.7700000000004</v>
      </c>
      <c r="J1266" s="18" t="s">
        <v>1199</v>
      </c>
      <c r="K1266" s="18">
        <v>9826619</v>
      </c>
      <c r="L1266" s="18">
        <v>906893</v>
      </c>
      <c r="M1266" s="18" t="s">
        <v>3074</v>
      </c>
      <c r="N1266" s="16" t="s">
        <v>2619</v>
      </c>
      <c r="O1266" s="18" t="s">
        <v>3075</v>
      </c>
      <c r="P1266" s="18" t="s">
        <v>3076</v>
      </c>
      <c r="Q1266" s="29" t="str" cm="1">
        <f t="array" ref="Q1266">_xlfn.IFS(
A1266="","",
AND(A1266&lt;&gt;"",B1266=""),"FALTA LANÇAMENTO",
AND(B1266&lt;&gt;"",M1266=""),"FALTA O PEDIDO",
AND(M1266&lt;&gt;"",O1266=""),"FALTA NF",
O1266&lt;&gt;"","CONCLUÍDO")</f>
        <v>CONCLUÍDO</v>
      </c>
      <c r="R1266" s="36"/>
    </row>
    <row r="1267" spans="1:18" hidden="1">
      <c r="A1267" s="16">
        <v>46125</v>
      </c>
      <c r="B1267" s="16">
        <v>46134</v>
      </c>
      <c r="C1267" s="21">
        <v>65014011</v>
      </c>
      <c r="D1267" s="16" t="str">
        <f>IFERROR(VLOOKUP(Tabela5[[#This Row],[PREFIXO ]],Tabela4[#All],2,0),"CENTRO DE CUSTO")</f>
        <v>CENTRO DE CUSTO</v>
      </c>
      <c r="E1267" s="18" t="s">
        <v>366</v>
      </c>
      <c r="F1267" s="21">
        <v>194927</v>
      </c>
      <c r="G1267" s="22">
        <v>1740</v>
      </c>
      <c r="H1267" s="22">
        <v>9415</v>
      </c>
      <c r="I1267" s="22">
        <f t="shared" si="20"/>
        <v>11155</v>
      </c>
      <c r="J1267" s="18" t="s">
        <v>1085</v>
      </c>
      <c r="K1267" s="18">
        <v>9831391</v>
      </c>
      <c r="L1267" s="18">
        <v>911786</v>
      </c>
      <c r="M1267" s="18" t="s">
        <v>3077</v>
      </c>
      <c r="N1267" s="16" t="s">
        <v>2866</v>
      </c>
      <c r="O1267" s="18" t="s">
        <v>1095</v>
      </c>
      <c r="P1267" s="18" t="s">
        <v>1095</v>
      </c>
      <c r="Q1267" s="29" t="str" cm="1">
        <f t="array" ref="Q1267">_xlfn.IFS(
A1267="","",
AND(A1267&lt;&gt;"",B1267=""),"FALTA LANÇAMENTO",
AND(B1267&lt;&gt;"",M1267=""),"FALTA O PEDIDO",
AND(M1267&lt;&gt;"",O1267=""),"FALTA NF",
O1267&lt;&gt;"","CONCLUÍDO")</f>
        <v>CONCLUÍDO</v>
      </c>
      <c r="R1267" s="36"/>
    </row>
    <row r="1268" spans="1:18" hidden="1">
      <c r="A1268" s="16">
        <v>46125</v>
      </c>
      <c r="B1268" s="16">
        <v>46133</v>
      </c>
      <c r="C1268" s="21">
        <v>500580263</v>
      </c>
      <c r="D1268" s="16" t="str">
        <f>IFERROR(VLOOKUP(Tabela5[[#This Row],[PREFIXO ]],Tabela4[#All],2,0),"CENTRO DE CUSTO")</f>
        <v>Colheit. Grãos-Axial</v>
      </c>
      <c r="E1268" s="18" t="s">
        <v>308</v>
      </c>
      <c r="F1268" s="21" t="s">
        <v>2169</v>
      </c>
      <c r="G1268" s="22">
        <v>50581.01</v>
      </c>
      <c r="H1268" s="22"/>
      <c r="I1268" s="22">
        <f t="shared" si="20"/>
        <v>50581.01</v>
      </c>
      <c r="J1268" s="18" t="s">
        <v>1113</v>
      </c>
      <c r="K1268" s="18">
        <v>5020367</v>
      </c>
      <c r="L1268" s="18">
        <v>913774</v>
      </c>
      <c r="M1268" s="18" t="s">
        <v>3078</v>
      </c>
      <c r="N1268" s="16" t="s">
        <v>2866</v>
      </c>
      <c r="O1268" s="18" t="s">
        <v>1857</v>
      </c>
      <c r="P1268" s="18" t="s">
        <v>2866</v>
      </c>
      <c r="Q1268" s="29" t="str" cm="1">
        <f t="array" ref="Q1268">_xlfn.IFS(
A1268="","",
AND(A1268&lt;&gt;"",B1268=""),"FALTA LANÇAMENTO",
AND(B1268&lt;&gt;"",M1268=""),"FALTA O PEDIDO",
AND(M1268&lt;&gt;"",O1268=""),"FALTA NF",
O1268&lt;&gt;"","CONCLUÍDO")</f>
        <v>CONCLUÍDO</v>
      </c>
      <c r="R1268" s="36"/>
    </row>
    <row r="1269" spans="1:18" hidden="1">
      <c r="A1269" s="16">
        <v>46125</v>
      </c>
      <c r="B1269" s="16">
        <v>46126</v>
      </c>
      <c r="C1269" s="21" t="s">
        <v>3079</v>
      </c>
      <c r="D1269" s="16" t="str">
        <f>IFERROR(VLOOKUP(Tabela5[[#This Row],[PREFIXO ]],Tabela4[#All],2,0),"CENTRO DE CUSTO")</f>
        <v>CENTRO DE CUSTO</v>
      </c>
      <c r="E1269" s="18" t="s">
        <v>308</v>
      </c>
      <c r="F1269" s="21" t="s">
        <v>2165</v>
      </c>
      <c r="G1269" s="22">
        <v>1575</v>
      </c>
      <c r="H1269" s="22"/>
      <c r="I1269" s="22">
        <f t="shared" si="20"/>
        <v>1575</v>
      </c>
      <c r="J1269" s="18" t="s">
        <v>1113</v>
      </c>
      <c r="K1269" s="18" t="s">
        <v>3080</v>
      </c>
      <c r="L1269" s="18">
        <v>909127</v>
      </c>
      <c r="M1269" s="18" t="s">
        <v>3081</v>
      </c>
      <c r="N1269" s="16" t="s">
        <v>2619</v>
      </c>
      <c r="O1269" s="18" t="s">
        <v>1863</v>
      </c>
      <c r="P1269" s="18" t="s">
        <v>3082</v>
      </c>
      <c r="Q1269" s="29" t="str" cm="1">
        <f t="array" ref="Q1269">_xlfn.IFS(
A1269="","",
AND(A1269&lt;&gt;"",B1269=""),"FALTA LANÇAMENTO",
AND(B1269&lt;&gt;"",M1269=""),"FALTA O PEDIDO",
AND(M1269&lt;&gt;"",O1269=""),"FALTA NF",
O1269&lt;&gt;"","CONCLUÍDO")</f>
        <v>CONCLUÍDO</v>
      </c>
      <c r="R1269" s="36"/>
    </row>
    <row r="1270" spans="1:18" hidden="1">
      <c r="A1270" s="16">
        <v>46125</v>
      </c>
      <c r="B1270" s="16">
        <v>46126</v>
      </c>
      <c r="C1270" s="21">
        <v>500580579</v>
      </c>
      <c r="D1270" s="16" t="str">
        <f>IFERROR(VLOOKUP(Tabela5[[#This Row],[PREFIXO ]],Tabela4[#All],2,0),"CENTRO DE CUSTO")</f>
        <v>Pátio de Vendas</v>
      </c>
      <c r="E1270" s="18" t="s">
        <v>224</v>
      </c>
      <c r="F1270" s="21">
        <v>2771</v>
      </c>
      <c r="G1270" s="22">
        <v>1950</v>
      </c>
      <c r="H1270" s="22"/>
      <c r="I1270" s="22">
        <f t="shared" si="20"/>
        <v>1950</v>
      </c>
      <c r="J1270" s="18" t="s">
        <v>1123</v>
      </c>
      <c r="K1270" s="18"/>
      <c r="L1270" s="18" t="s">
        <v>1095</v>
      </c>
      <c r="M1270" s="18" t="s">
        <v>1095</v>
      </c>
      <c r="N1270" s="16" t="s">
        <v>1095</v>
      </c>
      <c r="O1270" s="18" t="s">
        <v>1095</v>
      </c>
      <c r="P1270" s="18" t="s">
        <v>1095</v>
      </c>
      <c r="Q1270" s="29" t="str" cm="1">
        <f t="array" ref="Q1270">_xlfn.IFS(
A1270="","",
AND(A1270&lt;&gt;"",B1270=""),"FALTA LANÇAMENTO",
AND(B1270&lt;&gt;"",M1270=""),"FALTA O PEDIDO",
AND(M1270&lt;&gt;"",O1270=""),"FALTA NF",
O1270&lt;&gt;"","CONCLUÍDO")</f>
        <v>CONCLUÍDO</v>
      </c>
      <c r="R1270" s="36"/>
    </row>
    <row r="1271" spans="1:18" hidden="1">
      <c r="A1271" s="16">
        <v>46125</v>
      </c>
      <c r="B1271" s="16">
        <v>46127</v>
      </c>
      <c r="C1271" s="21">
        <v>22030323</v>
      </c>
      <c r="D1271" s="16" t="str">
        <f>IFERROR(VLOOKUP(Tabela5[[#This Row],[PREFIXO ]],Tabela4[#All],2,0),"CENTRO DE CUSTO")</f>
        <v>CENTRO DE CUSTO</v>
      </c>
      <c r="E1271" s="18" t="s">
        <v>328</v>
      </c>
      <c r="F1271" s="21">
        <v>7415</v>
      </c>
      <c r="G1271" s="22">
        <v>20</v>
      </c>
      <c r="H1271" s="22">
        <v>1560</v>
      </c>
      <c r="I1271" s="22">
        <f t="shared" si="20"/>
        <v>1580</v>
      </c>
      <c r="J1271" s="18" t="s">
        <v>1085</v>
      </c>
      <c r="K1271" s="18">
        <v>9831396</v>
      </c>
      <c r="L1271" s="18">
        <v>910310</v>
      </c>
      <c r="M1271" s="18" t="s">
        <v>3083</v>
      </c>
      <c r="N1271" s="16" t="s">
        <v>2725</v>
      </c>
      <c r="O1271" s="18" t="s">
        <v>3084</v>
      </c>
      <c r="P1271" s="18" t="s">
        <v>3085</v>
      </c>
      <c r="Q1271" s="29" t="str" cm="1">
        <f t="array" ref="Q1271">_xlfn.IFS(
A1271="","",
AND(A1271&lt;&gt;"",B1271=""),"FALTA LANÇAMENTO",
AND(B1271&lt;&gt;"",M1271=""),"FALTA O PEDIDO",
AND(M1271&lt;&gt;"",O1271=""),"FALTA NF",
O1271&lt;&gt;"","CONCLUÍDO")</f>
        <v>CONCLUÍDO</v>
      </c>
      <c r="R1271" s="36"/>
    </row>
    <row r="1272" spans="1:18" hidden="1">
      <c r="A1272" s="16">
        <v>46125</v>
      </c>
      <c r="B1272" s="16">
        <v>46126</v>
      </c>
      <c r="C1272" s="21">
        <v>1173020</v>
      </c>
      <c r="D1272" s="16" t="str">
        <f>IFERROR(VLOOKUP(Tabela5[[#This Row],[PREFIXO ]],Tabela4[#All],2,0),"CENTRO DE CUSTO")</f>
        <v>TRAT PN MED N.HOLLAND 7630</v>
      </c>
      <c r="E1272" s="18" t="s">
        <v>247</v>
      </c>
      <c r="F1272" s="21">
        <v>135317</v>
      </c>
      <c r="G1272" s="22">
        <v>725.4</v>
      </c>
      <c r="H1272" s="22"/>
      <c r="I1272" s="22">
        <f t="shared" si="20"/>
        <v>725.4</v>
      </c>
      <c r="J1272" s="18" t="s">
        <v>1199</v>
      </c>
      <c r="K1272" s="18">
        <v>9830671</v>
      </c>
      <c r="L1272" s="18">
        <v>909067</v>
      </c>
      <c r="M1272" s="18" t="s">
        <v>3086</v>
      </c>
      <c r="N1272" s="16" t="s">
        <v>2619</v>
      </c>
      <c r="O1272" s="18" t="s">
        <v>3087</v>
      </c>
      <c r="P1272" s="18" t="s">
        <v>2544</v>
      </c>
      <c r="Q1272" s="29" t="str" cm="1">
        <f t="array" ref="Q1272">_xlfn.IFS(
A1272="","",
AND(A1272&lt;&gt;"",B1272=""),"FALTA LANÇAMENTO",
AND(B1272&lt;&gt;"",M1272=""),"FALTA O PEDIDO",
AND(M1272&lt;&gt;"",O1272=""),"FALTA NF",
O1272&lt;&gt;"","CONCLUÍDO")</f>
        <v>CONCLUÍDO</v>
      </c>
      <c r="R1272" s="36"/>
    </row>
    <row r="1273" spans="1:18" hidden="1">
      <c r="A1273" s="16">
        <v>46125</v>
      </c>
      <c r="B1273" s="16">
        <v>46125</v>
      </c>
      <c r="C1273" s="21" t="s">
        <v>3088</v>
      </c>
      <c r="D1273" s="16" t="str">
        <f>IFERROR(VLOOKUP(Tabela5[[#This Row],[PREFIXO ]],Tabela4[#All],2,0),"CENTRO DE CUSTO")</f>
        <v>CENTRO DE CUSTO</v>
      </c>
      <c r="E1273" s="18" t="s">
        <v>249</v>
      </c>
      <c r="F1273" s="21">
        <v>231</v>
      </c>
      <c r="G1273" s="22">
        <v>22400</v>
      </c>
      <c r="H1273" s="22"/>
      <c r="I1273" s="22">
        <f t="shared" si="20"/>
        <v>22400</v>
      </c>
      <c r="J1273" s="18" t="s">
        <v>1199</v>
      </c>
      <c r="K1273" s="18" t="s">
        <v>3089</v>
      </c>
      <c r="L1273" s="18">
        <v>910310</v>
      </c>
      <c r="M1273" s="18" t="s">
        <v>3090</v>
      </c>
      <c r="N1273" s="16" t="s">
        <v>2590</v>
      </c>
      <c r="O1273" s="18" t="s">
        <v>2428</v>
      </c>
      <c r="P1273" s="18" t="s">
        <v>2302</v>
      </c>
      <c r="Q1273" s="29" t="str" cm="1">
        <f t="array" ref="Q1273">_xlfn.IFS(
A1273="","",
AND(A1273&lt;&gt;"",B1273=""),"FALTA LANÇAMENTO",
AND(B1273&lt;&gt;"",M1273=""),"FALTA O PEDIDO",
AND(M1273&lt;&gt;"",O1273=""),"FALTA NF",
O1273&lt;&gt;"","CONCLUÍDO")</f>
        <v>CONCLUÍDO</v>
      </c>
      <c r="R1273" s="36"/>
    </row>
    <row r="1274" spans="1:18" hidden="1">
      <c r="A1274" s="16">
        <v>46125</v>
      </c>
      <c r="B1274" s="16">
        <v>46126</v>
      </c>
      <c r="C1274" s="21">
        <v>51521058</v>
      </c>
      <c r="D1274" s="16" t="str">
        <f>IFERROR(VLOOKUP(Tabela5[[#This Row],[PREFIXO ]],Tabela4[#All],2,0),"CENTRO DE CUSTO")</f>
        <v>COLHED ALGODÃO JOHN DEERE CP 690</v>
      </c>
      <c r="E1274" s="18" t="s">
        <v>255</v>
      </c>
      <c r="F1274" s="21">
        <v>892</v>
      </c>
      <c r="G1274" s="22">
        <v>1720</v>
      </c>
      <c r="H1274" s="22"/>
      <c r="I1274" s="22">
        <f t="shared" si="20"/>
        <v>1720</v>
      </c>
      <c r="J1274" s="18" t="s">
        <v>1113</v>
      </c>
      <c r="K1274" s="18">
        <v>9830536</v>
      </c>
      <c r="L1274" s="18">
        <v>907855</v>
      </c>
      <c r="M1274" s="18" t="s">
        <v>3091</v>
      </c>
      <c r="N1274" s="16" t="s">
        <v>2725</v>
      </c>
      <c r="O1274" s="18" t="s">
        <v>2466</v>
      </c>
      <c r="P1274" s="18" t="s">
        <v>2590</v>
      </c>
      <c r="Q1274" s="29" t="str" cm="1">
        <f t="array" ref="Q1274">_xlfn.IFS(
A1274="","",
AND(A1274&lt;&gt;"",B1274=""),"FALTA LANÇAMENTO",
AND(B1274&lt;&gt;"",M1274=""),"FALTA O PEDIDO",
AND(M1274&lt;&gt;"",O1274=""),"FALTA NF",
O1274&lt;&gt;"","CONCLUÍDO")</f>
        <v>CONCLUÍDO</v>
      </c>
      <c r="R1274" s="36"/>
    </row>
    <row r="1275" spans="1:18" hidden="1">
      <c r="A1275" s="16">
        <v>46125</v>
      </c>
      <c r="B1275" s="16">
        <v>46126</v>
      </c>
      <c r="C1275" s="21" t="s">
        <v>3092</v>
      </c>
      <c r="D1275" s="16" t="str">
        <f>IFERROR(VLOOKUP(Tabela5[[#This Row],[PREFIXO ]],Tabela4[#All],2,0),"CENTRO DE CUSTO")</f>
        <v>CENTRO DE CUSTO</v>
      </c>
      <c r="E1275" s="18" t="s">
        <v>255</v>
      </c>
      <c r="F1275" s="21">
        <v>888</v>
      </c>
      <c r="G1275" s="22">
        <v>1600</v>
      </c>
      <c r="H1275" s="22"/>
      <c r="I1275" s="22">
        <f t="shared" si="20"/>
        <v>1600</v>
      </c>
      <c r="J1275" s="18" t="s">
        <v>1123</v>
      </c>
      <c r="K1275" s="18" t="s">
        <v>3093</v>
      </c>
      <c r="L1275" s="18">
        <v>907855</v>
      </c>
      <c r="M1275" s="18" t="s">
        <v>3091</v>
      </c>
      <c r="N1275" s="16" t="s">
        <v>2725</v>
      </c>
      <c r="O1275" s="18" t="s">
        <v>2466</v>
      </c>
      <c r="P1275" s="18" t="s">
        <v>2590</v>
      </c>
      <c r="Q1275" s="29" t="str" cm="1">
        <f t="array" ref="Q1275">_xlfn.IFS(
A1275="","",
AND(A1275&lt;&gt;"",B1275=""),"FALTA LANÇAMENTO",
AND(B1275&lt;&gt;"",M1275=""),"FALTA O PEDIDO",
AND(M1275&lt;&gt;"",O1275=""),"FALTA NF",
O1275&lt;&gt;"","CONCLUÍDO")</f>
        <v>CONCLUÍDO</v>
      </c>
      <c r="R1275" s="36"/>
    </row>
    <row r="1276" spans="1:18" hidden="1">
      <c r="A1276" s="16">
        <v>46125</v>
      </c>
      <c r="B1276" s="16">
        <v>46126</v>
      </c>
      <c r="C1276" s="21">
        <v>51521058</v>
      </c>
      <c r="D1276" s="16" t="str">
        <f>IFERROR(VLOOKUP(Tabela5[[#This Row],[PREFIXO ]],Tabela4[#All],2,0),"CENTRO DE CUSTO")</f>
        <v>COLHED ALGODÃO JOHN DEERE CP 690</v>
      </c>
      <c r="E1276" s="18" t="s">
        <v>255</v>
      </c>
      <c r="F1276" s="21">
        <v>891</v>
      </c>
      <c r="G1276" s="22">
        <v>1550</v>
      </c>
      <c r="H1276" s="22"/>
      <c r="I1276" s="22">
        <f t="shared" si="20"/>
        <v>1550</v>
      </c>
      <c r="J1276" s="18" t="s">
        <v>1113</v>
      </c>
      <c r="K1276" s="18">
        <v>9830538</v>
      </c>
      <c r="L1276" s="18">
        <v>907855</v>
      </c>
      <c r="M1276" s="18" t="s">
        <v>3091</v>
      </c>
      <c r="N1276" s="16" t="s">
        <v>2725</v>
      </c>
      <c r="O1276" s="18" t="s">
        <v>2466</v>
      </c>
      <c r="P1276" s="18" t="s">
        <v>2590</v>
      </c>
      <c r="Q1276" s="29" t="str" cm="1">
        <f t="array" ref="Q1276">_xlfn.IFS(
A1276="","",
AND(A1276&lt;&gt;"",B1276=""),"FALTA LANÇAMENTO",
AND(B1276&lt;&gt;"",M1276=""),"FALTA O PEDIDO",
AND(M1276&lt;&gt;"",O1276=""),"FALTA NF",
O1276&lt;&gt;"","CONCLUÍDO")</f>
        <v>CONCLUÍDO</v>
      </c>
      <c r="R1276" s="36"/>
    </row>
    <row r="1277" spans="1:18" hidden="1">
      <c r="A1277" s="16">
        <v>46125</v>
      </c>
      <c r="B1277" s="16">
        <v>46126</v>
      </c>
      <c r="C1277" s="21">
        <v>500580263</v>
      </c>
      <c r="D1277" s="16" t="str">
        <f>IFERROR(VLOOKUP(Tabela5[[#This Row],[PREFIXO ]],Tabela4[#All],2,0),"CENTRO DE CUSTO")</f>
        <v>Colheit. Grãos-Axial</v>
      </c>
      <c r="E1277" s="18" t="s">
        <v>255</v>
      </c>
      <c r="F1277" s="21">
        <v>886</v>
      </c>
      <c r="G1277" s="22">
        <v>1396.84</v>
      </c>
      <c r="H1277" s="22"/>
      <c r="I1277" s="22">
        <f t="shared" si="20"/>
        <v>1396.84</v>
      </c>
      <c r="J1277" s="18" t="s">
        <v>1113</v>
      </c>
      <c r="K1277" s="18">
        <v>5020364</v>
      </c>
      <c r="L1277" s="18">
        <v>907855</v>
      </c>
      <c r="M1277" s="18" t="s">
        <v>3091</v>
      </c>
      <c r="N1277" s="16" t="s">
        <v>2725</v>
      </c>
      <c r="O1277" s="18" t="s">
        <v>2466</v>
      </c>
      <c r="P1277" s="18" t="s">
        <v>2590</v>
      </c>
      <c r="Q1277" s="29" t="str" cm="1">
        <f t="array" ref="Q1277">_xlfn.IFS(
A1277="","",
AND(A1277&lt;&gt;"",B1277=""),"FALTA LANÇAMENTO",
AND(B1277&lt;&gt;"",M1277=""),"FALTA O PEDIDO",
AND(M1277&lt;&gt;"",O1277=""),"FALTA NF",
O1277&lt;&gt;"","CONCLUÍDO")</f>
        <v>CONCLUÍDO</v>
      </c>
      <c r="R1277" s="36"/>
    </row>
    <row r="1278" spans="1:18" hidden="1">
      <c r="A1278" s="16">
        <v>46125</v>
      </c>
      <c r="B1278" s="16">
        <v>46126</v>
      </c>
      <c r="C1278" s="21">
        <v>51521061</v>
      </c>
      <c r="D1278" s="16" t="str">
        <f>IFERROR(VLOOKUP(Tabela5[[#This Row],[PREFIXO ]],Tabela4[#All],2,0),"CENTRO DE CUSTO")</f>
        <v>COLHED ALGODÃO JOHN DEERE CP 690</v>
      </c>
      <c r="E1278" s="18" t="s">
        <v>255</v>
      </c>
      <c r="F1278" s="21">
        <v>887</v>
      </c>
      <c r="G1278" s="22">
        <v>1100</v>
      </c>
      <c r="H1278" s="22"/>
      <c r="I1278" s="22">
        <f t="shared" si="20"/>
        <v>1100</v>
      </c>
      <c r="J1278" s="18" t="s">
        <v>1113</v>
      </c>
      <c r="K1278" s="18">
        <v>9830601</v>
      </c>
      <c r="L1278" s="18">
        <v>907855</v>
      </c>
      <c r="M1278" s="18" t="s">
        <v>3091</v>
      </c>
      <c r="N1278" s="16" t="s">
        <v>2725</v>
      </c>
      <c r="O1278" s="18" t="s">
        <v>2466</v>
      </c>
      <c r="P1278" s="18" t="s">
        <v>2590</v>
      </c>
      <c r="Q1278" s="29" t="str" cm="1">
        <f t="array" ref="Q1278">_xlfn.IFS(
A1278="","",
AND(A1278&lt;&gt;"",B1278=""),"FALTA LANÇAMENTO",
AND(B1278&lt;&gt;"",M1278=""),"FALTA O PEDIDO",
AND(M1278&lt;&gt;"",O1278=""),"FALTA NF",
O1278&lt;&gt;"","CONCLUÍDO")</f>
        <v>CONCLUÍDO</v>
      </c>
      <c r="R1278" s="36"/>
    </row>
    <row r="1279" spans="1:18" hidden="1">
      <c r="A1279" s="16">
        <v>46125</v>
      </c>
      <c r="B1279" s="16">
        <v>46126</v>
      </c>
      <c r="C1279" s="21">
        <v>23180058</v>
      </c>
      <c r="D1279" s="16" t="str">
        <f>IFERROR(VLOOKUP(Tabela5[[#This Row],[PREFIXO ]],Tabela4[#All],2,0),"CENTRO DE CUSTO")</f>
        <v>COLHEIT DE GRÃOS JOHN DEERE S 780</v>
      </c>
      <c r="E1279" s="18" t="s">
        <v>255</v>
      </c>
      <c r="F1279" s="21">
        <v>889</v>
      </c>
      <c r="G1279" s="22">
        <v>800</v>
      </c>
      <c r="H1279" s="22"/>
      <c r="I1279" s="22">
        <f t="shared" si="20"/>
        <v>800</v>
      </c>
      <c r="J1279" s="18" t="s">
        <v>1123</v>
      </c>
      <c r="K1279" s="18">
        <v>9830603</v>
      </c>
      <c r="L1279" s="18">
        <v>907855</v>
      </c>
      <c r="M1279" s="18" t="s">
        <v>3091</v>
      </c>
      <c r="N1279" s="16" t="s">
        <v>2725</v>
      </c>
      <c r="O1279" s="18" t="s">
        <v>2466</v>
      </c>
      <c r="P1279" s="18" t="s">
        <v>2590</v>
      </c>
      <c r="Q1279" s="29" t="str" cm="1">
        <f t="array" ref="Q1279">_xlfn.IFS(
A1279="","",
AND(A1279&lt;&gt;"",B1279=""),"FALTA LANÇAMENTO",
AND(B1279&lt;&gt;"",M1279=""),"FALTA O PEDIDO",
AND(M1279&lt;&gt;"",O1279=""),"FALTA NF",
O1279&lt;&gt;"","CONCLUÍDO")</f>
        <v>CONCLUÍDO</v>
      </c>
      <c r="R1279" s="36"/>
    </row>
    <row r="1280" spans="1:18" hidden="1">
      <c r="A1280" s="16">
        <v>46125</v>
      </c>
      <c r="B1280" s="16">
        <v>46126</v>
      </c>
      <c r="C1280" s="21">
        <v>500580325</v>
      </c>
      <c r="D1280" s="16" t="str">
        <f>IFERROR(VLOOKUP(Tabela5[[#This Row],[PREFIXO ]],Tabela4[#All],2,0),"CENTRO DE CUSTO")</f>
        <v>Colheitad. Alg Auto</v>
      </c>
      <c r="E1280" s="18" t="s">
        <v>255</v>
      </c>
      <c r="F1280" s="21">
        <v>890</v>
      </c>
      <c r="G1280" s="22">
        <v>650</v>
      </c>
      <c r="H1280" s="22"/>
      <c r="I1280" s="22">
        <f t="shared" ref="I1280:I1343" si="21">G1280+H1280</f>
        <v>650</v>
      </c>
      <c r="J1280" s="18" t="s">
        <v>1123</v>
      </c>
      <c r="K1280" s="18">
        <v>5020365</v>
      </c>
      <c r="L1280" s="18">
        <v>907855</v>
      </c>
      <c r="M1280" s="18" t="s">
        <v>3091</v>
      </c>
      <c r="N1280" s="16" t="s">
        <v>2725</v>
      </c>
      <c r="O1280" s="18" t="s">
        <v>2466</v>
      </c>
      <c r="P1280" s="18" t="s">
        <v>2590</v>
      </c>
      <c r="Q1280" s="29" t="str" cm="1">
        <f t="array" ref="Q1280">_xlfn.IFS(
A1280="","",
AND(A1280&lt;&gt;"",B1280=""),"FALTA LANÇAMENTO",
AND(B1280&lt;&gt;"",M1280=""),"FALTA O PEDIDO",
AND(M1280&lt;&gt;"",O1280=""),"FALTA NF",
O1280&lt;&gt;"","CONCLUÍDO")</f>
        <v>CONCLUÍDO</v>
      </c>
      <c r="R1280" s="36"/>
    </row>
    <row r="1281" spans="1:18" hidden="1">
      <c r="A1281" s="16">
        <v>46126</v>
      </c>
      <c r="B1281" s="16">
        <v>46127</v>
      </c>
      <c r="C1281" s="21">
        <v>31521045</v>
      </c>
      <c r="D1281" s="16" t="str">
        <f>IFERROR(VLOOKUP(Tabela5[[#This Row],[PREFIXO ]],Tabela4[#All],2,0),"CENTRO DE CUSTO")</f>
        <v>PULV AUTOPROP JACTO UNIPORT 3030</v>
      </c>
      <c r="E1281" s="18" t="s">
        <v>49</v>
      </c>
      <c r="F1281" s="21" t="s">
        <v>2618</v>
      </c>
      <c r="G1281" s="22">
        <v>4050</v>
      </c>
      <c r="H1281" s="22"/>
      <c r="I1281" s="22">
        <f t="shared" si="21"/>
        <v>4050</v>
      </c>
      <c r="J1281" s="18" t="s">
        <v>1265</v>
      </c>
      <c r="K1281" s="18">
        <v>9834040</v>
      </c>
      <c r="L1281" s="18">
        <v>910129</v>
      </c>
      <c r="M1281" s="18" t="s">
        <v>3094</v>
      </c>
      <c r="N1281" s="16" t="s">
        <v>2590</v>
      </c>
      <c r="O1281" s="18" t="s">
        <v>3095</v>
      </c>
      <c r="P1281" s="18" t="s">
        <v>2590</v>
      </c>
      <c r="Q1281" s="29" t="str" cm="1">
        <f t="array" ref="Q1281">_xlfn.IFS(
A1281="","",
AND(A1281&lt;&gt;"",B1281=""),"FALTA LANÇAMENTO",
AND(B1281&lt;&gt;"",M1281=""),"FALTA O PEDIDO",
AND(M1281&lt;&gt;"",O1281=""),"FALTA NF",
O1281&lt;&gt;"","CONCLUÍDO")</f>
        <v>CONCLUÍDO</v>
      </c>
      <c r="R1281" s="36"/>
    </row>
    <row r="1282" spans="1:18" hidden="1">
      <c r="A1282" s="16">
        <v>46126</v>
      </c>
      <c r="B1282" s="16">
        <v>46127</v>
      </c>
      <c r="C1282" s="21" t="s">
        <v>3096</v>
      </c>
      <c r="D1282" s="16" t="str">
        <f>IFERROR(VLOOKUP(Tabela5[[#This Row],[PREFIXO ]],Tabela4[#All],2,0),"CENTRO DE CUSTO")</f>
        <v>CENTRO DE CUSTO</v>
      </c>
      <c r="E1282" s="18" t="s">
        <v>55</v>
      </c>
      <c r="F1282" s="21"/>
      <c r="G1282" s="22">
        <v>3970</v>
      </c>
      <c r="H1282" s="22"/>
      <c r="I1282" s="22">
        <f t="shared" si="21"/>
        <v>3970</v>
      </c>
      <c r="J1282" s="18" t="s">
        <v>2467</v>
      </c>
      <c r="K1282" s="18" t="s">
        <v>3097</v>
      </c>
      <c r="L1282" s="18">
        <v>909703</v>
      </c>
      <c r="M1282" s="18" t="s">
        <v>3098</v>
      </c>
      <c r="N1282" s="16" t="s">
        <v>2590</v>
      </c>
      <c r="O1282" s="18" t="s">
        <v>3099</v>
      </c>
      <c r="P1282" s="18" t="s">
        <v>2302</v>
      </c>
      <c r="Q1282" s="29" t="str" cm="1">
        <f t="array" ref="Q1282">_xlfn.IFS(
A1282="","",
AND(A1282&lt;&gt;"",B1282=""),"FALTA LANÇAMENTO",
AND(B1282&lt;&gt;"",M1282=""),"FALTA O PEDIDO",
AND(M1282&lt;&gt;"",O1282=""),"FALTA NF",
O1282&lt;&gt;"","CONCLUÍDO")</f>
        <v>CONCLUÍDO</v>
      </c>
      <c r="R1282" s="36"/>
    </row>
    <row r="1283" spans="1:18" hidden="1">
      <c r="A1283" s="16">
        <v>46126</v>
      </c>
      <c r="B1283" s="16">
        <v>46127</v>
      </c>
      <c r="C1283" s="21">
        <v>500580349</v>
      </c>
      <c r="D1283" s="16" t="str">
        <f>IFERROR(VLOOKUP(Tabela5[[#This Row],[PREFIXO ]],Tabela4[#All],2,0),"CENTRO DE CUSTO")</f>
        <v>ADUBADORES AUTOPROPE</v>
      </c>
      <c r="E1283" s="18" t="s">
        <v>62</v>
      </c>
      <c r="F1283" s="21">
        <v>1221</v>
      </c>
      <c r="G1283" s="22">
        <v>3876</v>
      </c>
      <c r="H1283" s="22"/>
      <c r="I1283" s="22">
        <f t="shared" si="21"/>
        <v>3876</v>
      </c>
      <c r="J1283" s="18" t="s">
        <v>1080</v>
      </c>
      <c r="K1283" s="18">
        <v>5020401</v>
      </c>
      <c r="L1283" s="18">
        <v>909225</v>
      </c>
      <c r="M1283" s="18" t="s">
        <v>3100</v>
      </c>
      <c r="N1283" s="16" t="s">
        <v>2590</v>
      </c>
      <c r="O1283" s="18" t="s">
        <v>3101</v>
      </c>
      <c r="P1283" s="18" t="s">
        <v>2302</v>
      </c>
      <c r="Q1283" s="29" t="str" cm="1">
        <f t="array" ref="Q1283">_xlfn.IFS(
A1283="","",
AND(A1283&lt;&gt;"",B1283=""),"FALTA LANÇAMENTO",
AND(B1283&lt;&gt;"",M1283=""),"FALTA O PEDIDO",
AND(M1283&lt;&gt;"",O1283=""),"FALTA NF",
O1283&lt;&gt;"","CONCLUÍDO")</f>
        <v>CONCLUÍDO</v>
      </c>
      <c r="R1283" s="36"/>
    </row>
    <row r="1284" spans="1:18" hidden="1">
      <c r="A1284" s="16">
        <v>46126</v>
      </c>
      <c r="B1284" s="16">
        <v>46139</v>
      </c>
      <c r="C1284" s="21">
        <v>13150004</v>
      </c>
      <c r="D1284" s="16" t="str">
        <f>IFERROR(VLOOKUP(Tabela5[[#This Row],[PREFIXO ]],Tabela4[#All],2,0),"CENTRO DE CUSTO")</f>
        <v>ADUB AUTOPROP JACTO UNIPORT 8030NPK</v>
      </c>
      <c r="E1284" s="18" t="s">
        <v>66</v>
      </c>
      <c r="F1284" s="21">
        <v>9542</v>
      </c>
      <c r="G1284" s="22">
        <v>350</v>
      </c>
      <c r="H1284" s="22">
        <v>12399.67</v>
      </c>
      <c r="I1284" s="22">
        <f t="shared" si="21"/>
        <v>12749.67</v>
      </c>
      <c r="J1284" s="18" t="s">
        <v>1265</v>
      </c>
      <c r="K1284" s="18">
        <v>9834036</v>
      </c>
      <c r="L1284" s="18">
        <v>915479</v>
      </c>
      <c r="M1284" s="18" t="s">
        <v>3102</v>
      </c>
      <c r="N1284" s="16" t="s">
        <v>2542</v>
      </c>
      <c r="O1284" s="18" t="s">
        <v>3103</v>
      </c>
      <c r="P1284" s="18" t="s">
        <v>3104</v>
      </c>
      <c r="Q1284" s="29" t="str" cm="1">
        <f t="array" ref="Q1284">_xlfn.IFS(
A1284="","",
AND(A1284&lt;&gt;"",B1284=""),"FALTA LANÇAMENTO",
AND(B1284&lt;&gt;"",M1284=""),"FALTA O PEDIDO",
AND(M1284&lt;&gt;"",O1284=""),"FALTA NF",
O1284&lt;&gt;"","CONCLUÍDO")</f>
        <v>CONCLUÍDO</v>
      </c>
      <c r="R1284" s="36"/>
    </row>
    <row r="1285" spans="1:18" hidden="1">
      <c r="A1285" s="16">
        <v>46126</v>
      </c>
      <c r="B1285" s="16">
        <v>46129</v>
      </c>
      <c r="C1285" s="21">
        <v>35005012</v>
      </c>
      <c r="D1285" s="16" t="str">
        <f>IFERROR(VLOOKUP(Tabela5[[#This Row],[PREFIXO ]],Tabela4[#All],2,0),"CENTRO DE CUSTO")</f>
        <v>PULV AUTOPROP JACTO UNIPORT 3030</v>
      </c>
      <c r="E1285" s="18" t="s">
        <v>66</v>
      </c>
      <c r="F1285" s="21">
        <v>9541</v>
      </c>
      <c r="G1285" s="22">
        <v>350</v>
      </c>
      <c r="H1285" s="22">
        <v>1652.23</v>
      </c>
      <c r="I1285" s="22">
        <f t="shared" si="21"/>
        <v>2002.23</v>
      </c>
      <c r="J1285" s="18" t="s">
        <v>1265</v>
      </c>
      <c r="K1285" s="18">
        <v>9833986</v>
      </c>
      <c r="L1285" s="18">
        <v>910094</v>
      </c>
      <c r="M1285" s="18" t="s">
        <v>3105</v>
      </c>
      <c r="N1285" s="16" t="s">
        <v>2302</v>
      </c>
      <c r="O1285" s="18" t="s">
        <v>3106</v>
      </c>
      <c r="P1285" s="18" t="s">
        <v>3107</v>
      </c>
      <c r="Q1285" s="29" t="str" cm="1">
        <f t="array" ref="Q1285">_xlfn.IFS(
A1285="","",
AND(A1285&lt;&gt;"",B1285=""),"FALTA LANÇAMENTO",
AND(B1285&lt;&gt;"",M1285=""),"FALTA O PEDIDO",
AND(M1285&lt;&gt;"",O1285=""),"FALTA NF",
O1285&lt;&gt;"","CONCLUÍDO")</f>
        <v>CONCLUÍDO</v>
      </c>
      <c r="R1285" s="36"/>
    </row>
    <row r="1286" spans="1:18" hidden="1">
      <c r="A1286" s="16">
        <v>46126</v>
      </c>
      <c r="B1286" s="16">
        <v>46127</v>
      </c>
      <c r="C1286" s="21">
        <v>61521011</v>
      </c>
      <c r="D1286" s="16" t="str">
        <f>IFERROR(VLOOKUP(Tabela5[[#This Row],[PREFIXO ]],Tabela4[#All],2,0),"CENTRO DE CUSTO")</f>
        <v>CAM COMBOIO MERC BENZ ATRON 2729</v>
      </c>
      <c r="E1286" s="18" t="s">
        <v>250</v>
      </c>
      <c r="F1286" s="21">
        <v>39381</v>
      </c>
      <c r="G1286" s="22">
        <v>680</v>
      </c>
      <c r="H1286" s="22">
        <v>6319</v>
      </c>
      <c r="I1286" s="22">
        <f t="shared" si="21"/>
        <v>6999</v>
      </c>
      <c r="J1286" s="18" t="s">
        <v>1085</v>
      </c>
      <c r="K1286" s="18">
        <v>9834054</v>
      </c>
      <c r="L1286" s="18">
        <v>910248</v>
      </c>
      <c r="M1286" s="18" t="s">
        <v>3108</v>
      </c>
      <c r="N1286" s="16" t="s">
        <v>2590</v>
      </c>
      <c r="O1286" s="18" t="s">
        <v>3109</v>
      </c>
      <c r="P1286" s="18" t="s">
        <v>2994</v>
      </c>
      <c r="Q1286" s="29" t="str" cm="1">
        <f t="array" ref="Q1286">_xlfn.IFS(
A1286="","",
AND(A1286&lt;&gt;"",B1286=""),"FALTA LANÇAMENTO",
AND(B1286&lt;&gt;"",M1286=""),"FALTA O PEDIDO",
AND(M1286&lt;&gt;"",O1286=""),"FALTA NF",
O1286&lt;&gt;"","CONCLUÍDO")</f>
        <v>CONCLUÍDO</v>
      </c>
      <c r="R1286" s="36"/>
    </row>
    <row r="1287" spans="1:18" hidden="1">
      <c r="A1287" s="16">
        <v>46126</v>
      </c>
      <c r="B1287" s="16">
        <v>46127</v>
      </c>
      <c r="C1287" s="21">
        <v>61521102</v>
      </c>
      <c r="D1287" s="16" t="str">
        <f>IFERROR(VLOOKUP(Tabela5[[#This Row],[PREFIXO ]],Tabela4[#All],2,0),"CENTRO DE CUSTO")</f>
        <v>CAMINHAO RÍGIDO VOLVO VM 330 (PIPA)</v>
      </c>
      <c r="E1287" s="18" t="s">
        <v>250</v>
      </c>
      <c r="F1287" s="21">
        <v>39979</v>
      </c>
      <c r="G1287" s="22">
        <v>2280</v>
      </c>
      <c r="H1287" s="22">
        <v>1292.94</v>
      </c>
      <c r="I1287" s="22">
        <f t="shared" si="21"/>
        <v>3572.94</v>
      </c>
      <c r="J1287" s="18" t="s">
        <v>1085</v>
      </c>
      <c r="K1287" s="18">
        <v>9831404</v>
      </c>
      <c r="L1287" s="18">
        <v>909643</v>
      </c>
      <c r="M1287" s="18" t="s">
        <v>3110</v>
      </c>
      <c r="N1287" s="16" t="s">
        <v>2590</v>
      </c>
      <c r="O1287" s="18" t="s">
        <v>3111</v>
      </c>
      <c r="P1287" s="18" t="s">
        <v>2645</v>
      </c>
      <c r="Q1287" s="29" t="str" cm="1">
        <f t="array" ref="Q1287">_xlfn.IFS(
A1287="","",
AND(A1287&lt;&gt;"",B1287=""),"FALTA LANÇAMENTO",
AND(B1287&lt;&gt;"",M1287=""),"FALTA O PEDIDO",
AND(M1287&lt;&gt;"",O1287=""),"FALTA NF",
O1287&lt;&gt;"","CONCLUÍDO")</f>
        <v>CONCLUÍDO</v>
      </c>
      <c r="R1287" s="36"/>
    </row>
    <row r="1288" spans="1:18" hidden="1">
      <c r="A1288" s="16">
        <v>46126</v>
      </c>
      <c r="B1288" s="16">
        <v>46127</v>
      </c>
      <c r="C1288" s="21">
        <v>61521101</v>
      </c>
      <c r="D1288" s="16" t="str">
        <f>IFERROR(VLOOKUP(Tabela5[[#This Row],[PREFIXO ]],Tabela4[#All],2,0),"CENTRO DE CUSTO")</f>
        <v>CAM ROLL ON/OFF VOLVO VM 330</v>
      </c>
      <c r="E1288" s="18" t="s">
        <v>250</v>
      </c>
      <c r="F1288" s="21">
        <v>40387</v>
      </c>
      <c r="G1288" s="22">
        <v>1940</v>
      </c>
      <c r="H1288" s="22">
        <v>347.84</v>
      </c>
      <c r="I1288" s="22">
        <f t="shared" si="21"/>
        <v>2287.84</v>
      </c>
      <c r="J1288" s="18" t="s">
        <v>1085</v>
      </c>
      <c r="K1288" s="18">
        <v>9831408</v>
      </c>
      <c r="L1288" s="18">
        <v>909174</v>
      </c>
      <c r="M1288" s="18" t="s">
        <v>3112</v>
      </c>
      <c r="N1288" s="16" t="s">
        <v>2590</v>
      </c>
      <c r="O1288" s="18" t="s">
        <v>3113</v>
      </c>
      <c r="P1288" s="18" t="s">
        <v>3114</v>
      </c>
      <c r="Q1288" s="29" t="str" cm="1">
        <f t="array" ref="Q1288">_xlfn.IFS(
A1288="","",
AND(A1288&lt;&gt;"",B1288=""),"FALTA LANÇAMENTO",
AND(B1288&lt;&gt;"",M1288=""),"FALTA O PEDIDO",
AND(M1288&lt;&gt;"",O1288=""),"FALTA NF",
O1288&lt;&gt;"","CONCLUÍDO")</f>
        <v>CONCLUÍDO</v>
      </c>
      <c r="R1288" s="36"/>
    </row>
    <row r="1289" spans="1:18" hidden="1">
      <c r="A1289" s="16">
        <v>46126</v>
      </c>
      <c r="B1289" s="16">
        <v>46127</v>
      </c>
      <c r="C1289" s="21">
        <v>61521066</v>
      </c>
      <c r="D1289" s="16" t="str">
        <f>IFERROR(VLOOKUP(Tabela5[[#This Row],[PREFIXO ]],Tabela4[#All],2,0),"CENTRO DE CUSTO")</f>
        <v>CAM ROLL ON/OFF VOLVO VM 330</v>
      </c>
      <c r="E1289" s="18" t="s">
        <v>250</v>
      </c>
      <c r="F1289" s="21">
        <v>40006</v>
      </c>
      <c r="G1289" s="22">
        <v>1800</v>
      </c>
      <c r="H1289" s="22">
        <v>359.24</v>
      </c>
      <c r="I1289" s="22">
        <f t="shared" si="21"/>
        <v>2159.2399999999998</v>
      </c>
      <c r="J1289" s="18" t="s">
        <v>1085</v>
      </c>
      <c r="K1289" s="18">
        <v>9831399</v>
      </c>
      <c r="L1289" s="18">
        <v>909715</v>
      </c>
      <c r="M1289" s="18" t="s">
        <v>3115</v>
      </c>
      <c r="N1289" s="16" t="s">
        <v>2590</v>
      </c>
      <c r="O1289" s="18" t="s">
        <v>3116</v>
      </c>
      <c r="P1289" s="18" t="s">
        <v>2645</v>
      </c>
      <c r="Q1289" s="29" t="str" cm="1">
        <f t="array" ref="Q1289">_xlfn.IFS(
A1289="","",
AND(A1289&lt;&gt;"",B1289=""),"FALTA LANÇAMENTO",
AND(B1289&lt;&gt;"",M1289=""),"FALTA O PEDIDO",
AND(M1289&lt;&gt;"",O1289=""),"FALTA NF",
O1289&lt;&gt;"","CONCLUÍDO")</f>
        <v>CONCLUÍDO</v>
      </c>
      <c r="R1289" s="36"/>
    </row>
    <row r="1290" spans="1:18" hidden="1">
      <c r="A1290" s="16">
        <v>46126</v>
      </c>
      <c r="B1290" s="16">
        <v>46128</v>
      </c>
      <c r="C1290" s="21">
        <v>11040051</v>
      </c>
      <c r="D1290" s="16" t="str">
        <f>IFERROR(VLOOKUP(Tabela5[[#This Row],[PREFIXO ]],Tabela4[#All],2,0),"CENTRO DE CUSTO")</f>
        <v>CENTRO DE CUSTO</v>
      </c>
      <c r="E1290" s="18" t="s">
        <v>250</v>
      </c>
      <c r="F1290" s="21">
        <v>39120</v>
      </c>
      <c r="G1290" s="22">
        <v>320</v>
      </c>
      <c r="H1290" s="22">
        <v>1136.8699999999999</v>
      </c>
      <c r="I1290" s="22">
        <f t="shared" si="21"/>
        <v>1456.87</v>
      </c>
      <c r="J1290" s="18" t="s">
        <v>1085</v>
      </c>
      <c r="K1290" s="18">
        <v>9834066</v>
      </c>
      <c r="L1290" s="18">
        <v>910709</v>
      </c>
      <c r="M1290" s="18" t="s">
        <v>3117</v>
      </c>
      <c r="N1290" s="16" t="s">
        <v>2590</v>
      </c>
      <c r="O1290" s="18" t="s">
        <v>3118</v>
      </c>
      <c r="P1290" s="18" t="s">
        <v>2645</v>
      </c>
      <c r="Q1290" s="29" t="str" cm="1">
        <f t="array" ref="Q1290">_xlfn.IFS(
A1290="","",
AND(A1290&lt;&gt;"",B1290=""),"FALTA LANÇAMENTO",
AND(B1290&lt;&gt;"",M1290=""),"FALTA O PEDIDO",
AND(M1290&lt;&gt;"",O1290=""),"FALTA NF",
O1290&lt;&gt;"","CONCLUÍDO")</f>
        <v>CONCLUÍDO</v>
      </c>
      <c r="R1290" s="36"/>
    </row>
    <row r="1291" spans="1:18" hidden="1">
      <c r="A1291" s="16">
        <v>46126</v>
      </c>
      <c r="B1291" s="16">
        <v>46127</v>
      </c>
      <c r="C1291" s="21">
        <v>11040021</v>
      </c>
      <c r="D1291" s="16" t="str">
        <f>IFERROR(VLOOKUP(Tabela5[[#This Row],[PREFIXO ]],Tabela4[#All],2,0),"CENTRO DE CUSTO")</f>
        <v>CAV MEC EXT PES SCANIA R500</v>
      </c>
      <c r="E1291" s="18" t="s">
        <v>250</v>
      </c>
      <c r="F1291" s="21">
        <v>40218</v>
      </c>
      <c r="G1291" s="22">
        <v>180</v>
      </c>
      <c r="H1291" s="22">
        <v>114.37</v>
      </c>
      <c r="I1291" s="22">
        <f t="shared" si="21"/>
        <v>294.37</v>
      </c>
      <c r="J1291" s="18" t="s">
        <v>1085</v>
      </c>
      <c r="K1291" s="18">
        <v>9831401</v>
      </c>
      <c r="L1291" s="18">
        <v>909662</v>
      </c>
      <c r="M1291" s="18" t="s">
        <v>3119</v>
      </c>
      <c r="N1291" s="16" t="s">
        <v>2725</v>
      </c>
      <c r="O1291" s="18" t="s">
        <v>3120</v>
      </c>
      <c r="P1291" s="18" t="s">
        <v>2645</v>
      </c>
      <c r="Q1291" s="29" t="str" cm="1">
        <f t="array" ref="Q1291">_xlfn.IFS(
A1291="","",
AND(A1291&lt;&gt;"",B1291=""),"FALTA LANÇAMENTO",
AND(B1291&lt;&gt;"",M1291=""),"FALTA O PEDIDO",
AND(M1291&lt;&gt;"",O1291=""),"FALTA NF",
O1291&lt;&gt;"","CONCLUÍDO")</f>
        <v>CONCLUÍDO</v>
      </c>
      <c r="R1291" s="36"/>
    </row>
    <row r="1292" spans="1:18" hidden="1">
      <c r="A1292" s="16">
        <v>46127</v>
      </c>
      <c r="B1292" s="16">
        <v>46133</v>
      </c>
      <c r="C1292" s="21">
        <v>51521070</v>
      </c>
      <c r="D1292" s="16" t="str">
        <f>IFERROR(VLOOKUP(Tabela5[[#This Row],[PREFIXO ]],Tabela4[#All],2,0),"CENTRO DE CUSTO")</f>
        <v>COLHED ALGODÃO JOHN DEERE CP 690</v>
      </c>
      <c r="E1292" s="18" t="s">
        <v>17</v>
      </c>
      <c r="F1292" s="21">
        <v>43997</v>
      </c>
      <c r="G1292" s="22">
        <v>3178.86</v>
      </c>
      <c r="H1292" s="22">
        <v>11916.07</v>
      </c>
      <c r="I1292" s="22">
        <f t="shared" si="21"/>
        <v>15094.93</v>
      </c>
      <c r="J1292" s="18" t="s">
        <v>1113</v>
      </c>
      <c r="K1292" s="18">
        <v>9835497</v>
      </c>
      <c r="L1292" s="18">
        <v>914018</v>
      </c>
      <c r="M1292" s="18" t="s">
        <v>3121</v>
      </c>
      <c r="N1292" s="16" t="s">
        <v>2866</v>
      </c>
      <c r="O1292" s="18" t="s">
        <v>3122</v>
      </c>
      <c r="P1292" s="18" t="s">
        <v>2767</v>
      </c>
      <c r="Q1292" s="29" t="str" cm="1">
        <f t="array" ref="Q1292">_xlfn.IFS(
A1292="","",
AND(A1292&lt;&gt;"",B1292=""),"FALTA LANÇAMENTO",
AND(B1292&lt;&gt;"",M1292=""),"FALTA O PEDIDO",
AND(M1292&lt;&gt;"",O1292=""),"FALTA NF",
O1292&lt;&gt;"","CONCLUÍDO")</f>
        <v>CONCLUÍDO</v>
      </c>
      <c r="R1292" s="36"/>
    </row>
    <row r="1293" spans="1:18" hidden="1">
      <c r="A1293" s="16">
        <v>46127</v>
      </c>
      <c r="B1293" s="16">
        <v>46128</v>
      </c>
      <c r="C1293" s="21">
        <v>51521060</v>
      </c>
      <c r="D1293" s="16" t="str">
        <f>IFERROR(VLOOKUP(Tabela5[[#This Row],[PREFIXO ]],Tabela4[#All],2,0),"CENTRO DE CUSTO")</f>
        <v>COLHED ALGODÃO JOHN DEERE CP 690</v>
      </c>
      <c r="E1293" s="18" t="s">
        <v>17</v>
      </c>
      <c r="F1293" s="21">
        <v>43992</v>
      </c>
      <c r="G1293" s="22">
        <v>2907.54</v>
      </c>
      <c r="H1293" s="22">
        <v>3931.5</v>
      </c>
      <c r="I1293" s="22">
        <f t="shared" si="21"/>
        <v>6839.04</v>
      </c>
      <c r="J1293" s="18" t="s">
        <v>1113</v>
      </c>
      <c r="K1293" s="18">
        <v>9834772</v>
      </c>
      <c r="L1293" s="18">
        <v>910564</v>
      </c>
      <c r="M1293" s="18" t="s">
        <v>3123</v>
      </c>
      <c r="N1293" s="16" t="s">
        <v>2590</v>
      </c>
      <c r="O1293" s="18" t="s">
        <v>3124</v>
      </c>
      <c r="P1293" s="18" t="s">
        <v>3125</v>
      </c>
      <c r="Q1293" s="29" t="str" cm="1">
        <f t="array" ref="Q1293">_xlfn.IFS(
A1293="","",
AND(A1293&lt;&gt;"",B1293=""),"FALTA LANÇAMENTO",
AND(B1293&lt;&gt;"",M1293=""),"FALTA O PEDIDO",
AND(M1293&lt;&gt;"",O1293=""),"FALTA NF",
O1293&lt;&gt;"","CONCLUÍDO")</f>
        <v>CONCLUÍDO</v>
      </c>
      <c r="R1293" s="36"/>
    </row>
    <row r="1294" spans="1:18" hidden="1">
      <c r="A1294" s="16">
        <v>46127</v>
      </c>
      <c r="B1294" s="16">
        <v>46128</v>
      </c>
      <c r="C1294" s="21">
        <v>51521045</v>
      </c>
      <c r="D1294" s="16" t="str">
        <f>IFERROR(VLOOKUP(Tabela5[[#This Row],[PREFIXO ]],Tabela4[#All],2,0),"CENTRO DE CUSTO")</f>
        <v>COLHED ALGODÃO JOHN DEERE CP 690</v>
      </c>
      <c r="E1294" s="18" t="s">
        <v>17</v>
      </c>
      <c r="F1294" s="21">
        <v>44004</v>
      </c>
      <c r="G1294" s="22">
        <v>1100.55</v>
      </c>
      <c r="H1294" s="22">
        <v>5262.58</v>
      </c>
      <c r="I1294" s="22">
        <f t="shared" si="21"/>
        <v>6363.13</v>
      </c>
      <c r="J1294" s="18" t="s">
        <v>1113</v>
      </c>
      <c r="K1294" s="18">
        <v>9834748</v>
      </c>
      <c r="L1294" s="18">
        <v>910575</v>
      </c>
      <c r="M1294" s="18" t="s">
        <v>3126</v>
      </c>
      <c r="N1294" s="16" t="s">
        <v>2302</v>
      </c>
      <c r="O1294" s="18" t="s">
        <v>3127</v>
      </c>
      <c r="P1294" s="18" t="s">
        <v>3125</v>
      </c>
      <c r="Q1294" s="29" t="str" cm="1">
        <f t="array" ref="Q1294">_xlfn.IFS(
A1294="","",
AND(A1294&lt;&gt;"",B1294=""),"FALTA LANÇAMENTO",
AND(B1294&lt;&gt;"",M1294=""),"FALTA O PEDIDO",
AND(M1294&lt;&gt;"",O1294=""),"FALTA NF",
O1294&lt;&gt;"","CONCLUÍDO")</f>
        <v>CONCLUÍDO</v>
      </c>
      <c r="R1294" s="36"/>
    </row>
    <row r="1295" spans="1:18" hidden="1">
      <c r="A1295" s="16">
        <v>46127</v>
      </c>
      <c r="B1295" s="16">
        <v>46128</v>
      </c>
      <c r="C1295" s="21">
        <v>51521070</v>
      </c>
      <c r="D1295" s="16" t="str">
        <f>IFERROR(VLOOKUP(Tabela5[[#This Row],[PREFIXO ]],Tabela4[#All],2,0),"CENTRO DE CUSTO")</f>
        <v>COLHED ALGODÃO JOHN DEERE CP 690</v>
      </c>
      <c r="E1295" s="18" t="s">
        <v>17</v>
      </c>
      <c r="F1295" s="21">
        <v>44034</v>
      </c>
      <c r="G1295" s="22">
        <v>2001.38</v>
      </c>
      <c r="H1295" s="22"/>
      <c r="I1295" s="22">
        <f t="shared" si="21"/>
        <v>2001.38</v>
      </c>
      <c r="J1295" s="18" t="s">
        <v>1113</v>
      </c>
      <c r="K1295" s="18">
        <v>9834769</v>
      </c>
      <c r="L1295" s="18">
        <v>910385</v>
      </c>
      <c r="M1295" s="18" t="s">
        <v>3128</v>
      </c>
      <c r="N1295" s="16" t="s">
        <v>2590</v>
      </c>
      <c r="O1295" s="18" t="s">
        <v>3129</v>
      </c>
      <c r="P1295" s="18" t="s">
        <v>2684</v>
      </c>
      <c r="Q1295" s="29" t="str" cm="1">
        <f t="array" ref="Q1295">_xlfn.IFS(
A1295="","",
AND(A1295&lt;&gt;"",B1295=""),"FALTA LANÇAMENTO",
AND(B1295&lt;&gt;"",M1295=""),"FALTA O PEDIDO",
AND(M1295&lt;&gt;"",O1295=""),"FALTA NF",
O1295&lt;&gt;"","CONCLUÍDO")</f>
        <v>CONCLUÍDO</v>
      </c>
      <c r="R1295" s="36"/>
    </row>
    <row r="1296" spans="1:18" hidden="1">
      <c r="A1296" s="16">
        <v>46127</v>
      </c>
      <c r="B1296" s="16">
        <v>46129</v>
      </c>
      <c r="C1296" s="21">
        <v>61521061</v>
      </c>
      <c r="D1296" s="16" t="str">
        <f>IFERROR(VLOOKUP(Tabela5[[#This Row],[PREFIXO ]],Tabela4[#All],2,0),"CENTRO DE CUSTO")</f>
        <v>ONIB RODOVIÁRIO MERC BENZ MARCOPOLO TORI</v>
      </c>
      <c r="E1296" s="18" t="s">
        <v>29</v>
      </c>
      <c r="F1296" s="21">
        <v>55320</v>
      </c>
      <c r="G1296" s="22">
        <v>9824</v>
      </c>
      <c r="H1296" s="22">
        <v>12088</v>
      </c>
      <c r="I1296" s="22">
        <f t="shared" si="21"/>
        <v>21912</v>
      </c>
      <c r="J1296" s="18" t="s">
        <v>1085</v>
      </c>
      <c r="K1296" s="18">
        <v>9835114</v>
      </c>
      <c r="L1296" s="18">
        <v>910891</v>
      </c>
      <c r="M1296" s="18" t="s">
        <v>3130</v>
      </c>
      <c r="N1296" s="16" t="s">
        <v>2302</v>
      </c>
      <c r="O1296" s="18" t="s">
        <v>3131</v>
      </c>
      <c r="P1296" s="18" t="s">
        <v>3132</v>
      </c>
      <c r="Q1296" s="29" t="str" cm="1">
        <f t="array" ref="Q1296">_xlfn.IFS(
A1296="","",
AND(A1296&lt;&gt;"",B1296=""),"FALTA LANÇAMENTO",
AND(B1296&lt;&gt;"",M1296=""),"FALTA O PEDIDO",
AND(M1296&lt;&gt;"",O1296=""),"FALTA NF",
O1296&lt;&gt;"","CONCLUÍDO")</f>
        <v>CONCLUÍDO</v>
      </c>
      <c r="R1296" s="36"/>
    </row>
    <row r="1297" spans="1:18" hidden="1">
      <c r="A1297" s="16">
        <v>46127</v>
      </c>
      <c r="B1297" s="16">
        <v>46128</v>
      </c>
      <c r="C1297" s="21">
        <v>61521059</v>
      </c>
      <c r="D1297" s="16" t="str">
        <f>IFERROR(VLOOKUP(Tabela5[[#This Row],[PREFIXO ]],Tabela4[#All],2,0),"CENTRO DE CUSTO")</f>
        <v>CAM CARGA SECA VOLVO VM 270</v>
      </c>
      <c r="E1297" s="18" t="s">
        <v>29</v>
      </c>
      <c r="F1297" s="21">
        <v>55504</v>
      </c>
      <c r="G1297" s="22">
        <v>1765</v>
      </c>
      <c r="H1297" s="22">
        <v>3459.2</v>
      </c>
      <c r="I1297" s="22">
        <f t="shared" si="21"/>
        <v>5224.2</v>
      </c>
      <c r="J1297" s="18" t="s">
        <v>1085</v>
      </c>
      <c r="K1297" s="18">
        <v>9835117</v>
      </c>
      <c r="L1297" s="18">
        <v>910980</v>
      </c>
      <c r="M1297" s="18" t="s">
        <v>3133</v>
      </c>
      <c r="N1297" s="16" t="s">
        <v>2302</v>
      </c>
      <c r="O1297" s="18" t="s">
        <v>3134</v>
      </c>
      <c r="P1297" s="18" t="s">
        <v>3022</v>
      </c>
      <c r="Q1297" s="29" t="str" cm="1">
        <f t="array" ref="Q1297">_xlfn.IFS(
A1297="","",
AND(A1297&lt;&gt;"",B1297=""),"FALTA LANÇAMENTO",
AND(B1297&lt;&gt;"",M1297=""),"FALTA O PEDIDO",
AND(M1297&lt;&gt;"",O1297=""),"FALTA NF",
O1297&lt;&gt;"","CONCLUÍDO")</f>
        <v>CONCLUÍDO</v>
      </c>
      <c r="R1297" s="36"/>
    </row>
    <row r="1298" spans="1:18" hidden="1">
      <c r="A1298" s="16">
        <v>46127</v>
      </c>
      <c r="B1298" s="16">
        <v>46128</v>
      </c>
      <c r="C1298" s="21">
        <v>18010002</v>
      </c>
      <c r="D1298" s="16" t="str">
        <f>IFERROR(VLOOKUP(Tabela5[[#This Row],[PREFIXO ]],Tabela4[#All],2,0),"CENTRO DE CUSTO")</f>
        <v>AVIAO APLIC AGR AIR TRACT AT-802A</v>
      </c>
      <c r="E1298" s="18" t="s">
        <v>130</v>
      </c>
      <c r="F1298" s="21">
        <v>3212</v>
      </c>
      <c r="G1298" s="22">
        <v>4178.7700000000004</v>
      </c>
      <c r="H1298" s="22"/>
      <c r="I1298" s="22">
        <f t="shared" si="21"/>
        <v>4178.7700000000004</v>
      </c>
      <c r="J1298" s="18" t="s">
        <v>1818</v>
      </c>
      <c r="K1298" s="18">
        <v>9834840</v>
      </c>
      <c r="L1298" s="18">
        <v>910554</v>
      </c>
      <c r="M1298" s="18" t="s">
        <v>3135</v>
      </c>
      <c r="N1298" s="16" t="s">
        <v>2302</v>
      </c>
      <c r="O1298" s="18" t="s">
        <v>2720</v>
      </c>
      <c r="P1298" s="18" t="s">
        <v>2302</v>
      </c>
      <c r="Q1298" s="29" t="str" cm="1">
        <f t="array" ref="Q1298">_xlfn.IFS(
A1298="","",
AND(A1298&lt;&gt;"",B1298=""),"FALTA LANÇAMENTO",
AND(B1298&lt;&gt;"",M1298=""),"FALTA O PEDIDO",
AND(M1298&lt;&gt;"",O1298=""),"FALTA NF",
O1298&lt;&gt;"","CONCLUÍDO")</f>
        <v>CONCLUÍDO</v>
      </c>
      <c r="R1298" s="36"/>
    </row>
    <row r="1299" spans="1:18" hidden="1">
      <c r="A1299" s="16">
        <v>46127</v>
      </c>
      <c r="B1299" s="16">
        <v>46128</v>
      </c>
      <c r="C1299" s="21">
        <v>51521071</v>
      </c>
      <c r="D1299" s="16" t="str">
        <f>IFERROR(VLOOKUP(Tabela5[[#This Row],[PREFIXO ]],Tabela4[#All],2,0),"CENTRO DE CUSTO")</f>
        <v>COLHED ALGODÃO JOHN DEERE CP 690</v>
      </c>
      <c r="E1299" s="18" t="s">
        <v>49</v>
      </c>
      <c r="F1299" s="21" t="s">
        <v>2041</v>
      </c>
      <c r="G1299" s="22">
        <v>3500</v>
      </c>
      <c r="H1299" s="22"/>
      <c r="I1299" s="22">
        <f t="shared" si="21"/>
        <v>3500</v>
      </c>
      <c r="J1299" s="18" t="s">
        <v>1113</v>
      </c>
      <c r="K1299" s="18">
        <v>9834875</v>
      </c>
      <c r="L1299" s="18">
        <v>910611</v>
      </c>
      <c r="M1299" s="18" t="s">
        <v>3136</v>
      </c>
      <c r="N1299" s="16" t="s">
        <v>2590</v>
      </c>
      <c r="O1299" s="18" t="s">
        <v>3137</v>
      </c>
      <c r="P1299" s="18" t="s">
        <v>2590</v>
      </c>
      <c r="Q1299" s="29" t="str" cm="1">
        <f t="array" ref="Q1299">_xlfn.IFS(
A1299="","",
AND(A1299&lt;&gt;"",B1299=""),"FALTA LANÇAMENTO",
AND(B1299&lt;&gt;"",M1299=""),"FALTA O PEDIDO",
AND(M1299&lt;&gt;"",O1299=""),"FALTA NF",
O1299&lt;&gt;"","CONCLUÍDO")</f>
        <v>CONCLUÍDO</v>
      </c>
      <c r="R1299" s="36"/>
    </row>
    <row r="1300" spans="1:18" hidden="1">
      <c r="A1300" s="16">
        <v>46127</v>
      </c>
      <c r="B1300" s="16">
        <v>46128</v>
      </c>
      <c r="C1300" s="21">
        <v>51521057</v>
      </c>
      <c r="D1300" s="16" t="str">
        <f>IFERROR(VLOOKUP(Tabela5[[#This Row],[PREFIXO ]],Tabela4[#All],2,0),"CENTRO DE CUSTO")</f>
        <v>COLHED ALGODÃO JOHN DEERE CP 690</v>
      </c>
      <c r="E1300" s="18" t="s">
        <v>49</v>
      </c>
      <c r="F1300" s="21" t="s">
        <v>1314</v>
      </c>
      <c r="G1300" s="22">
        <v>3500</v>
      </c>
      <c r="H1300" s="22"/>
      <c r="I1300" s="22">
        <f t="shared" si="21"/>
        <v>3500</v>
      </c>
      <c r="J1300" s="18" t="s">
        <v>1113</v>
      </c>
      <c r="K1300" s="18">
        <v>9834883</v>
      </c>
      <c r="L1300" s="18">
        <v>910611</v>
      </c>
      <c r="M1300" s="18" t="s">
        <v>3136</v>
      </c>
      <c r="N1300" s="16" t="s">
        <v>2590</v>
      </c>
      <c r="O1300" s="18" t="s">
        <v>3137</v>
      </c>
      <c r="P1300" s="18" t="s">
        <v>2590</v>
      </c>
      <c r="Q1300" s="29" t="str" cm="1">
        <f t="array" ref="Q1300">_xlfn.IFS(
A1300="","",
AND(A1300&lt;&gt;"",B1300=""),"FALTA LANÇAMENTO",
AND(B1300&lt;&gt;"",M1300=""),"FALTA O PEDIDO",
AND(M1300&lt;&gt;"",O1300=""),"FALTA NF",
O1300&lt;&gt;"","CONCLUÍDO")</f>
        <v>CONCLUÍDO</v>
      </c>
      <c r="R1300" s="36"/>
    </row>
    <row r="1301" spans="1:18" hidden="1">
      <c r="A1301" s="16">
        <v>46127</v>
      </c>
      <c r="B1301" s="16">
        <v>46128</v>
      </c>
      <c r="C1301" s="21">
        <v>51521044</v>
      </c>
      <c r="D1301" s="16" t="str">
        <f>IFERROR(VLOOKUP(Tabela5[[#This Row],[PREFIXO ]],Tabela4[#All],2,0),"CENTRO DE CUSTO")</f>
        <v>COLHED ALGODÃO JOHN DEERE CP 690</v>
      </c>
      <c r="E1301" s="18" t="s">
        <v>49</v>
      </c>
      <c r="F1301" s="21" t="s">
        <v>1772</v>
      </c>
      <c r="G1301" s="22">
        <v>1189.8</v>
      </c>
      <c r="H1301" s="22"/>
      <c r="I1301" s="22">
        <f t="shared" si="21"/>
        <v>1189.8</v>
      </c>
      <c r="J1301" s="18" t="s">
        <v>1113</v>
      </c>
      <c r="K1301" s="18">
        <v>9834850</v>
      </c>
      <c r="L1301" s="18">
        <v>910611</v>
      </c>
      <c r="M1301" s="18" t="s">
        <v>3136</v>
      </c>
      <c r="N1301" s="16" t="s">
        <v>2590</v>
      </c>
      <c r="O1301" s="18" t="s">
        <v>3137</v>
      </c>
      <c r="P1301" s="18" t="s">
        <v>2590</v>
      </c>
      <c r="Q1301" s="29" t="str" cm="1">
        <f t="array" ref="Q1301">_xlfn.IFS(
A1301="","",
AND(A1301&lt;&gt;"",B1301=""),"FALTA LANÇAMENTO",
AND(B1301&lt;&gt;"",M1301=""),"FALTA O PEDIDO",
AND(M1301&lt;&gt;"",O1301=""),"FALTA NF",
O1301&lt;&gt;"","CONCLUÍDO")</f>
        <v>CONCLUÍDO</v>
      </c>
      <c r="R1301" s="36"/>
    </row>
    <row r="1302" spans="1:18" hidden="1">
      <c r="A1302" s="16">
        <v>46127</v>
      </c>
      <c r="B1302" s="16">
        <v>46160</v>
      </c>
      <c r="C1302" s="21">
        <v>22030426</v>
      </c>
      <c r="D1302" s="16" t="str">
        <f>IFERROR(VLOOKUP(Tabela5[[#This Row],[PREFIXO ]],Tabela4[#All],2,0),"CENTRO DE CUSTO")</f>
        <v>AUTOMOVEL FIAT STRADA FREEDOM CD13</v>
      </c>
      <c r="E1302" s="18" t="s">
        <v>209</v>
      </c>
      <c r="F1302" s="21" t="s">
        <v>3138</v>
      </c>
      <c r="G1302" s="22">
        <v>640</v>
      </c>
      <c r="H1302" s="22">
        <v>1085</v>
      </c>
      <c r="I1302" s="22">
        <f t="shared" si="21"/>
        <v>1725</v>
      </c>
      <c r="J1302" s="18" t="s">
        <v>1085</v>
      </c>
      <c r="K1302" s="18">
        <v>9835157</v>
      </c>
      <c r="L1302" s="18">
        <v>911767</v>
      </c>
      <c r="M1302" s="18" t="s">
        <v>3139</v>
      </c>
      <c r="N1302" s="16" t="s">
        <v>3048</v>
      </c>
      <c r="O1302" s="18" t="s">
        <v>3140</v>
      </c>
      <c r="P1302" s="18" t="s">
        <v>3141</v>
      </c>
      <c r="Q1302" s="29" t="str" cm="1">
        <f t="array" ref="Q1302">_xlfn.IFS(
A1302="","",
AND(A1302&lt;&gt;"",B1302=""),"FALTA LANÇAMENTO",
AND(B1302&lt;&gt;"",M1302=""),"FALTA O PEDIDO",
AND(M1302&lt;&gt;"",O1302=""),"FALTA NF",
O1302&lt;&gt;"","CONCLUÍDO")</f>
        <v>CONCLUÍDO</v>
      </c>
      <c r="R1302" s="36"/>
    </row>
    <row r="1303" spans="1:18" hidden="1">
      <c r="A1303" s="16">
        <v>46127</v>
      </c>
      <c r="B1303" s="16">
        <v>46139</v>
      </c>
      <c r="C1303" s="21">
        <v>41521066</v>
      </c>
      <c r="D1303" s="16" t="str">
        <f>IFERROR(VLOOKUP(Tabela5[[#This Row],[PREFIXO ]],Tabela4[#All],2,0),"CENTRO DE CUSTO")</f>
        <v>MICROONIBUS SPRINTER 417 CDI K42B</v>
      </c>
      <c r="E1303" s="18" t="s">
        <v>209</v>
      </c>
      <c r="F1303" s="21">
        <v>396</v>
      </c>
      <c r="G1303" s="22">
        <v>560</v>
      </c>
      <c r="H1303" s="22"/>
      <c r="I1303" s="22">
        <f t="shared" si="21"/>
        <v>560</v>
      </c>
      <c r="J1303" s="18" t="s">
        <v>1085</v>
      </c>
      <c r="K1303" s="18">
        <v>9835038</v>
      </c>
      <c r="L1303" s="18">
        <v>917196</v>
      </c>
      <c r="M1303" s="18" t="s">
        <v>3142</v>
      </c>
      <c r="N1303" s="16" t="s">
        <v>2542</v>
      </c>
      <c r="O1303" s="18" t="s">
        <v>3143</v>
      </c>
      <c r="P1303" s="18" t="s">
        <v>3144</v>
      </c>
      <c r="Q1303" s="29" t="str" cm="1">
        <f t="array" ref="Q1303">_xlfn.IFS(
A1303="","",
AND(A1303&lt;&gt;"",B1303=""),"FALTA LANÇAMENTO",
AND(B1303&lt;&gt;"",M1303=""),"FALTA O PEDIDO",
AND(M1303&lt;&gt;"",O1303=""),"FALTA NF",
O1303&lt;&gt;"","CONCLUÍDO")</f>
        <v>CONCLUÍDO</v>
      </c>
      <c r="R1303" s="36"/>
    </row>
    <row r="1304" spans="1:18" hidden="1">
      <c r="A1304" s="16">
        <v>46127</v>
      </c>
      <c r="B1304" s="16">
        <v>46160</v>
      </c>
      <c r="C1304" s="21">
        <v>22030122</v>
      </c>
      <c r="D1304" s="16" t="str">
        <f>IFERROR(VLOOKUP(Tabela5[[#This Row],[PREFIXO ]],Tabela4[#All],2,0),"CENTRO DE CUSTO")</f>
        <v>AUTOMOVEL FIAT FIORINO ENDURANCE</v>
      </c>
      <c r="E1304" s="18" t="s">
        <v>209</v>
      </c>
      <c r="F1304" s="21" t="s">
        <v>3145</v>
      </c>
      <c r="G1304" s="22">
        <v>460</v>
      </c>
      <c r="H1304" s="22">
        <v>100</v>
      </c>
      <c r="I1304" s="22">
        <f t="shared" si="21"/>
        <v>560</v>
      </c>
      <c r="J1304" s="18" t="s">
        <v>1085</v>
      </c>
      <c r="K1304" s="18" t="s">
        <v>3146</v>
      </c>
      <c r="L1304" s="18">
        <v>911000</v>
      </c>
      <c r="M1304" s="18" t="s">
        <v>3147</v>
      </c>
      <c r="N1304" s="16" t="s">
        <v>3048</v>
      </c>
      <c r="O1304" s="18" t="s">
        <v>3148</v>
      </c>
      <c r="P1304" s="18" t="s">
        <v>3149</v>
      </c>
      <c r="Q1304" s="29" t="str" cm="1">
        <f t="array" ref="Q1304">_xlfn.IFS(
A1304="","",
AND(A1304&lt;&gt;"",B1304=""),"FALTA LANÇAMENTO",
AND(B1304&lt;&gt;"",M1304=""),"FALTA O PEDIDO",
AND(M1304&lt;&gt;"",O1304=""),"FALTA NF",
O1304&lt;&gt;"","CONCLUÍDO")</f>
        <v>CONCLUÍDO</v>
      </c>
      <c r="R1304" s="36"/>
    </row>
    <row r="1305" spans="1:18" hidden="1">
      <c r="A1305" s="16">
        <v>46127</v>
      </c>
      <c r="B1305" s="16">
        <v>46139</v>
      </c>
      <c r="C1305" s="21">
        <v>12070008</v>
      </c>
      <c r="D1305" s="16" t="str">
        <f>IFERROR(VLOOKUP(Tabela5[[#This Row],[PREFIXO ]],Tabela4[#All],2,0),"CENTRO DE CUSTO")</f>
        <v>VAN MICROBUS FORD TRANSIT 410 B AUT</v>
      </c>
      <c r="E1305" s="18" t="s">
        <v>209</v>
      </c>
      <c r="F1305" s="21">
        <v>346</v>
      </c>
      <c r="G1305" s="22">
        <v>350</v>
      </c>
      <c r="H1305" s="22"/>
      <c r="I1305" s="22">
        <f t="shared" si="21"/>
        <v>350</v>
      </c>
      <c r="J1305" s="18" t="s">
        <v>1085</v>
      </c>
      <c r="K1305" s="18">
        <v>9835101</v>
      </c>
      <c r="L1305" s="18">
        <v>917196</v>
      </c>
      <c r="M1305" s="18" t="s">
        <v>3142</v>
      </c>
      <c r="N1305" s="16" t="s">
        <v>2542</v>
      </c>
      <c r="O1305" s="18" t="s">
        <v>3143</v>
      </c>
      <c r="P1305" s="18" t="s">
        <v>3144</v>
      </c>
      <c r="Q1305" s="29" t="str" cm="1">
        <f t="array" ref="Q1305">_xlfn.IFS(
A1305="","",
AND(A1305&lt;&gt;"",B1305=""),"FALTA LANÇAMENTO",
AND(B1305&lt;&gt;"",M1305=""),"FALTA O PEDIDO",
AND(M1305&lt;&gt;"",O1305=""),"FALTA NF",
O1305&lt;&gt;"","CONCLUÍDO")</f>
        <v>CONCLUÍDO</v>
      </c>
      <c r="R1305" s="36"/>
    </row>
    <row r="1306" spans="1:18" hidden="1">
      <c r="A1306" s="16">
        <v>46127</v>
      </c>
      <c r="B1306" s="16">
        <v>46139</v>
      </c>
      <c r="C1306" s="21">
        <v>22030100</v>
      </c>
      <c r="D1306" s="16" t="str">
        <f>IFERROR(VLOOKUP(Tabela5[[#This Row],[PREFIXO ]],Tabela4[#All],2,0),"CENTRO DE CUSTO")</f>
        <v>AUTOMOVEL CHEVROLET SPIN 18L AT PREMIER</v>
      </c>
      <c r="E1306" s="18" t="s">
        <v>209</v>
      </c>
      <c r="F1306" s="21">
        <v>412</v>
      </c>
      <c r="G1306" s="22">
        <v>140</v>
      </c>
      <c r="H1306" s="22"/>
      <c r="I1306" s="22">
        <f t="shared" si="21"/>
        <v>140</v>
      </c>
      <c r="J1306" s="18" t="s">
        <v>1085</v>
      </c>
      <c r="K1306" s="18">
        <v>9835083</v>
      </c>
      <c r="L1306" s="18">
        <v>917196</v>
      </c>
      <c r="M1306" s="18" t="s">
        <v>3142</v>
      </c>
      <c r="N1306" s="16" t="s">
        <v>2542</v>
      </c>
      <c r="O1306" s="18" t="s">
        <v>3143</v>
      </c>
      <c r="P1306" s="18" t="s">
        <v>3144</v>
      </c>
      <c r="Q1306" s="29" t="str" cm="1">
        <f t="array" ref="Q1306">_xlfn.IFS(
A1306="","",
AND(A1306&lt;&gt;"",B1306=""),"FALTA LANÇAMENTO",
AND(B1306&lt;&gt;"",M1306=""),"FALTA O PEDIDO",
AND(M1306&lt;&gt;"",O1306=""),"FALTA NF",
O1306&lt;&gt;"","CONCLUÍDO")</f>
        <v>CONCLUÍDO</v>
      </c>
      <c r="R1306" s="36"/>
    </row>
    <row r="1307" spans="1:18" hidden="1">
      <c r="A1307" s="16">
        <v>46127</v>
      </c>
      <c r="B1307" s="16">
        <v>46128</v>
      </c>
      <c r="C1307" s="21">
        <v>1173004</v>
      </c>
      <c r="D1307" s="16" t="str">
        <f>IFERROR(VLOOKUP(Tabela5[[#This Row],[PREFIXO ]],Tabela4[#All],2,0),"CENTRO DE CUSTO")</f>
        <v>TRAT PN LEVE M FERGUSON MF 275</v>
      </c>
      <c r="E1307" s="18" t="s">
        <v>347</v>
      </c>
      <c r="F1307" s="21">
        <v>1116</v>
      </c>
      <c r="G1307" s="22">
        <v>1700</v>
      </c>
      <c r="H1307" s="22">
        <v>5554</v>
      </c>
      <c r="I1307" s="22">
        <f t="shared" si="21"/>
        <v>7254</v>
      </c>
      <c r="J1307" s="18" t="s">
        <v>1199</v>
      </c>
      <c r="K1307" s="18">
        <v>9834743</v>
      </c>
      <c r="L1307" s="18">
        <v>910641</v>
      </c>
      <c r="M1307" s="18" t="s">
        <v>3150</v>
      </c>
      <c r="N1307" s="16" t="s">
        <v>2302</v>
      </c>
      <c r="O1307" s="18" t="s">
        <v>3151</v>
      </c>
      <c r="P1307" s="18" t="s">
        <v>3022</v>
      </c>
      <c r="Q1307" s="29" t="str" cm="1">
        <f t="array" ref="Q1307">_xlfn.IFS(
A1307="","",
AND(A1307&lt;&gt;"",B1307=""),"FALTA LANÇAMENTO",
AND(B1307&lt;&gt;"",M1307=""),"FALTA O PEDIDO",
AND(M1307&lt;&gt;"",O1307=""),"FALTA NF",
O1307&lt;&gt;"","CONCLUÍDO")</f>
        <v>CONCLUÍDO</v>
      </c>
      <c r="R1307" s="36"/>
    </row>
    <row r="1308" spans="1:18">
      <c r="A1308" s="16">
        <v>46127</v>
      </c>
      <c r="B1308" s="16">
        <v>46132</v>
      </c>
      <c r="C1308" s="21">
        <v>11040015</v>
      </c>
      <c r="D1308" s="16" t="str">
        <f>IFERROR(VLOOKUP(Tabela5[[#This Row],[PREFIXO ]],Tabela4[#All],2,0),"CENTRO DE CUSTO")</f>
        <v>CAV MEC EXT PES SCANIA R500</v>
      </c>
      <c r="E1308" s="18" t="s">
        <v>243</v>
      </c>
      <c r="F1308" s="21">
        <v>16115</v>
      </c>
      <c r="G1308" s="22">
        <v>11981.49</v>
      </c>
      <c r="H1308" s="22">
        <v>46018.51</v>
      </c>
      <c r="I1308" s="22">
        <f t="shared" si="21"/>
        <v>58000</v>
      </c>
      <c r="J1308" s="18" t="s">
        <v>1199</v>
      </c>
      <c r="K1308" s="18">
        <v>9834892</v>
      </c>
      <c r="L1308" s="18">
        <v>912382</v>
      </c>
      <c r="M1308" s="18" t="s">
        <v>3152</v>
      </c>
      <c r="N1308" s="16" t="s">
        <v>2556</v>
      </c>
      <c r="O1308" s="18" t="s">
        <v>3153</v>
      </c>
      <c r="P1308" s="18" t="s">
        <v>3154</v>
      </c>
      <c r="Q1308" s="29" t="str" cm="1">
        <f t="array" ref="Q1308">_xlfn.IFS(
A1308="","",
AND(A1308&lt;&gt;"",B1308=""),"FALTA LANÇAMENTO",
AND(B1308&lt;&gt;"",M1308=""),"FALTA O PEDIDO",
AND(M1308&lt;&gt;"",O1308=""),"FALTA NF",
O1308&lt;&gt;"","CONCLUÍDO")</f>
        <v>CONCLUÍDO</v>
      </c>
      <c r="R1308" s="36"/>
    </row>
    <row r="1309" spans="1:18" hidden="1">
      <c r="A1309" s="16">
        <v>46127</v>
      </c>
      <c r="B1309" s="16">
        <v>46134</v>
      </c>
      <c r="C1309" s="21">
        <v>23220004</v>
      </c>
      <c r="D1309" s="16" t="str">
        <f>IFERROR(VLOOKUP(Tabela5[[#This Row],[PREFIXO ]],Tabela4[#All],2,0),"CENTRO DE CUSTO")</f>
        <v>COLHED ALGODÃO JOHN DEERE CP 770</v>
      </c>
      <c r="E1309" s="18" t="s">
        <v>162</v>
      </c>
      <c r="F1309" s="21">
        <v>13182</v>
      </c>
      <c r="G1309" s="22">
        <v>8920</v>
      </c>
      <c r="H1309" s="22">
        <v>20587.61</v>
      </c>
      <c r="I1309" s="22">
        <f t="shared" si="21"/>
        <v>29507.61</v>
      </c>
      <c r="J1309" s="18" t="s">
        <v>1123</v>
      </c>
      <c r="K1309" s="18">
        <v>9835105</v>
      </c>
      <c r="L1309" s="18">
        <v>907612</v>
      </c>
      <c r="M1309" s="18" t="s">
        <v>3155</v>
      </c>
      <c r="N1309" s="16" t="s">
        <v>2866</v>
      </c>
      <c r="O1309" s="18" t="s">
        <v>3156</v>
      </c>
      <c r="P1309" s="18" t="s">
        <v>3085</v>
      </c>
      <c r="Q1309" s="29" t="str" cm="1">
        <f t="array" ref="Q1309">_xlfn.IFS(
A1309="","",
AND(A1309&lt;&gt;"",B1309=""),"FALTA LANÇAMENTO",
AND(B1309&lt;&gt;"",M1309=""),"FALTA O PEDIDO",
AND(M1309&lt;&gt;"",O1309=""),"FALTA NF",
O1309&lt;&gt;"","CONCLUÍDO")</f>
        <v>CONCLUÍDO</v>
      </c>
      <c r="R1309" s="36"/>
    </row>
    <row r="1310" spans="1:18" hidden="1">
      <c r="A1310" s="16">
        <v>46127</v>
      </c>
      <c r="B1310" s="16">
        <v>46128</v>
      </c>
      <c r="C1310" s="21">
        <v>61521039</v>
      </c>
      <c r="D1310" s="16" t="str">
        <f>IFERROR(VLOOKUP(Tabela5[[#This Row],[PREFIXO ]],Tabela4[#All],2,0),"CENTRO DE CUSTO")</f>
        <v>CAM MUNCK MERC BENZ ATEGO 1719</v>
      </c>
      <c r="E1310" s="18" t="s">
        <v>129</v>
      </c>
      <c r="F1310" s="21">
        <v>213</v>
      </c>
      <c r="G1310" s="22">
        <v>800</v>
      </c>
      <c r="H1310" s="22"/>
      <c r="I1310" s="22">
        <f t="shared" si="21"/>
        <v>800</v>
      </c>
      <c r="J1310" s="18" t="s">
        <v>1085</v>
      </c>
      <c r="K1310" s="18">
        <v>9834905</v>
      </c>
      <c r="L1310" s="18" t="s">
        <v>1095</v>
      </c>
      <c r="M1310" s="18" t="s">
        <v>1095</v>
      </c>
      <c r="N1310" s="16" t="s">
        <v>1095</v>
      </c>
      <c r="O1310" s="18" t="s">
        <v>1095</v>
      </c>
      <c r="P1310" s="16" t="s">
        <v>1095</v>
      </c>
      <c r="Q1310" s="29" t="str" cm="1">
        <f t="array" ref="Q1310">_xlfn.IFS(
A1310="","",
AND(A1310&lt;&gt;"",B1310=""),"FALTA LANÇAMENTO",
AND(B1310&lt;&gt;"",M1310=""),"FALTA O PEDIDO",
AND(M1310&lt;&gt;"",O1310=""),"FALTA NF",
O1310&lt;&gt;"","CONCLUÍDO")</f>
        <v>CONCLUÍDO</v>
      </c>
      <c r="R1310" s="36"/>
    </row>
    <row r="1311" spans="1:18" hidden="1">
      <c r="A1311" s="16">
        <v>46128</v>
      </c>
      <c r="B1311" s="16">
        <v>46129</v>
      </c>
      <c r="C1311" s="21">
        <v>51521072</v>
      </c>
      <c r="D1311" s="16" t="str">
        <f>IFERROR(VLOOKUP(Tabela5[[#This Row],[PREFIXO ]],Tabela4[#All],2,0),"CENTRO DE CUSTO")</f>
        <v>COLHED ALGODÃO JOHN DEERE CP 690</v>
      </c>
      <c r="E1311" s="18" t="s">
        <v>67</v>
      </c>
      <c r="F1311" s="21">
        <v>138</v>
      </c>
      <c r="G1311" s="22">
        <v>4695.5</v>
      </c>
      <c r="H1311" s="22"/>
      <c r="I1311" s="22">
        <f t="shared" si="21"/>
        <v>4695.5</v>
      </c>
      <c r="J1311" s="18" t="s">
        <v>1113</v>
      </c>
      <c r="K1311" s="18">
        <v>9837443</v>
      </c>
      <c r="L1311" s="18">
        <v>911897</v>
      </c>
      <c r="M1311" s="18" t="s">
        <v>3157</v>
      </c>
      <c r="N1311" s="16" t="s">
        <v>2302</v>
      </c>
      <c r="O1311" s="18" t="s">
        <v>2055</v>
      </c>
      <c r="P1311" s="18" t="s">
        <v>3158</v>
      </c>
      <c r="Q1311" s="29" t="str" cm="1">
        <f t="array" ref="Q1311">_xlfn.IFS(
A1311="","",
AND(A1311&lt;&gt;"",B1311=""),"FALTA LANÇAMENTO",
AND(B1311&lt;&gt;"",M1311=""),"FALTA O PEDIDO",
AND(M1311&lt;&gt;"",O1311=""),"FALTA NF",
O1311&lt;&gt;"","CONCLUÍDO")</f>
        <v>CONCLUÍDO</v>
      </c>
      <c r="R1311" s="36"/>
    </row>
    <row r="1312" spans="1:18" hidden="1">
      <c r="A1312" s="16">
        <v>46128</v>
      </c>
      <c r="B1312" s="16">
        <v>46129</v>
      </c>
      <c r="C1312" s="21">
        <v>51521058</v>
      </c>
      <c r="D1312" s="16" t="str">
        <f>IFERROR(VLOOKUP(Tabela5[[#This Row],[PREFIXO ]],Tabela4[#All],2,0),"CENTRO DE CUSTO")</f>
        <v>COLHED ALGODÃO JOHN DEERE CP 690</v>
      </c>
      <c r="E1312" s="18" t="s">
        <v>67</v>
      </c>
      <c r="F1312" s="21">
        <v>136</v>
      </c>
      <c r="G1312" s="22">
        <v>3705.75</v>
      </c>
      <c r="H1312" s="22"/>
      <c r="I1312" s="22">
        <f t="shared" si="21"/>
        <v>3705.75</v>
      </c>
      <c r="J1312" s="18" t="s">
        <v>1113</v>
      </c>
      <c r="K1312" s="18">
        <v>9837427</v>
      </c>
      <c r="L1312" s="18">
        <v>911897</v>
      </c>
      <c r="M1312" s="18" t="s">
        <v>3157</v>
      </c>
      <c r="N1312" s="16" t="s">
        <v>2302</v>
      </c>
      <c r="O1312" s="18" t="s">
        <v>2055</v>
      </c>
      <c r="P1312" s="18" t="s">
        <v>3158</v>
      </c>
      <c r="Q1312" s="29" t="str" cm="1">
        <f t="array" ref="Q1312">_xlfn.IFS(
A1312="","",
AND(A1312&lt;&gt;"",B1312=""),"FALTA LANÇAMENTO",
AND(B1312&lt;&gt;"",M1312=""),"FALTA O PEDIDO",
AND(M1312&lt;&gt;"",O1312=""),"FALTA NF",
O1312&lt;&gt;"","CONCLUÍDO")</f>
        <v>CONCLUÍDO</v>
      </c>
      <c r="R1312" s="36"/>
    </row>
    <row r="1313" spans="1:18" hidden="1">
      <c r="A1313" s="16">
        <v>46128</v>
      </c>
      <c r="B1313" s="16">
        <v>46129</v>
      </c>
      <c r="C1313" s="21">
        <v>51521057</v>
      </c>
      <c r="D1313" s="16" t="str">
        <f>IFERROR(VLOOKUP(Tabela5[[#This Row],[PREFIXO ]],Tabela4[#All],2,0),"CENTRO DE CUSTO")</f>
        <v>COLHED ALGODÃO JOHN DEERE CP 690</v>
      </c>
      <c r="E1313" s="18" t="s">
        <v>67</v>
      </c>
      <c r="F1313" s="21">
        <v>137</v>
      </c>
      <c r="G1313" s="22">
        <v>3705.75</v>
      </c>
      <c r="H1313" s="22"/>
      <c r="I1313" s="22">
        <f t="shared" si="21"/>
        <v>3705.75</v>
      </c>
      <c r="J1313" s="18" t="s">
        <v>1113</v>
      </c>
      <c r="K1313" s="18">
        <v>9837436</v>
      </c>
      <c r="L1313" s="18">
        <v>911897</v>
      </c>
      <c r="M1313" s="18" t="s">
        <v>3157</v>
      </c>
      <c r="N1313" s="16" t="s">
        <v>2302</v>
      </c>
      <c r="O1313" s="18" t="s">
        <v>2055</v>
      </c>
      <c r="P1313" s="18" t="s">
        <v>3158</v>
      </c>
      <c r="Q1313" s="29" t="str" cm="1">
        <f t="array" ref="Q1313">_xlfn.IFS(
A1313="","",
AND(A1313&lt;&gt;"",B1313=""),"FALTA LANÇAMENTO",
AND(B1313&lt;&gt;"",M1313=""),"FALTA O PEDIDO",
AND(M1313&lt;&gt;"",O1313=""),"FALTA NF",
O1313&lt;&gt;"","CONCLUÍDO")</f>
        <v>CONCLUÍDO</v>
      </c>
      <c r="R1313" s="36"/>
    </row>
    <row r="1314" spans="1:18" hidden="1">
      <c r="A1314" s="16">
        <v>46128</v>
      </c>
      <c r="B1314" s="16">
        <v>46129</v>
      </c>
      <c r="C1314" s="21">
        <v>13130046</v>
      </c>
      <c r="D1314" s="16" t="str">
        <f>IFERROR(VLOOKUP(Tabela5[[#This Row],[PREFIXO ]],Tabela4[#All],2,0),"CENTRO DE CUSTO")</f>
        <v>PULV AUTOPROP JOHN DEERE M4030</v>
      </c>
      <c r="E1314" s="18" t="s">
        <v>67</v>
      </c>
      <c r="F1314" s="21">
        <v>142</v>
      </c>
      <c r="G1314" s="22">
        <v>3600</v>
      </c>
      <c r="H1314" s="22"/>
      <c r="I1314" s="22">
        <f t="shared" si="21"/>
        <v>3600</v>
      </c>
      <c r="J1314" s="18" t="s">
        <v>1080</v>
      </c>
      <c r="K1314" s="18">
        <v>9837525</v>
      </c>
      <c r="L1314" s="18">
        <v>911783</v>
      </c>
      <c r="M1314" s="18" t="s">
        <v>3159</v>
      </c>
      <c r="N1314" s="16" t="s">
        <v>2302</v>
      </c>
      <c r="O1314" s="18" t="s">
        <v>3160</v>
      </c>
      <c r="P1314" s="18" t="s">
        <v>2302</v>
      </c>
      <c r="Q1314" s="29" t="str" cm="1">
        <f t="array" ref="Q1314">_xlfn.IFS(
A1314="","",
AND(A1314&lt;&gt;"",B1314=""),"FALTA LANÇAMENTO",
AND(B1314&lt;&gt;"",M1314=""),"FALTA O PEDIDO",
AND(M1314&lt;&gt;"",O1314=""),"FALTA NF",
O1314&lt;&gt;"","CONCLUÍDO")</f>
        <v>CONCLUÍDO</v>
      </c>
      <c r="R1314" s="36"/>
    </row>
    <row r="1315" spans="1:18" hidden="1">
      <c r="A1315" s="16">
        <v>46128</v>
      </c>
      <c r="B1315" s="16">
        <v>46129</v>
      </c>
      <c r="C1315" s="21">
        <v>51521054</v>
      </c>
      <c r="D1315" s="16" t="str">
        <f>IFERROR(VLOOKUP(Tabela5[[#This Row],[PREFIXO ]],Tabela4[#All],2,0),"CENTRO DE CUSTO")</f>
        <v>COLHED ALGODÃO JOHN DEERE CP 690</v>
      </c>
      <c r="E1315" s="18" t="s">
        <v>67</v>
      </c>
      <c r="F1315" s="21">
        <v>144</v>
      </c>
      <c r="G1315" s="22">
        <v>3123.86</v>
      </c>
      <c r="H1315" s="22"/>
      <c r="I1315" s="22">
        <f t="shared" si="21"/>
        <v>3123.86</v>
      </c>
      <c r="J1315" s="18" t="s">
        <v>1113</v>
      </c>
      <c r="K1315" s="18">
        <v>9837530</v>
      </c>
      <c r="L1315" s="18">
        <v>911897</v>
      </c>
      <c r="M1315" s="18" t="s">
        <v>3157</v>
      </c>
      <c r="N1315" s="16" t="s">
        <v>2302</v>
      </c>
      <c r="O1315" s="18" t="s">
        <v>2055</v>
      </c>
      <c r="P1315" s="18" t="s">
        <v>3158</v>
      </c>
      <c r="Q1315" s="29" t="str" cm="1">
        <f t="array" ref="Q1315">_xlfn.IFS(
A1315="","",
AND(A1315&lt;&gt;"",B1315=""),"FALTA LANÇAMENTO",
AND(B1315&lt;&gt;"",M1315=""),"FALTA O PEDIDO",
AND(M1315&lt;&gt;"",O1315=""),"FALTA NF",
O1315&lt;&gt;"","CONCLUÍDO")</f>
        <v>CONCLUÍDO</v>
      </c>
      <c r="R1315" s="36"/>
    </row>
    <row r="1316" spans="1:18" hidden="1">
      <c r="A1316" s="16">
        <v>46128</v>
      </c>
      <c r="B1316" s="16">
        <v>46129</v>
      </c>
      <c r="C1316" s="21">
        <v>51521057</v>
      </c>
      <c r="D1316" s="16" t="str">
        <f>IFERROR(VLOOKUP(Tabela5[[#This Row],[PREFIXO ]],Tabela4[#All],2,0),"CENTRO DE CUSTO")</f>
        <v>COLHED ALGODÃO JOHN DEERE CP 690</v>
      </c>
      <c r="E1316" s="18" t="s">
        <v>67</v>
      </c>
      <c r="F1316" s="21">
        <v>139</v>
      </c>
      <c r="G1316" s="22">
        <v>1830</v>
      </c>
      <c r="H1316" s="22"/>
      <c r="I1316" s="22">
        <f t="shared" si="21"/>
        <v>1830</v>
      </c>
      <c r="J1316" s="18" t="s">
        <v>1113</v>
      </c>
      <c r="K1316" s="18">
        <v>9837446</v>
      </c>
      <c r="L1316" s="18">
        <v>911897</v>
      </c>
      <c r="M1316" s="18" t="s">
        <v>3157</v>
      </c>
      <c r="N1316" s="16" t="s">
        <v>2302</v>
      </c>
      <c r="O1316" s="18" t="s">
        <v>2055</v>
      </c>
      <c r="P1316" s="18" t="s">
        <v>3158</v>
      </c>
      <c r="Q1316" s="29" t="str" cm="1">
        <f t="array" ref="Q1316">_xlfn.IFS(
A1316="","",
AND(A1316&lt;&gt;"",B1316=""),"FALTA LANÇAMENTO",
AND(B1316&lt;&gt;"",M1316=""),"FALTA O PEDIDO",
AND(M1316&lt;&gt;"",O1316=""),"FALTA NF",
O1316&lt;&gt;"","CONCLUÍDO")</f>
        <v>CONCLUÍDO</v>
      </c>
      <c r="R1316" s="36"/>
    </row>
    <row r="1317" spans="1:18" hidden="1">
      <c r="A1317" s="16">
        <v>46128</v>
      </c>
      <c r="B1317" s="16">
        <v>46129</v>
      </c>
      <c r="C1317" s="21">
        <v>13130044</v>
      </c>
      <c r="D1317" s="16" t="str">
        <f>IFERROR(VLOOKUP(Tabela5[[#This Row],[PREFIXO ]],Tabela4[#All],2,0),"CENTRO DE CUSTO")</f>
        <v>PULV AUTOPROP JOHN DEERE M4030</v>
      </c>
      <c r="E1317" s="18" t="s">
        <v>67</v>
      </c>
      <c r="F1317" s="21">
        <v>133</v>
      </c>
      <c r="G1317" s="22">
        <v>1683.9</v>
      </c>
      <c r="H1317" s="22"/>
      <c r="I1317" s="22">
        <f t="shared" si="21"/>
        <v>1683.9</v>
      </c>
      <c r="J1317" s="18" t="s">
        <v>1080</v>
      </c>
      <c r="K1317" s="18">
        <v>9837456</v>
      </c>
      <c r="L1317" s="18">
        <v>911783</v>
      </c>
      <c r="M1317" s="18" t="s">
        <v>3159</v>
      </c>
      <c r="N1317" s="16" t="s">
        <v>2302</v>
      </c>
      <c r="O1317" s="18" t="s">
        <v>3160</v>
      </c>
      <c r="P1317" s="18" t="s">
        <v>2302</v>
      </c>
      <c r="Q1317" s="29" t="str" cm="1">
        <f t="array" ref="Q1317">_xlfn.IFS(
A1317="","",
AND(A1317&lt;&gt;"",B1317=""),"FALTA LANÇAMENTO",
AND(B1317&lt;&gt;"",M1317=""),"FALTA O PEDIDO",
AND(M1317&lt;&gt;"",O1317=""),"FALTA NF",
O1317&lt;&gt;"","CONCLUÍDO")</f>
        <v>CONCLUÍDO</v>
      </c>
      <c r="R1317" s="36"/>
    </row>
    <row r="1318" spans="1:18" hidden="1">
      <c r="A1318" s="16">
        <v>46128</v>
      </c>
      <c r="B1318" s="16">
        <v>46129</v>
      </c>
      <c r="C1318" s="21">
        <v>51519058</v>
      </c>
      <c r="D1318" s="16" t="str">
        <f>IFERROR(VLOOKUP(Tabela5[[#This Row],[PREFIXO ]],Tabela4[#All],2,0),"CENTRO DE CUSTO")</f>
        <v>CENTRO DE CUSTO</v>
      </c>
      <c r="E1318" s="18" t="s">
        <v>67</v>
      </c>
      <c r="F1318" s="21">
        <v>140</v>
      </c>
      <c r="G1318" s="22">
        <v>1610</v>
      </c>
      <c r="H1318" s="22"/>
      <c r="I1318" s="22">
        <f t="shared" si="21"/>
        <v>1610</v>
      </c>
      <c r="J1318" s="18" t="s">
        <v>1113</v>
      </c>
      <c r="K1318" s="18">
        <v>9837449</v>
      </c>
      <c r="L1318" s="18">
        <v>911897</v>
      </c>
      <c r="M1318" s="18" t="s">
        <v>3157</v>
      </c>
      <c r="N1318" s="16" t="s">
        <v>2302</v>
      </c>
      <c r="O1318" s="18" t="s">
        <v>2055</v>
      </c>
      <c r="P1318" s="18" t="s">
        <v>3158</v>
      </c>
      <c r="Q1318" s="29" t="str" cm="1">
        <f t="array" ref="Q1318">_xlfn.IFS(
A1318="","",
AND(A1318&lt;&gt;"",B1318=""),"FALTA LANÇAMENTO",
AND(B1318&lt;&gt;"",M1318=""),"FALTA O PEDIDO",
AND(M1318&lt;&gt;"",O1318=""),"FALTA NF",
O1318&lt;&gt;"","CONCLUÍDO")</f>
        <v>CONCLUÍDO</v>
      </c>
      <c r="R1318" s="36"/>
    </row>
    <row r="1319" spans="1:18" hidden="1">
      <c r="A1319" s="16">
        <v>46128</v>
      </c>
      <c r="B1319" s="16">
        <v>46129</v>
      </c>
      <c r="C1319" s="21">
        <v>13130037</v>
      </c>
      <c r="D1319" s="16" t="str">
        <f>IFERROR(VLOOKUP(Tabela5[[#This Row],[PREFIXO ]],Tabela4[#All],2,0),"CENTRO DE CUSTO")</f>
        <v>PULV AUTOPROP JOHN DEERE M4030</v>
      </c>
      <c r="E1319" s="18" t="s">
        <v>67</v>
      </c>
      <c r="F1319" s="21">
        <v>146</v>
      </c>
      <c r="G1319" s="22">
        <v>1475.16</v>
      </c>
      <c r="H1319" s="22"/>
      <c r="I1319" s="22">
        <f t="shared" si="21"/>
        <v>1475.16</v>
      </c>
      <c r="J1319" s="18" t="s">
        <v>1080</v>
      </c>
      <c r="K1319" s="18">
        <v>9837590</v>
      </c>
      <c r="L1319" s="18">
        <v>911783</v>
      </c>
      <c r="M1319" s="18" t="s">
        <v>3159</v>
      </c>
      <c r="N1319" s="16" t="s">
        <v>2302</v>
      </c>
      <c r="O1319" s="18" t="s">
        <v>3160</v>
      </c>
      <c r="P1319" s="18" t="s">
        <v>2302</v>
      </c>
      <c r="Q1319" s="29" t="str" cm="1">
        <f t="array" ref="Q1319">_xlfn.IFS(
A1319="","",
AND(A1319&lt;&gt;"",B1319=""),"FALTA LANÇAMENTO",
AND(B1319&lt;&gt;"",M1319=""),"FALTA O PEDIDO",
AND(M1319&lt;&gt;"",O1319=""),"FALTA NF",
O1319&lt;&gt;"","CONCLUÍDO")</f>
        <v>CONCLUÍDO</v>
      </c>
      <c r="R1319" s="36"/>
    </row>
    <row r="1320" spans="1:18" hidden="1">
      <c r="A1320" s="16">
        <v>46128</v>
      </c>
      <c r="B1320" s="16">
        <v>46129</v>
      </c>
      <c r="C1320" s="21">
        <v>51521052</v>
      </c>
      <c r="D1320" s="16" t="str">
        <f>IFERROR(VLOOKUP(Tabela5[[#This Row],[PREFIXO ]],Tabela4[#All],2,0),"CENTRO DE CUSTO")</f>
        <v>COLHED ALGODÃO JOHN DEERE CP 690</v>
      </c>
      <c r="E1320" s="18" t="s">
        <v>67</v>
      </c>
      <c r="F1320" s="21">
        <v>141</v>
      </c>
      <c r="G1320" s="22">
        <v>1380</v>
      </c>
      <c r="H1320" s="22"/>
      <c r="I1320" s="22">
        <f t="shared" si="21"/>
        <v>1380</v>
      </c>
      <c r="J1320" s="18" t="s">
        <v>1113</v>
      </c>
      <c r="K1320" s="18">
        <v>9837453</v>
      </c>
      <c r="L1320" s="18">
        <v>911897</v>
      </c>
      <c r="M1320" s="18" t="s">
        <v>3157</v>
      </c>
      <c r="N1320" s="16" t="s">
        <v>2302</v>
      </c>
      <c r="O1320" s="18" t="s">
        <v>2055</v>
      </c>
      <c r="P1320" s="18" t="s">
        <v>3158</v>
      </c>
      <c r="Q1320" s="29" t="str" cm="1">
        <f t="array" ref="Q1320">_xlfn.IFS(
A1320="","",
AND(A1320&lt;&gt;"",B1320=""),"FALTA LANÇAMENTO",
AND(B1320&lt;&gt;"",M1320=""),"FALTA O PEDIDO",
AND(M1320&lt;&gt;"",O1320=""),"FALTA NF",
O1320&lt;&gt;"","CONCLUÍDO")</f>
        <v>CONCLUÍDO</v>
      </c>
      <c r="R1320" s="36"/>
    </row>
    <row r="1321" spans="1:18" hidden="1">
      <c r="A1321" s="16">
        <v>46128</v>
      </c>
      <c r="B1321" s="16">
        <v>46129</v>
      </c>
      <c r="C1321" s="21">
        <v>13130047</v>
      </c>
      <c r="D1321" s="16" t="str">
        <f>IFERROR(VLOOKUP(Tabela5[[#This Row],[PREFIXO ]],Tabela4[#All],2,0),"CENTRO DE CUSTO")</f>
        <v>PULV AUTOPROP JOHN DEERE M4030</v>
      </c>
      <c r="E1321" s="18" t="s">
        <v>67</v>
      </c>
      <c r="F1321" s="21">
        <v>145</v>
      </c>
      <c r="G1321" s="22">
        <v>1259.0999999999999</v>
      </c>
      <c r="H1321" s="22"/>
      <c r="I1321" s="22">
        <f t="shared" si="21"/>
        <v>1259.0999999999999</v>
      </c>
      <c r="J1321" s="18" t="s">
        <v>1080</v>
      </c>
      <c r="K1321" s="18">
        <v>9833536</v>
      </c>
      <c r="L1321" s="18">
        <v>911783</v>
      </c>
      <c r="M1321" s="18" t="s">
        <v>3159</v>
      </c>
      <c r="N1321" s="16" t="s">
        <v>2302</v>
      </c>
      <c r="O1321" s="18" t="s">
        <v>3160</v>
      </c>
      <c r="P1321" s="18" t="s">
        <v>2302</v>
      </c>
      <c r="Q1321" s="29" t="str" cm="1">
        <f t="array" ref="Q1321">_xlfn.IFS(
A1321="","",
AND(A1321&lt;&gt;"",B1321=""),"FALTA LANÇAMENTO",
AND(B1321&lt;&gt;"",M1321=""),"FALTA O PEDIDO",
AND(M1321&lt;&gt;"",O1321=""),"FALTA NF",
O1321&lt;&gt;"","CONCLUÍDO")</f>
        <v>CONCLUÍDO</v>
      </c>
      <c r="R1321" s="36"/>
    </row>
    <row r="1322" spans="1:18" hidden="1">
      <c r="A1322" s="16">
        <v>46128</v>
      </c>
      <c r="B1322" s="16">
        <v>46129</v>
      </c>
      <c r="C1322" s="21">
        <v>13130036</v>
      </c>
      <c r="D1322" s="16" t="str">
        <f>IFERROR(VLOOKUP(Tabela5[[#This Row],[PREFIXO ]],Tabela4[#All],2,0),"CENTRO DE CUSTO")</f>
        <v>PULV AUTOPROP JOHN DEERE M4030</v>
      </c>
      <c r="E1322" s="18" t="s">
        <v>67</v>
      </c>
      <c r="F1322" s="21">
        <v>143</v>
      </c>
      <c r="G1322" s="22">
        <v>787.74</v>
      </c>
      <c r="H1322" s="22"/>
      <c r="I1322" s="22">
        <f t="shared" si="21"/>
        <v>787.74</v>
      </c>
      <c r="J1322" s="18" t="s">
        <v>1080</v>
      </c>
      <c r="K1322" s="18">
        <v>9837529</v>
      </c>
      <c r="L1322" s="18">
        <v>911783</v>
      </c>
      <c r="M1322" s="18" t="s">
        <v>3159</v>
      </c>
      <c r="N1322" s="16" t="s">
        <v>2302</v>
      </c>
      <c r="O1322" s="18" t="s">
        <v>3160</v>
      </c>
      <c r="P1322" s="18" t="s">
        <v>2302</v>
      </c>
      <c r="Q1322" s="29" t="str" cm="1">
        <f t="array" ref="Q1322">_xlfn.IFS(
A1322="","",
AND(A1322&lt;&gt;"",B1322=""),"FALTA LANÇAMENTO",
AND(B1322&lt;&gt;"",M1322=""),"FALTA O PEDIDO",
AND(M1322&lt;&gt;"",O1322=""),"FALTA NF",
O1322&lt;&gt;"","CONCLUÍDO")</f>
        <v>CONCLUÍDO</v>
      </c>
      <c r="R1322" s="36"/>
    </row>
    <row r="1323" spans="1:18" hidden="1">
      <c r="A1323" s="16">
        <v>46128</v>
      </c>
      <c r="B1323" s="16">
        <v>46129</v>
      </c>
      <c r="C1323" s="21">
        <v>61521063</v>
      </c>
      <c r="D1323" s="16" t="str">
        <f>IFERROR(VLOOKUP(Tabela5[[#This Row],[PREFIXO ]],Tabela4[#All],2,0),"CENTRO DE CUSTO")</f>
        <v>CAM ROLL ON/OFF VOLVO VM 330</v>
      </c>
      <c r="E1323" s="18" t="s">
        <v>67</v>
      </c>
      <c r="F1323" s="21">
        <v>135</v>
      </c>
      <c r="G1323" s="22">
        <v>750</v>
      </c>
      <c r="H1323" s="22"/>
      <c r="I1323" s="22">
        <f t="shared" si="21"/>
        <v>750</v>
      </c>
      <c r="J1323" s="18" t="s">
        <v>1085</v>
      </c>
      <c r="K1323" s="18">
        <v>9837587</v>
      </c>
      <c r="L1323" s="18">
        <v>911783</v>
      </c>
      <c r="M1323" s="18" t="s">
        <v>3159</v>
      </c>
      <c r="N1323" s="16" t="s">
        <v>2302</v>
      </c>
      <c r="O1323" s="18" t="s">
        <v>3160</v>
      </c>
      <c r="P1323" s="18" t="s">
        <v>2302</v>
      </c>
      <c r="Q1323" s="29" t="str" cm="1">
        <f t="array" ref="Q1323">_xlfn.IFS(
A1323="","",
AND(A1323&lt;&gt;"",B1323=""),"FALTA LANÇAMENTO",
AND(B1323&lt;&gt;"",M1323=""),"FALTA O PEDIDO",
AND(M1323&lt;&gt;"",O1323=""),"FALTA NF",
O1323&lt;&gt;"","CONCLUÍDO")</f>
        <v>CONCLUÍDO</v>
      </c>
      <c r="R1323" s="36"/>
    </row>
    <row r="1324" spans="1:18" hidden="1">
      <c r="A1324" s="16">
        <v>46128</v>
      </c>
      <c r="B1324" s="16">
        <v>46129</v>
      </c>
      <c r="C1324" s="21">
        <v>31521016</v>
      </c>
      <c r="D1324" s="16" t="str">
        <f>IFERROR(VLOOKUP(Tabela5[[#This Row],[PREFIXO ]],Tabela4[#All],2,0),"CENTRO DE CUSTO")</f>
        <v>PULV AUTOPROP JACTO UNIPORT 3030</v>
      </c>
      <c r="E1324" s="18" t="s">
        <v>67</v>
      </c>
      <c r="F1324" s="21">
        <v>134</v>
      </c>
      <c r="G1324" s="22">
        <v>632</v>
      </c>
      <c r="H1324" s="22"/>
      <c r="I1324" s="22">
        <f t="shared" si="21"/>
        <v>632</v>
      </c>
      <c r="J1324" s="18" t="s">
        <v>1080</v>
      </c>
      <c r="K1324" s="18">
        <v>9837521</v>
      </c>
      <c r="L1324" s="18">
        <v>911783</v>
      </c>
      <c r="M1324" s="18" t="s">
        <v>3159</v>
      </c>
      <c r="N1324" s="16" t="s">
        <v>2302</v>
      </c>
      <c r="O1324" s="18" t="s">
        <v>3160</v>
      </c>
      <c r="P1324" s="18" t="s">
        <v>2302</v>
      </c>
      <c r="Q1324" s="29" t="str" cm="1">
        <f t="array" ref="Q1324">_xlfn.IFS(
A1324="","",
AND(A1324&lt;&gt;"",B1324=""),"FALTA LANÇAMENTO",
AND(B1324&lt;&gt;"",M1324=""),"FALTA O PEDIDO",
AND(M1324&lt;&gt;"",O1324=""),"FALTA NF",
O1324&lt;&gt;"","CONCLUÍDO")</f>
        <v>CONCLUÍDO</v>
      </c>
      <c r="R1324" s="36"/>
    </row>
    <row r="1325" spans="1:18" hidden="1">
      <c r="A1325" s="16">
        <v>46128</v>
      </c>
      <c r="B1325" s="16">
        <v>46129</v>
      </c>
      <c r="C1325" s="21"/>
      <c r="D1325" s="16" t="str">
        <f>IFERROR(VLOOKUP(Tabela5[[#This Row],[PREFIXO ]],Tabela4[#All],2,0),"CENTRO DE CUSTO")</f>
        <v>CENTRO DE CUSTO</v>
      </c>
      <c r="E1325" s="18" t="s">
        <v>224</v>
      </c>
      <c r="F1325" s="21">
        <v>2659</v>
      </c>
      <c r="G1325" s="22">
        <v>2970</v>
      </c>
      <c r="H1325" s="22"/>
      <c r="I1325" s="22">
        <f t="shared" si="21"/>
        <v>2970</v>
      </c>
      <c r="J1325" s="18" t="s">
        <v>1123</v>
      </c>
      <c r="K1325" s="18"/>
      <c r="L1325" s="18" t="s">
        <v>1095</v>
      </c>
      <c r="M1325" s="18" t="s">
        <v>1095</v>
      </c>
      <c r="N1325" s="16" t="s">
        <v>1095</v>
      </c>
      <c r="O1325" s="18" t="s">
        <v>1095</v>
      </c>
      <c r="P1325" s="16" t="s">
        <v>1095</v>
      </c>
      <c r="Q1325" s="29" t="str" cm="1">
        <f t="array" ref="Q1325">_xlfn.IFS(
A1325="","",
AND(A1325&lt;&gt;"",B1325=""),"FALTA LANÇAMENTO",
AND(B1325&lt;&gt;"",M1325=""),"FALTA O PEDIDO",
AND(M1325&lt;&gt;"",O1325=""),"FALTA NF",
O1325&lt;&gt;"","CONCLUÍDO")</f>
        <v>CONCLUÍDO</v>
      </c>
      <c r="R1325" s="36"/>
    </row>
    <row r="1326" spans="1:18" hidden="1">
      <c r="A1326" s="16">
        <v>46128</v>
      </c>
      <c r="B1326" s="16">
        <v>46129</v>
      </c>
      <c r="C1326" s="21">
        <v>500580100</v>
      </c>
      <c r="D1326" s="16" t="str">
        <f>IFERROR(VLOOKUP(Tabela5[[#This Row],[PREFIXO ]],Tabela4[#All],2,0),"CENTRO DE CUSTO")</f>
        <v>Autopropelidos</v>
      </c>
      <c r="E1326" s="18" t="s">
        <v>68</v>
      </c>
      <c r="F1326" s="21">
        <v>2175</v>
      </c>
      <c r="G1326" s="22">
        <v>570</v>
      </c>
      <c r="H1326" s="22"/>
      <c r="I1326" s="22">
        <f t="shared" si="21"/>
        <v>570</v>
      </c>
      <c r="J1326" s="18" t="s">
        <v>1265</v>
      </c>
      <c r="K1326" s="18">
        <v>5020411</v>
      </c>
      <c r="L1326" s="18">
        <v>910868</v>
      </c>
      <c r="M1326" s="18" t="s">
        <v>3161</v>
      </c>
      <c r="N1326" s="16" t="s">
        <v>2302</v>
      </c>
      <c r="O1326" s="18" t="s">
        <v>3162</v>
      </c>
      <c r="P1326" s="18" t="s">
        <v>2302</v>
      </c>
      <c r="Q1326" s="29" t="str" cm="1">
        <f t="array" ref="Q1326">_xlfn.IFS(
A1326="","",
AND(A1326&lt;&gt;"",B1326=""),"FALTA LANÇAMENTO",
AND(B1326&lt;&gt;"",M1326=""),"FALTA O PEDIDO",
AND(M1326&lt;&gt;"",O1326=""),"FALTA NF",
O1326&lt;&gt;"","CONCLUÍDO")</f>
        <v>CONCLUÍDO</v>
      </c>
      <c r="R1326" s="36"/>
    </row>
    <row r="1327" spans="1:18" hidden="1">
      <c r="A1327" s="16">
        <v>46128</v>
      </c>
      <c r="B1327" s="16">
        <v>46129</v>
      </c>
      <c r="C1327" s="21">
        <v>500580325</v>
      </c>
      <c r="D1327" s="16" t="str">
        <f>IFERROR(VLOOKUP(Tabela5[[#This Row],[PREFIXO ]],Tabela4[#All],2,0),"CENTRO DE CUSTO")</f>
        <v>Colheitad. Alg Auto</v>
      </c>
      <c r="E1327" s="18" t="s">
        <v>249</v>
      </c>
      <c r="F1327" s="21">
        <v>236</v>
      </c>
      <c r="G1327" s="22">
        <v>6825</v>
      </c>
      <c r="H1327" s="22"/>
      <c r="I1327" s="22">
        <f t="shared" si="21"/>
        <v>6825</v>
      </c>
      <c r="J1327" s="18" t="s">
        <v>1123</v>
      </c>
      <c r="K1327" s="18">
        <v>5020412</v>
      </c>
      <c r="L1327" s="18">
        <v>911971</v>
      </c>
      <c r="M1327" s="18" t="s">
        <v>3163</v>
      </c>
      <c r="N1327" s="16" t="s">
        <v>2302</v>
      </c>
      <c r="O1327" s="18" t="s">
        <v>2478</v>
      </c>
      <c r="P1327" s="18" t="s">
        <v>1526</v>
      </c>
      <c r="Q1327" s="29" t="str" cm="1">
        <f t="array" ref="Q1327">_xlfn.IFS(
A1327="","",
AND(A1327&lt;&gt;"",B1327=""),"FALTA LANÇAMENTO",
AND(B1327&lt;&gt;"",M1327=""),"FALTA O PEDIDO",
AND(M1327&lt;&gt;"",O1327=""),"FALTA NF",
O1327&lt;&gt;"","CONCLUÍDO")</f>
        <v>CONCLUÍDO</v>
      </c>
      <c r="R1327" s="36"/>
    </row>
    <row r="1328" spans="1:18" hidden="1">
      <c r="A1328" s="16">
        <v>46129</v>
      </c>
      <c r="B1328" s="16">
        <v>46129</v>
      </c>
      <c r="C1328" s="21">
        <v>81521204</v>
      </c>
      <c r="D1328" s="16" t="str">
        <f>IFERROR(VLOOKUP(Tabela5[[#This Row],[PREFIXO ]],Tabela4[#All],2,0),"CENTRO DE CUSTO")</f>
        <v>SEMI REBOQUE PRANCHA FACCHINI SRCT 4E</v>
      </c>
      <c r="E1328" s="18" t="s">
        <v>24</v>
      </c>
      <c r="F1328" s="21" t="s">
        <v>3164</v>
      </c>
      <c r="G1328" s="22">
        <v>6959.7</v>
      </c>
      <c r="H1328" s="22">
        <v>9969.44</v>
      </c>
      <c r="I1328" s="22">
        <f t="shared" si="21"/>
        <v>16929.14</v>
      </c>
      <c r="J1328" s="18" t="s">
        <v>1085</v>
      </c>
      <c r="K1328" s="18">
        <v>9838602</v>
      </c>
      <c r="L1328" s="18">
        <v>912080</v>
      </c>
      <c r="M1328" s="18" t="s">
        <v>3165</v>
      </c>
      <c r="N1328" s="16" t="s">
        <v>2554</v>
      </c>
      <c r="O1328" s="18" t="s">
        <v>3166</v>
      </c>
      <c r="P1328" s="18" t="s">
        <v>3034</v>
      </c>
      <c r="Q1328" s="29" t="str" cm="1">
        <f t="array" ref="Q1328">_xlfn.IFS(
A1328="","",
AND(A1328&lt;&gt;"",B1328=""),"FALTA LANÇAMENTO",
AND(B1328&lt;&gt;"",M1328=""),"FALTA O PEDIDO",
AND(M1328&lt;&gt;"",O1328=""),"FALTA NF",
O1328&lt;&gt;"","CONCLUÍDO")</f>
        <v>CONCLUÍDO</v>
      </c>
      <c r="R1328" s="36"/>
    </row>
    <row r="1329" spans="1:18" hidden="1">
      <c r="A1329" s="16">
        <v>46129</v>
      </c>
      <c r="B1329" s="16">
        <v>46129</v>
      </c>
      <c r="C1329" s="21">
        <v>11521020</v>
      </c>
      <c r="D1329" s="16" t="str">
        <f>IFERROR(VLOOKUP(Tabela5[[#This Row],[PREFIXO ]],Tabela4[#All],2,0),"CENTRO DE CUSTO")</f>
        <v>TRAT PN MED CASE PUMA 140</v>
      </c>
      <c r="E1329" s="18" t="s">
        <v>96</v>
      </c>
      <c r="F1329" s="21" t="s">
        <v>3167</v>
      </c>
      <c r="G1329" s="22">
        <v>198</v>
      </c>
      <c r="H1329" s="22">
        <v>212.1</v>
      </c>
      <c r="I1329" s="22">
        <f t="shared" si="21"/>
        <v>410.1</v>
      </c>
      <c r="J1329" s="18" t="s">
        <v>1199</v>
      </c>
      <c r="K1329" s="18">
        <v>9838625</v>
      </c>
      <c r="L1329" s="18">
        <v>912215</v>
      </c>
      <c r="M1329" s="18" t="s">
        <v>3168</v>
      </c>
      <c r="N1329" s="16" t="s">
        <v>2554</v>
      </c>
      <c r="O1329" s="18" t="s">
        <v>3169</v>
      </c>
      <c r="P1329" s="18" t="s">
        <v>3034</v>
      </c>
      <c r="Q1329" s="29" t="str" cm="1">
        <f t="array" ref="Q1329">_xlfn.IFS(
A1329="","",
AND(A1329&lt;&gt;"",B1329=""),"FALTA LANÇAMENTO",
AND(B1329&lt;&gt;"",M1329=""),"FALTA O PEDIDO",
AND(M1329&lt;&gt;"",O1329=""),"FALTA NF",
O1329&lt;&gt;"","CONCLUÍDO")</f>
        <v>CONCLUÍDO</v>
      </c>
      <c r="R1329" s="36"/>
    </row>
    <row r="1330" spans="1:18" hidden="1">
      <c r="A1330" s="16">
        <v>46129</v>
      </c>
      <c r="B1330" s="16">
        <v>46129</v>
      </c>
      <c r="C1330" s="21">
        <v>13100039</v>
      </c>
      <c r="D1330" s="16" t="str">
        <f>IFERROR(VLOOKUP(Tabela5[[#This Row],[PREFIXO ]],Tabela4[#All],2,0),"CENTRO DE CUSTO")</f>
        <v>CENTRO DE CUSTO</v>
      </c>
      <c r="E1330" s="18" t="s">
        <v>359</v>
      </c>
      <c r="F1330" s="21" t="s">
        <v>3024</v>
      </c>
      <c r="G1330" s="22">
        <v>8875</v>
      </c>
      <c r="H1330" s="22"/>
      <c r="I1330" s="22">
        <f t="shared" si="21"/>
        <v>8875</v>
      </c>
      <c r="J1330" s="18" t="s">
        <v>1199</v>
      </c>
      <c r="K1330" s="18">
        <v>9838543</v>
      </c>
      <c r="L1330" s="18">
        <v>912331</v>
      </c>
      <c r="M1330" s="18" t="s">
        <v>3170</v>
      </c>
      <c r="N1330" s="16" t="s">
        <v>2554</v>
      </c>
      <c r="O1330" s="18" t="s">
        <v>2572</v>
      </c>
      <c r="P1330" s="18" t="s">
        <v>2556</v>
      </c>
      <c r="Q1330" s="29" t="str" cm="1">
        <f t="array" ref="Q1330">_xlfn.IFS(
A1330="","",
AND(A1330&lt;&gt;"",B1330=""),"FALTA LANÇAMENTO",
AND(B1330&lt;&gt;"",M1330=""),"FALTA O PEDIDO",
AND(M1330&lt;&gt;"",O1330=""),"FALTA NF",
O1330&lt;&gt;"","CONCLUÍDO")</f>
        <v>CONCLUÍDO</v>
      </c>
      <c r="R1330" s="36"/>
    </row>
    <row r="1331" spans="1:18" hidden="1">
      <c r="A1331" s="16">
        <v>46129</v>
      </c>
      <c r="B1331" s="16">
        <v>46129</v>
      </c>
      <c r="C1331" s="21">
        <v>11522007</v>
      </c>
      <c r="D1331" s="16" t="str">
        <f>IFERROR(VLOOKUP(Tabela5[[#This Row],[PREFIXO ]],Tabela4[#All],2,0),"CENTRO DE CUSTO")</f>
        <v>TRAT PN MED N.HOLLAND 7630</v>
      </c>
      <c r="E1331" s="18" t="s">
        <v>359</v>
      </c>
      <c r="F1331" s="21" t="s">
        <v>2041</v>
      </c>
      <c r="G1331" s="22">
        <v>1780.38</v>
      </c>
      <c r="H1331" s="22"/>
      <c r="I1331" s="22">
        <f t="shared" si="21"/>
        <v>1780.38</v>
      </c>
      <c r="J1331" s="18" t="s">
        <v>1199</v>
      </c>
      <c r="K1331" s="18">
        <v>9838453</v>
      </c>
      <c r="L1331" s="18">
        <v>912331</v>
      </c>
      <c r="M1331" s="18" t="s">
        <v>3170</v>
      </c>
      <c r="N1331" s="16" t="s">
        <v>2554</v>
      </c>
      <c r="O1331" s="18" t="s">
        <v>2572</v>
      </c>
      <c r="P1331" s="18" t="s">
        <v>2556</v>
      </c>
      <c r="Q1331" s="29" t="str" cm="1">
        <f t="array" ref="Q1331">_xlfn.IFS(
A1331="","",
AND(A1331&lt;&gt;"",B1331=""),"FALTA LANÇAMENTO",
AND(B1331&lt;&gt;"",M1331=""),"FALTA O PEDIDO",
AND(M1331&lt;&gt;"",O1331=""),"FALTA NF",
O1331&lt;&gt;"","CONCLUÍDO")</f>
        <v>CONCLUÍDO</v>
      </c>
      <c r="R1331" s="36"/>
    </row>
    <row r="1332" spans="1:18" hidden="1">
      <c r="A1332" s="16">
        <v>46129</v>
      </c>
      <c r="B1332" s="16">
        <v>46129</v>
      </c>
      <c r="C1332" s="21">
        <v>15010004</v>
      </c>
      <c r="D1332" s="16" t="str">
        <f>IFERROR(VLOOKUP(Tabela5[[#This Row],[PREFIXO ]],Tabela4[#All],2,0),"CENTRO DE CUSTO")</f>
        <v>TRAT PN MED JOHN DEERE 6145J</v>
      </c>
      <c r="E1332" s="18" t="s">
        <v>359</v>
      </c>
      <c r="F1332" s="21" t="s">
        <v>3171</v>
      </c>
      <c r="G1332" s="22">
        <v>1740.6</v>
      </c>
      <c r="H1332" s="22"/>
      <c r="I1332" s="22">
        <f t="shared" si="21"/>
        <v>1740.6</v>
      </c>
      <c r="J1332" s="18" t="s">
        <v>1199</v>
      </c>
      <c r="K1332" s="18">
        <v>9838458</v>
      </c>
      <c r="L1332" s="18">
        <v>912331</v>
      </c>
      <c r="M1332" s="18" t="s">
        <v>3170</v>
      </c>
      <c r="N1332" s="16" t="s">
        <v>2554</v>
      </c>
      <c r="O1332" s="18" t="s">
        <v>2572</v>
      </c>
      <c r="P1332" s="18" t="s">
        <v>2556</v>
      </c>
      <c r="Q1332" s="29" t="str" cm="1">
        <f t="array" ref="Q1332">_xlfn.IFS(
A1332="","",
AND(A1332&lt;&gt;"",B1332=""),"FALTA LANÇAMENTO",
AND(B1332&lt;&gt;"",M1332=""),"FALTA O PEDIDO",
AND(M1332&lt;&gt;"",O1332=""),"FALTA NF",
O1332&lt;&gt;"","CONCLUÍDO")</f>
        <v>CONCLUÍDO</v>
      </c>
      <c r="R1332" s="36"/>
    </row>
    <row r="1333" spans="1:18" hidden="1">
      <c r="A1333" s="16">
        <v>46129</v>
      </c>
      <c r="B1333" s="16">
        <v>46129</v>
      </c>
      <c r="C1333" s="21">
        <v>11521020</v>
      </c>
      <c r="D1333" s="16" t="str">
        <f>IFERROR(VLOOKUP(Tabela5[[#This Row],[PREFIXO ]],Tabela4[#All],2,0),"CENTRO DE CUSTO")</f>
        <v>TRAT PN MED CASE PUMA 140</v>
      </c>
      <c r="E1333" s="18" t="s">
        <v>359</v>
      </c>
      <c r="F1333" s="21" t="s">
        <v>3172</v>
      </c>
      <c r="G1333" s="22">
        <v>1588.5</v>
      </c>
      <c r="H1333" s="22"/>
      <c r="I1333" s="22">
        <f t="shared" si="21"/>
        <v>1588.5</v>
      </c>
      <c r="J1333" s="18" t="s">
        <v>1199</v>
      </c>
      <c r="K1333" s="18">
        <v>9838541</v>
      </c>
      <c r="L1333" s="18">
        <v>912331</v>
      </c>
      <c r="M1333" s="18" t="s">
        <v>3170</v>
      </c>
      <c r="N1333" s="16" t="s">
        <v>2554</v>
      </c>
      <c r="O1333" s="18" t="s">
        <v>2572</v>
      </c>
      <c r="P1333" s="18" t="s">
        <v>2556</v>
      </c>
      <c r="Q1333" s="29" t="str" cm="1">
        <f t="array" ref="Q1333">_xlfn.IFS(
A1333="","",
AND(A1333&lt;&gt;"",B1333=""),"FALTA LANÇAMENTO",
AND(B1333&lt;&gt;"",M1333=""),"FALTA O PEDIDO",
AND(M1333&lt;&gt;"",O1333=""),"FALTA NF",
O1333&lt;&gt;"","CONCLUÍDO")</f>
        <v>CONCLUÍDO</v>
      </c>
      <c r="R1333" s="36"/>
    </row>
    <row r="1334" spans="1:18" hidden="1">
      <c r="A1334" s="16">
        <v>46129</v>
      </c>
      <c r="B1334" s="16">
        <v>46129</v>
      </c>
      <c r="C1334" s="21">
        <v>11521023</v>
      </c>
      <c r="D1334" s="16" t="str">
        <f>IFERROR(VLOOKUP(Tabela5[[#This Row],[PREFIXO ]],Tabela4[#All],2,0),"CENTRO DE CUSTO")</f>
        <v>TRAT PN MED CASE PUMA 140</v>
      </c>
      <c r="E1334" s="18" t="s">
        <v>359</v>
      </c>
      <c r="F1334" s="21" t="s">
        <v>2820</v>
      </c>
      <c r="G1334" s="22">
        <v>1372</v>
      </c>
      <c r="H1334" s="22"/>
      <c r="I1334" s="22">
        <f t="shared" si="21"/>
        <v>1372</v>
      </c>
      <c r="J1334" s="18" t="s">
        <v>1199</v>
      </c>
      <c r="K1334" s="18">
        <v>9838459</v>
      </c>
      <c r="L1334" s="18">
        <v>912331</v>
      </c>
      <c r="M1334" s="18" t="s">
        <v>3170</v>
      </c>
      <c r="N1334" s="16" t="s">
        <v>2554</v>
      </c>
      <c r="O1334" s="18" t="s">
        <v>2572</v>
      </c>
      <c r="P1334" s="18" t="s">
        <v>2556</v>
      </c>
      <c r="Q1334" s="29" t="str" cm="1">
        <f t="array" ref="Q1334">_xlfn.IFS(
A1334="","",
AND(A1334&lt;&gt;"",B1334=""),"FALTA LANÇAMENTO",
AND(B1334&lt;&gt;"",M1334=""),"FALTA O PEDIDO",
AND(M1334&lt;&gt;"",O1334=""),"FALTA NF",
O1334&lt;&gt;"","CONCLUÍDO")</f>
        <v>CONCLUÍDO</v>
      </c>
      <c r="R1334" s="36"/>
    </row>
    <row r="1335" spans="1:18" hidden="1">
      <c r="A1335" s="16">
        <v>46129</v>
      </c>
      <c r="B1335" s="16">
        <v>46129</v>
      </c>
      <c r="C1335" s="21">
        <v>11521009</v>
      </c>
      <c r="D1335" s="16" t="str">
        <f>IFERROR(VLOOKUP(Tabela5[[#This Row],[PREFIXO ]],Tabela4[#All],2,0),"CENTRO DE CUSTO")</f>
        <v>TRAT PN MED CASE PUMA 140</v>
      </c>
      <c r="E1335" s="18" t="s">
        <v>359</v>
      </c>
      <c r="F1335" s="21" t="s">
        <v>2493</v>
      </c>
      <c r="G1335" s="22">
        <v>1161.9000000000001</v>
      </c>
      <c r="H1335" s="22"/>
      <c r="I1335" s="22">
        <f t="shared" si="21"/>
        <v>1161.9000000000001</v>
      </c>
      <c r="J1335" s="18" t="s">
        <v>1199</v>
      </c>
      <c r="K1335" s="18">
        <v>9838544</v>
      </c>
      <c r="L1335" s="18">
        <v>911828</v>
      </c>
      <c r="M1335" s="18" t="s">
        <v>3173</v>
      </c>
      <c r="N1335" s="16" t="s">
        <v>2302</v>
      </c>
      <c r="O1335" s="18" t="s">
        <v>1758</v>
      </c>
      <c r="P1335" s="18" t="s">
        <v>2302</v>
      </c>
      <c r="Q1335" s="29" t="str" cm="1">
        <f t="array" ref="Q1335">_xlfn.IFS(
A1335="","",
AND(A1335&lt;&gt;"",B1335=""),"FALTA LANÇAMENTO",
AND(B1335&lt;&gt;"",M1335=""),"FALTA O PEDIDO",
AND(M1335&lt;&gt;"",O1335=""),"FALTA NF",
O1335&lt;&gt;"","CONCLUÍDO")</f>
        <v>CONCLUÍDO</v>
      </c>
      <c r="R1335" s="36"/>
    </row>
    <row r="1336" spans="1:18" hidden="1">
      <c r="A1336" s="16">
        <v>46129</v>
      </c>
      <c r="B1336" s="16">
        <v>46129</v>
      </c>
      <c r="C1336" s="21">
        <v>903622</v>
      </c>
      <c r="D1336" s="16" t="str">
        <f>IFERROR(VLOOKUP(Tabela5[[#This Row],[PREFIXO ]],Tabela4[#All],2,0),"CENTRO DE CUSTO")</f>
        <v>GRUPO GERADOR STEMAC 75KVA</v>
      </c>
      <c r="E1336" s="18" t="s">
        <v>359</v>
      </c>
      <c r="F1336" s="21" t="s">
        <v>1772</v>
      </c>
      <c r="G1336" s="22">
        <v>935</v>
      </c>
      <c r="H1336" s="22"/>
      <c r="I1336" s="22">
        <f t="shared" si="21"/>
        <v>935</v>
      </c>
      <c r="J1336" s="18" t="s">
        <v>1199</v>
      </c>
      <c r="K1336" s="18">
        <v>9838457</v>
      </c>
      <c r="L1336" s="18">
        <v>912331</v>
      </c>
      <c r="M1336" s="18" t="s">
        <v>3170</v>
      </c>
      <c r="N1336" s="16" t="s">
        <v>2554</v>
      </c>
      <c r="O1336" s="18" t="s">
        <v>2572</v>
      </c>
      <c r="P1336" s="18" t="s">
        <v>2556</v>
      </c>
      <c r="Q1336" s="29" t="str" cm="1">
        <f t="array" ref="Q1336">_xlfn.IFS(
A1336="","",
AND(A1336&lt;&gt;"",B1336=""),"FALTA LANÇAMENTO",
AND(B1336&lt;&gt;"",M1336=""),"FALTA O PEDIDO",
AND(M1336&lt;&gt;"",O1336=""),"FALTA NF",
O1336&lt;&gt;"","CONCLUÍDO")</f>
        <v>CONCLUÍDO</v>
      </c>
      <c r="R1336" s="36"/>
    </row>
    <row r="1337" spans="1:18" hidden="1">
      <c r="A1337" s="16">
        <v>46129</v>
      </c>
      <c r="B1337" s="16">
        <v>46129</v>
      </c>
      <c r="C1337" s="21">
        <v>61521039</v>
      </c>
      <c r="D1337" s="16" t="str">
        <f>IFERROR(VLOOKUP(Tabela5[[#This Row],[PREFIXO ]],Tabela4[#All],2,0),"CENTRO DE CUSTO")</f>
        <v>CAM MUNCK MERC BENZ ATEGO 1719</v>
      </c>
      <c r="E1337" s="18" t="s">
        <v>124</v>
      </c>
      <c r="F1337" s="21">
        <v>545</v>
      </c>
      <c r="G1337" s="22">
        <v>5760</v>
      </c>
      <c r="H1337" s="22">
        <v>1452.8</v>
      </c>
      <c r="I1337" s="22">
        <f t="shared" si="21"/>
        <v>7212.8</v>
      </c>
      <c r="J1337" s="18" t="s">
        <v>1085</v>
      </c>
      <c r="K1337" s="18">
        <v>9838612</v>
      </c>
      <c r="L1337" s="18">
        <v>912233</v>
      </c>
      <c r="M1337" s="18" t="s">
        <v>3174</v>
      </c>
      <c r="N1337" s="16" t="s">
        <v>2554</v>
      </c>
      <c r="O1337" s="18" t="s">
        <v>3175</v>
      </c>
      <c r="P1337" s="18" t="s">
        <v>3176</v>
      </c>
      <c r="Q1337" s="29" t="str" cm="1">
        <f t="array" ref="Q1337">_xlfn.IFS(
A1337="","",
AND(A1337&lt;&gt;"",B1337=""),"FALTA LANÇAMENTO",
AND(B1337&lt;&gt;"",M1337=""),"FALTA O PEDIDO",
AND(M1337&lt;&gt;"",O1337=""),"FALTA NF",
O1337&lt;&gt;"","CONCLUÍDO")</f>
        <v>CONCLUÍDO</v>
      </c>
      <c r="R1337" s="36"/>
    </row>
    <row r="1338" spans="1:18" hidden="1">
      <c r="A1338" s="16">
        <v>46129</v>
      </c>
      <c r="B1338" s="16">
        <v>46129</v>
      </c>
      <c r="C1338" s="21">
        <v>11040021</v>
      </c>
      <c r="D1338" s="16" t="str">
        <f>IFERROR(VLOOKUP(Tabela5[[#This Row],[PREFIXO ]],Tabela4[#All],2,0),"CENTRO DE CUSTO")</f>
        <v>CAV MEC EXT PES SCANIA R500</v>
      </c>
      <c r="E1338" s="18" t="s">
        <v>124</v>
      </c>
      <c r="F1338" s="21">
        <v>550</v>
      </c>
      <c r="G1338" s="22">
        <v>4497.6000000000004</v>
      </c>
      <c r="H1338" s="22"/>
      <c r="I1338" s="22">
        <f t="shared" si="21"/>
        <v>4497.6000000000004</v>
      </c>
      <c r="J1338" s="18" t="s">
        <v>1085</v>
      </c>
      <c r="K1338" s="18">
        <v>9838614</v>
      </c>
      <c r="L1338" s="18">
        <v>911982</v>
      </c>
      <c r="M1338" s="18" t="s">
        <v>3177</v>
      </c>
      <c r="N1338" s="16" t="s">
        <v>2302</v>
      </c>
      <c r="O1338" s="18" t="s">
        <v>3178</v>
      </c>
      <c r="P1338" s="18" t="s">
        <v>3179</v>
      </c>
      <c r="Q1338" s="29" t="str" cm="1">
        <f t="array" ref="Q1338">_xlfn.IFS(
A1338="","",
AND(A1338&lt;&gt;"",B1338=""),"FALTA LANÇAMENTO",
AND(B1338&lt;&gt;"",M1338=""),"FALTA O PEDIDO",
AND(M1338&lt;&gt;"",O1338=""),"FALTA NF",
O1338&lt;&gt;"","CONCLUÍDO")</f>
        <v>CONCLUÍDO</v>
      </c>
      <c r="R1338" s="36"/>
    </row>
    <row r="1339" spans="1:18" hidden="1">
      <c r="A1339" s="16">
        <v>46129</v>
      </c>
      <c r="B1339" s="16">
        <v>46129</v>
      </c>
      <c r="C1339" s="21">
        <v>12060002</v>
      </c>
      <c r="D1339" s="16" t="str">
        <f>IFERROR(VLOOKUP(Tabela5[[#This Row],[PREFIXO ]],Tabela4[#All],2,0),"CENTRO DE CUSTO")</f>
        <v>ONIB RODOVIÁRIO MARCOPOLO NEOBUS MEGA</v>
      </c>
      <c r="E1339" s="18" t="s">
        <v>124</v>
      </c>
      <c r="F1339" s="21">
        <v>548</v>
      </c>
      <c r="G1339" s="22">
        <v>3244.8</v>
      </c>
      <c r="H1339" s="22"/>
      <c r="I1339" s="22">
        <f t="shared" si="21"/>
        <v>3244.8</v>
      </c>
      <c r="J1339" s="18" t="s">
        <v>1085</v>
      </c>
      <c r="K1339" s="18">
        <v>9838617</v>
      </c>
      <c r="L1339" s="18">
        <v>911982</v>
      </c>
      <c r="M1339" s="18" t="s">
        <v>3177</v>
      </c>
      <c r="N1339" s="16" t="s">
        <v>2302</v>
      </c>
      <c r="O1339" s="18" t="s">
        <v>3178</v>
      </c>
      <c r="P1339" s="18" t="s">
        <v>3179</v>
      </c>
      <c r="Q1339" s="29" t="str" cm="1">
        <f t="array" ref="Q1339">_xlfn.IFS(
A1339="","",
AND(A1339&lt;&gt;"",B1339=""),"FALTA LANÇAMENTO",
AND(B1339&lt;&gt;"",M1339=""),"FALTA O PEDIDO",
AND(M1339&lt;&gt;"",O1339=""),"FALTA NF",
O1339&lt;&gt;"","CONCLUÍDO")</f>
        <v>CONCLUÍDO</v>
      </c>
      <c r="R1339" s="36"/>
    </row>
    <row r="1340" spans="1:18" hidden="1">
      <c r="A1340" s="16">
        <v>46129</v>
      </c>
      <c r="B1340" s="16">
        <v>46129</v>
      </c>
      <c r="C1340" s="21">
        <v>61521077</v>
      </c>
      <c r="D1340" s="16" t="str">
        <f>IFERROR(VLOOKUP(Tabela5[[#This Row],[PREFIXO ]],Tabela4[#All],2,0),"CENTRO DE CUSTO")</f>
        <v>CAM PIPA BOMB VOLVO VM 330</v>
      </c>
      <c r="E1340" s="18" t="s">
        <v>124</v>
      </c>
      <c r="F1340" s="21">
        <v>547</v>
      </c>
      <c r="G1340" s="22">
        <v>2188.8000000000002</v>
      </c>
      <c r="H1340" s="22"/>
      <c r="I1340" s="22">
        <f t="shared" si="21"/>
        <v>2188.8000000000002</v>
      </c>
      <c r="J1340" s="18" t="s">
        <v>1085</v>
      </c>
      <c r="K1340" s="18">
        <v>9838608</v>
      </c>
      <c r="L1340" s="18">
        <v>911982</v>
      </c>
      <c r="M1340" s="18" t="s">
        <v>3177</v>
      </c>
      <c r="N1340" s="16" t="s">
        <v>2302</v>
      </c>
      <c r="O1340" s="18" t="s">
        <v>3178</v>
      </c>
      <c r="P1340" s="18" t="s">
        <v>3179</v>
      </c>
      <c r="Q1340" s="29" t="str" cm="1">
        <f t="array" ref="Q1340">_xlfn.IFS(
A1340="","",
AND(A1340&lt;&gt;"",B1340=""),"FALTA LANÇAMENTO",
AND(B1340&lt;&gt;"",M1340=""),"FALTA O PEDIDO",
AND(M1340&lt;&gt;"",O1340=""),"FALTA NF",
O1340&lt;&gt;"","CONCLUÍDO")</f>
        <v>CONCLUÍDO</v>
      </c>
      <c r="R1340" s="36"/>
    </row>
    <row r="1341" spans="1:18" hidden="1">
      <c r="A1341" s="16">
        <v>46129</v>
      </c>
      <c r="B1341" s="16">
        <v>46129</v>
      </c>
      <c r="C1341" s="21">
        <v>61521083</v>
      </c>
      <c r="D1341" s="16" t="str">
        <f>IFERROR(VLOOKUP(Tabela5[[#This Row],[PREFIXO ]],Tabela4[#All],2,0),"CENTRO DE CUSTO")</f>
        <v>CAM COMBOIO VOLVO VM 330</v>
      </c>
      <c r="E1341" s="18" t="s">
        <v>124</v>
      </c>
      <c r="F1341" s="21">
        <v>546</v>
      </c>
      <c r="G1341" s="22">
        <v>2188.8000000000002</v>
      </c>
      <c r="H1341" s="22"/>
      <c r="I1341" s="22">
        <f t="shared" si="21"/>
        <v>2188.8000000000002</v>
      </c>
      <c r="J1341" s="18" t="s">
        <v>1085</v>
      </c>
      <c r="K1341" s="18">
        <v>9838610</v>
      </c>
      <c r="L1341" s="18">
        <v>911982</v>
      </c>
      <c r="M1341" s="18" t="s">
        <v>3177</v>
      </c>
      <c r="N1341" s="16" t="s">
        <v>2302</v>
      </c>
      <c r="O1341" s="18" t="s">
        <v>3178</v>
      </c>
      <c r="P1341" s="18" t="s">
        <v>3179</v>
      </c>
      <c r="Q1341" s="29" t="str" cm="1">
        <f t="array" ref="Q1341">_xlfn.IFS(
A1341="","",
AND(A1341&lt;&gt;"",B1341=""),"FALTA LANÇAMENTO",
AND(B1341&lt;&gt;"",M1341=""),"FALTA O PEDIDO",
AND(M1341&lt;&gt;"",O1341=""),"FALTA NF",
O1341&lt;&gt;"","CONCLUÍDO")</f>
        <v>CONCLUÍDO</v>
      </c>
      <c r="R1341" s="36"/>
    </row>
    <row r="1342" spans="1:18" hidden="1">
      <c r="A1342" s="16">
        <v>46129</v>
      </c>
      <c r="B1342" s="16">
        <v>46133</v>
      </c>
      <c r="C1342" s="21">
        <v>61521080</v>
      </c>
      <c r="D1342" s="16" t="str">
        <f>IFERROR(VLOOKUP(Tabela5[[#This Row],[PREFIXO ]],Tabela4[#All],2,0),"CENTRO DE CUSTO")</f>
        <v>CAV MEC EXT PES VOLVO FH 540</v>
      </c>
      <c r="E1342" s="18" t="s">
        <v>353</v>
      </c>
      <c r="F1342" s="21">
        <v>3497197</v>
      </c>
      <c r="G1342" s="22">
        <v>4393.0200000000004</v>
      </c>
      <c r="H1342" s="22">
        <v>8398.26</v>
      </c>
      <c r="I1342" s="22">
        <f t="shared" si="21"/>
        <v>12791.28</v>
      </c>
      <c r="J1342" s="18" t="s">
        <v>1085</v>
      </c>
      <c r="K1342" s="18" t="s">
        <v>3180</v>
      </c>
      <c r="L1342" s="18">
        <v>912407</v>
      </c>
      <c r="M1342" s="18" t="s">
        <v>3181</v>
      </c>
      <c r="N1342" s="16" t="s">
        <v>2866</v>
      </c>
      <c r="O1342" s="18" t="s">
        <v>3182</v>
      </c>
      <c r="P1342" s="18" t="s">
        <v>3027</v>
      </c>
      <c r="Q1342" s="29" t="str" cm="1">
        <f t="array" ref="Q1342">_xlfn.IFS(
A1342="","",
AND(A1342&lt;&gt;"",B1342=""),"FALTA LANÇAMENTO",
AND(B1342&lt;&gt;"",M1342=""),"FALTA O PEDIDO",
AND(M1342&lt;&gt;"",O1342=""),"FALTA NF",
O1342&lt;&gt;"","CONCLUÍDO")</f>
        <v>CONCLUÍDO</v>
      </c>
      <c r="R1342" s="36"/>
    </row>
    <row r="1343" spans="1:18" hidden="1">
      <c r="A1343" s="16">
        <v>46129</v>
      </c>
      <c r="B1343" s="16">
        <v>46129</v>
      </c>
      <c r="C1343" s="21">
        <v>41521066</v>
      </c>
      <c r="D1343" s="16" t="str">
        <f>IFERROR(VLOOKUP(Tabela5[[#This Row],[PREFIXO ]],Tabela4[#All],2,0),"CENTRO DE CUSTO")</f>
        <v>MICROONIBUS SPRINTER 417 CDI K42B</v>
      </c>
      <c r="E1343" s="18" t="s">
        <v>110</v>
      </c>
      <c r="F1343" s="21">
        <v>8681</v>
      </c>
      <c r="G1343" s="22">
        <v>624</v>
      </c>
      <c r="H1343" s="22">
        <v>2163.3000000000002</v>
      </c>
      <c r="I1343" s="22">
        <f t="shared" si="21"/>
        <v>2787.3</v>
      </c>
      <c r="J1343" s="18" t="s">
        <v>1085</v>
      </c>
      <c r="K1343" s="18">
        <v>9838607</v>
      </c>
      <c r="L1343" s="18">
        <v>912082</v>
      </c>
      <c r="M1343" s="18" t="s">
        <v>3183</v>
      </c>
      <c r="N1343" s="16" t="s">
        <v>2554</v>
      </c>
      <c r="O1343" s="18" t="s">
        <v>1095</v>
      </c>
      <c r="P1343" s="16" t="s">
        <v>1095</v>
      </c>
      <c r="Q1343" s="29" t="str" cm="1">
        <f t="array" ref="Q1343">_xlfn.IFS(
A1343="","",
AND(A1343&lt;&gt;"",B1343=""),"FALTA LANÇAMENTO",
AND(B1343&lt;&gt;"",M1343=""),"FALTA O PEDIDO",
AND(M1343&lt;&gt;"",O1343=""),"FALTA NF",
O1343&lt;&gt;"","CONCLUÍDO")</f>
        <v>CONCLUÍDO</v>
      </c>
      <c r="R1343" s="36"/>
    </row>
    <row r="1344" spans="1:18" hidden="1">
      <c r="A1344" s="16">
        <v>46129</v>
      </c>
      <c r="B1344" s="16">
        <v>46129</v>
      </c>
      <c r="C1344" s="21">
        <v>61521051</v>
      </c>
      <c r="D1344" s="16" t="str">
        <f>IFERROR(VLOOKUP(Tabela5[[#This Row],[PREFIXO ]],Tabela4[#All],2,0),"CENTRO DE CUSTO")</f>
        <v>CENTRO DE CUSTO</v>
      </c>
      <c r="E1344" s="18" t="s">
        <v>247</v>
      </c>
      <c r="F1344" s="21">
        <v>134449</v>
      </c>
      <c r="G1344" s="22">
        <v>762.6</v>
      </c>
      <c r="H1344" s="22">
        <v>3021.23</v>
      </c>
      <c r="I1344" s="22">
        <f t="shared" ref="I1344:I1407" si="22">G1344+H1344</f>
        <v>3783.83</v>
      </c>
      <c r="J1344" s="18" t="s">
        <v>1085</v>
      </c>
      <c r="K1344" s="18">
        <v>9838455</v>
      </c>
      <c r="L1344" s="18">
        <v>912072</v>
      </c>
      <c r="M1344" s="18" t="s">
        <v>3184</v>
      </c>
      <c r="N1344" s="16" t="s">
        <v>2302</v>
      </c>
      <c r="O1344" s="18" t="s">
        <v>3185</v>
      </c>
      <c r="P1344" s="18" t="s">
        <v>1480</v>
      </c>
      <c r="Q1344" s="29" t="str" cm="1">
        <f t="array" ref="Q1344">_xlfn.IFS(
A1344="","",
AND(A1344&lt;&gt;"",B1344=""),"FALTA LANÇAMENTO",
AND(B1344&lt;&gt;"",M1344=""),"FALTA O PEDIDO",
AND(M1344&lt;&gt;"",O1344=""),"FALTA NF",
O1344&lt;&gt;"","CONCLUÍDO")</f>
        <v>CONCLUÍDO</v>
      </c>
      <c r="R1344" s="36"/>
    </row>
    <row r="1345" spans="1:18" hidden="1">
      <c r="A1345" s="16">
        <v>46129</v>
      </c>
      <c r="B1345" s="16">
        <v>46129</v>
      </c>
      <c r="C1345" s="21">
        <v>61521061</v>
      </c>
      <c r="D1345" s="16" t="str">
        <f>IFERROR(VLOOKUP(Tabela5[[#This Row],[PREFIXO ]],Tabela4[#All],2,0),"CENTRO DE CUSTO")</f>
        <v>ONIB RODOVIÁRIO MERC BENZ MARCOPOLO TORI</v>
      </c>
      <c r="E1345" s="18" t="s">
        <v>247</v>
      </c>
      <c r="F1345" s="21">
        <v>134336</v>
      </c>
      <c r="G1345" s="22">
        <v>800</v>
      </c>
      <c r="H1345" s="22"/>
      <c r="I1345" s="22">
        <f t="shared" si="22"/>
        <v>800</v>
      </c>
      <c r="J1345" s="18" t="s">
        <v>1085</v>
      </c>
      <c r="K1345" s="18">
        <v>9838454</v>
      </c>
      <c r="L1345" s="18">
        <v>912058</v>
      </c>
      <c r="M1345" s="18" t="s">
        <v>3186</v>
      </c>
      <c r="N1345" s="16" t="s">
        <v>2302</v>
      </c>
      <c r="O1345" s="18" t="s">
        <v>3187</v>
      </c>
      <c r="P1345" s="18" t="s">
        <v>2866</v>
      </c>
      <c r="Q1345" s="29" t="str" cm="1">
        <f t="array" ref="Q1345">_xlfn.IFS(
A1345="","",
AND(A1345&lt;&gt;"",B1345=""),"FALTA LANÇAMENTO",
AND(B1345&lt;&gt;"",M1345=""),"FALTA O PEDIDO",
AND(M1345&lt;&gt;"",O1345=""),"FALTA NF",
O1345&lt;&gt;"","CONCLUÍDO")</f>
        <v>CONCLUÍDO</v>
      </c>
      <c r="R1345" s="36"/>
    </row>
    <row r="1346" spans="1:18" hidden="1">
      <c r="A1346" s="16">
        <v>46129</v>
      </c>
      <c r="B1346" s="16">
        <v>46133</v>
      </c>
      <c r="C1346" s="21">
        <v>500580090</v>
      </c>
      <c r="D1346" s="16" t="str">
        <f>IFERROR(VLOOKUP(Tabela5[[#This Row],[PREFIXO ]],Tabela4[#All],2,0),"CENTRO DE CUSTO")</f>
        <v>Plantadeiras</v>
      </c>
      <c r="E1346" s="18" t="s">
        <v>249</v>
      </c>
      <c r="F1346" s="21">
        <v>235</v>
      </c>
      <c r="G1346" s="22">
        <v>21700</v>
      </c>
      <c r="H1346" s="22"/>
      <c r="I1346" s="22">
        <f t="shared" si="22"/>
        <v>21700</v>
      </c>
      <c r="J1346" s="18" t="s">
        <v>1199</v>
      </c>
      <c r="K1346" s="18">
        <v>5020416</v>
      </c>
      <c r="L1346" s="18">
        <v>913841</v>
      </c>
      <c r="M1346" s="18" t="s">
        <v>3188</v>
      </c>
      <c r="N1346" s="16" t="s">
        <v>2866</v>
      </c>
      <c r="O1346" s="18" t="s">
        <v>3189</v>
      </c>
      <c r="P1346" s="18" t="s">
        <v>2581</v>
      </c>
      <c r="Q1346" s="29" t="str" cm="1">
        <f t="array" ref="Q1346">_xlfn.IFS(
A1346="","",
AND(A1346&lt;&gt;"",B1346=""),"FALTA LANÇAMENTO",
AND(B1346&lt;&gt;"",M1346=""),"FALTA O PEDIDO",
AND(M1346&lt;&gt;"",O1346=""),"FALTA NF",
O1346&lt;&gt;"","CONCLUÍDO")</f>
        <v>CONCLUÍDO</v>
      </c>
      <c r="R1346" s="36"/>
    </row>
    <row r="1347" spans="1:18" hidden="1">
      <c r="A1347" s="16">
        <v>46129</v>
      </c>
      <c r="B1347" s="16">
        <v>46129</v>
      </c>
      <c r="C1347" s="21" t="s">
        <v>3190</v>
      </c>
      <c r="D1347" s="16" t="str">
        <f>IFERROR(VLOOKUP(Tabela5[[#This Row],[PREFIXO ]],Tabela4[#All],2,0),"CENTRO DE CUSTO")</f>
        <v>CENTRO DE CUSTO</v>
      </c>
      <c r="E1347" s="18" t="s">
        <v>312</v>
      </c>
      <c r="F1347" s="21" t="s">
        <v>2175</v>
      </c>
      <c r="G1347" s="22">
        <v>22469.4</v>
      </c>
      <c r="H1347" s="22"/>
      <c r="I1347" s="22">
        <f t="shared" si="22"/>
        <v>22469.4</v>
      </c>
      <c r="J1347" s="18" t="s">
        <v>1199</v>
      </c>
      <c r="K1347" s="18" t="s">
        <v>3191</v>
      </c>
      <c r="L1347" s="18">
        <v>912065</v>
      </c>
      <c r="M1347" s="18" t="s">
        <v>3192</v>
      </c>
      <c r="N1347" s="16" t="s">
        <v>2302</v>
      </c>
      <c r="O1347" s="18" t="s">
        <v>1861</v>
      </c>
      <c r="P1347" s="18" t="s">
        <v>1526</v>
      </c>
      <c r="Q1347" s="29" t="str" cm="1">
        <f t="array" ref="Q1347">_xlfn.IFS(
A1347="","",
AND(A1347&lt;&gt;"",B1347=""),"FALTA LANÇAMENTO",
AND(B1347&lt;&gt;"",M1347=""),"FALTA O PEDIDO",
AND(M1347&lt;&gt;"",O1347=""),"FALTA NF",
O1347&lt;&gt;"","CONCLUÍDO")</f>
        <v>CONCLUÍDO</v>
      </c>
      <c r="R1347" s="36"/>
    </row>
    <row r="1348" spans="1:18" hidden="1">
      <c r="A1348" s="16">
        <v>46129</v>
      </c>
      <c r="B1348" s="16">
        <v>46129</v>
      </c>
      <c r="C1348" s="21">
        <v>1173061</v>
      </c>
      <c r="D1348" s="16" t="str">
        <f>IFERROR(VLOOKUP(Tabela5[[#This Row],[PREFIXO ]],Tabela4[#All],2,0),"CENTRO DE CUSTO")</f>
        <v>TRAT PN MED M FERGUSON MF 297</v>
      </c>
      <c r="E1348" s="18" t="s">
        <v>312</v>
      </c>
      <c r="F1348" s="21" t="s">
        <v>2167</v>
      </c>
      <c r="G1348" s="22">
        <v>936.9</v>
      </c>
      <c r="H1348" s="22"/>
      <c r="I1348" s="22">
        <f t="shared" si="22"/>
        <v>936.9</v>
      </c>
      <c r="J1348" s="18" t="s">
        <v>1199</v>
      </c>
      <c r="K1348" s="18">
        <v>9838550</v>
      </c>
      <c r="L1348" s="18">
        <v>911828</v>
      </c>
      <c r="M1348" s="18" t="s">
        <v>3173</v>
      </c>
      <c r="N1348" s="16" t="s">
        <v>2302</v>
      </c>
      <c r="O1348" s="18" t="s">
        <v>1758</v>
      </c>
      <c r="P1348" s="18" t="s">
        <v>2302</v>
      </c>
      <c r="Q1348" s="29" t="str" cm="1">
        <f t="array" ref="Q1348">_xlfn.IFS(
A1348="","",
AND(A1348&lt;&gt;"",B1348=""),"FALTA LANÇAMENTO",
AND(B1348&lt;&gt;"",M1348=""),"FALTA O PEDIDO",
AND(M1348&lt;&gt;"",O1348=""),"FALTA NF",
O1348&lt;&gt;"","CONCLUÍDO")</f>
        <v>CONCLUÍDO</v>
      </c>
      <c r="R1348" s="36"/>
    </row>
    <row r="1349" spans="1:18" hidden="1">
      <c r="A1349" s="16">
        <v>46129</v>
      </c>
      <c r="B1349" s="16">
        <v>46129</v>
      </c>
      <c r="C1349" s="21">
        <v>1173023</v>
      </c>
      <c r="D1349" s="16" t="str">
        <f>IFERROR(VLOOKUP(Tabela5[[#This Row],[PREFIXO ]],Tabela4[#All],2,0),"CENTRO DE CUSTO")</f>
        <v>TRAT PN MED N.HOLLAND 7630</v>
      </c>
      <c r="E1349" s="18" t="s">
        <v>312</v>
      </c>
      <c r="F1349" s="21" t="s">
        <v>2171</v>
      </c>
      <c r="G1349" s="22">
        <v>833</v>
      </c>
      <c r="H1349" s="22"/>
      <c r="I1349" s="22">
        <f t="shared" si="22"/>
        <v>833</v>
      </c>
      <c r="J1349" s="18" t="s">
        <v>1199</v>
      </c>
      <c r="K1349" s="18">
        <v>9838556</v>
      </c>
      <c r="L1349" s="18">
        <v>911828</v>
      </c>
      <c r="M1349" s="18" t="s">
        <v>3173</v>
      </c>
      <c r="N1349" s="16" t="s">
        <v>2302</v>
      </c>
      <c r="O1349" s="18" t="s">
        <v>1758</v>
      </c>
      <c r="P1349" s="18" t="s">
        <v>2302</v>
      </c>
      <c r="Q1349" s="29" t="str" cm="1">
        <f t="array" ref="Q1349">_xlfn.IFS(
A1349="","",
AND(A1349&lt;&gt;"",B1349=""),"FALTA LANÇAMENTO",
AND(B1349&lt;&gt;"",M1349=""),"FALTA O PEDIDO",
AND(M1349&lt;&gt;"",O1349=""),"FALTA NF",
O1349&lt;&gt;"","CONCLUÍDO")</f>
        <v>CONCLUÍDO</v>
      </c>
      <c r="R1349" s="36"/>
    </row>
    <row r="1350" spans="1:18" hidden="1">
      <c r="A1350" s="16">
        <v>46132</v>
      </c>
      <c r="B1350" s="16">
        <v>46139</v>
      </c>
      <c r="C1350" s="21">
        <v>61521102</v>
      </c>
      <c r="D1350" s="16" t="str">
        <f>IFERROR(VLOOKUP(Tabela5[[#This Row],[PREFIXO ]],Tabela4[#All],2,0),"CENTRO DE CUSTO")</f>
        <v>CAMINHAO RÍGIDO VOLVO VM 330 (PIPA)</v>
      </c>
      <c r="E1350" s="18" t="s">
        <v>29</v>
      </c>
      <c r="F1350" s="21">
        <v>55482</v>
      </c>
      <c r="G1350" s="22">
        <v>18831.96</v>
      </c>
      <c r="H1350" s="22">
        <v>13301</v>
      </c>
      <c r="I1350" s="22">
        <f t="shared" si="22"/>
        <v>32132.959999999999</v>
      </c>
      <c r="J1350" s="18" t="s">
        <v>1085</v>
      </c>
      <c r="K1350" s="18">
        <v>9840445</v>
      </c>
      <c r="L1350" s="18">
        <v>917691</v>
      </c>
      <c r="M1350" s="18" t="s">
        <v>3193</v>
      </c>
      <c r="N1350" s="16" t="s">
        <v>2609</v>
      </c>
      <c r="O1350" s="18" t="s">
        <v>3194</v>
      </c>
      <c r="P1350" s="18" t="s">
        <v>3195</v>
      </c>
      <c r="Q1350" s="29" t="str" cm="1">
        <f t="array" ref="Q1350">_xlfn.IFS(
A1350="","",
AND(A1350&lt;&gt;"",B1350=""),"FALTA LANÇAMENTO",
AND(B1350&lt;&gt;"",M1350=""),"FALTA O PEDIDO",
AND(M1350&lt;&gt;"",O1350=""),"FALTA NF",
O1350&lt;&gt;"","CONCLUÍDO")</f>
        <v>CONCLUÍDO</v>
      </c>
      <c r="R1350" s="36"/>
    </row>
    <row r="1351" spans="1:18" hidden="1">
      <c r="A1351" s="16">
        <v>46132</v>
      </c>
      <c r="B1351" s="16">
        <v>46140</v>
      </c>
      <c r="C1351" s="21">
        <v>61521062</v>
      </c>
      <c r="D1351" s="16" t="str">
        <f>IFERROR(VLOOKUP(Tabela5[[#This Row],[PREFIXO ]],Tabela4[#All],2,0),"CENTRO DE CUSTO")</f>
        <v>ONIB RODOVIÁRIO MERC BENZ MARCOPOLO TORI</v>
      </c>
      <c r="E1351" s="18" t="s">
        <v>29</v>
      </c>
      <c r="F1351" s="21">
        <v>55392</v>
      </c>
      <c r="G1351" s="22">
        <v>5119.05</v>
      </c>
      <c r="H1351" s="22">
        <v>5727</v>
      </c>
      <c r="I1351" s="22">
        <f t="shared" si="22"/>
        <v>10846.05</v>
      </c>
      <c r="J1351" s="18" t="s">
        <v>1085</v>
      </c>
      <c r="K1351" s="18">
        <v>9840448</v>
      </c>
      <c r="L1351" s="18">
        <v>918402</v>
      </c>
      <c r="M1351" s="18" t="s">
        <v>3196</v>
      </c>
      <c r="N1351" s="16" t="s">
        <v>3002</v>
      </c>
      <c r="O1351" s="18" t="s">
        <v>3197</v>
      </c>
      <c r="P1351" s="18" t="s">
        <v>3198</v>
      </c>
      <c r="Q1351" s="29" t="str" cm="1">
        <f t="array" ref="Q1351">_xlfn.IFS(
A1351="","",
AND(A1351&lt;&gt;"",B1351=""),"FALTA LANÇAMENTO",
AND(B1351&lt;&gt;"",M1351=""),"FALTA O PEDIDO",
AND(M1351&lt;&gt;"",O1351=""),"FALTA NF",
O1351&lt;&gt;"","CONCLUÍDO")</f>
        <v>CONCLUÍDO</v>
      </c>
      <c r="R1351" s="36"/>
    </row>
    <row r="1352" spans="1:18" hidden="1">
      <c r="A1352" s="16">
        <v>46132</v>
      </c>
      <c r="B1352" s="16">
        <v>46134</v>
      </c>
      <c r="C1352" s="21">
        <v>61521083</v>
      </c>
      <c r="D1352" s="16" t="str">
        <f>IFERROR(VLOOKUP(Tabela5[[#This Row],[PREFIXO ]],Tabela4[#All],2,0),"CENTRO DE CUSTO")</f>
        <v>CAM COMBOIO VOLVO VM 330</v>
      </c>
      <c r="E1352" s="18" t="s">
        <v>29</v>
      </c>
      <c r="F1352" s="21">
        <v>55531</v>
      </c>
      <c r="G1352" s="22">
        <v>150</v>
      </c>
      <c r="H1352" s="22">
        <v>3050.3</v>
      </c>
      <c r="I1352" s="22">
        <f t="shared" si="22"/>
        <v>3200.3</v>
      </c>
      <c r="J1352" s="18" t="s">
        <v>1085</v>
      </c>
      <c r="K1352" s="18">
        <v>9840439</v>
      </c>
      <c r="L1352" s="18">
        <v>9840439</v>
      </c>
      <c r="M1352" s="18" t="s">
        <v>3199</v>
      </c>
      <c r="N1352" s="16" t="s">
        <v>1095</v>
      </c>
      <c r="O1352" s="18" t="s">
        <v>1095</v>
      </c>
      <c r="P1352" s="18" t="s">
        <v>1095</v>
      </c>
      <c r="Q1352" s="29" t="str" cm="1">
        <f t="array" ref="Q1352">_xlfn.IFS(
A1352="","",
AND(A1352&lt;&gt;"",B1352=""),"FALTA LANÇAMENTO",
AND(B1352&lt;&gt;"",M1352=""),"FALTA O PEDIDO",
AND(M1352&lt;&gt;"",O1352=""),"FALTA NF",
O1352&lt;&gt;"","CONCLUÍDO")</f>
        <v>CONCLUÍDO</v>
      </c>
      <c r="R1352" s="36"/>
    </row>
    <row r="1353" spans="1:18" hidden="1">
      <c r="A1353" s="16">
        <v>46132</v>
      </c>
      <c r="B1353" s="16">
        <v>46134</v>
      </c>
      <c r="C1353" s="21">
        <v>61521081</v>
      </c>
      <c r="D1353" s="16" t="str">
        <f>IFERROR(VLOOKUP(Tabela5[[#This Row],[PREFIXO ]],Tabela4[#All],2,0),"CENTRO DE CUSTO")</f>
        <v>CAV MEC EXT PES VOLVO FH 540</v>
      </c>
      <c r="E1353" s="18" t="s">
        <v>29</v>
      </c>
      <c r="F1353" s="21">
        <v>55529</v>
      </c>
      <c r="G1353" s="22">
        <v>585</v>
      </c>
      <c r="H1353" s="22"/>
      <c r="I1353" s="22">
        <f t="shared" si="22"/>
        <v>585</v>
      </c>
      <c r="J1353" s="18" t="s">
        <v>1085</v>
      </c>
      <c r="K1353" s="18">
        <v>9840441</v>
      </c>
      <c r="L1353" s="18">
        <v>914907</v>
      </c>
      <c r="M1353" s="18" t="s">
        <v>3200</v>
      </c>
      <c r="N1353" s="16" t="s">
        <v>2866</v>
      </c>
      <c r="O1353" s="18" t="s">
        <v>3201</v>
      </c>
      <c r="P1353" s="18" t="s">
        <v>2866</v>
      </c>
      <c r="Q1353" s="29" t="str" cm="1">
        <f t="array" ref="Q1353">_xlfn.IFS(
A1353="","",
AND(A1353&lt;&gt;"",B1353=""),"FALTA LANÇAMENTO",
AND(B1353&lt;&gt;"",M1353=""),"FALTA O PEDIDO",
AND(M1353&lt;&gt;"",O1353=""),"FALTA NF",
O1353&lt;&gt;"","CONCLUÍDO")</f>
        <v>CONCLUÍDO</v>
      </c>
      <c r="R1353" s="36"/>
    </row>
    <row r="1354" spans="1:18" hidden="1">
      <c r="A1354" s="16">
        <v>46132</v>
      </c>
      <c r="B1354" s="16">
        <v>46133</v>
      </c>
      <c r="C1354" s="21">
        <v>31521019</v>
      </c>
      <c r="D1354" s="16" t="str">
        <f>IFERROR(VLOOKUP(Tabela5[[#This Row],[PREFIXO ]],Tabela4[#All],2,0),"CENTRO DE CUSTO")</f>
        <v>PULV AUTOPROP JACTO UNIPORT 3030</v>
      </c>
      <c r="E1354" s="18" t="s">
        <v>34</v>
      </c>
      <c r="F1354" s="21">
        <v>71560</v>
      </c>
      <c r="G1354" s="22">
        <v>498</v>
      </c>
      <c r="H1354" s="22"/>
      <c r="I1354" s="22">
        <f t="shared" si="22"/>
        <v>498</v>
      </c>
      <c r="J1354" s="18" t="s">
        <v>1265</v>
      </c>
      <c r="K1354" s="18">
        <v>9840313</v>
      </c>
      <c r="L1354" s="18">
        <v>914031</v>
      </c>
      <c r="M1354" s="18" t="s">
        <v>3202</v>
      </c>
      <c r="N1354" s="16" t="s">
        <v>1526</v>
      </c>
      <c r="O1354" s="18" t="s">
        <v>3203</v>
      </c>
      <c r="P1354" s="18" t="s">
        <v>2627</v>
      </c>
      <c r="Q1354" s="29" t="str" cm="1">
        <f t="array" ref="Q1354">_xlfn.IFS(
A1354="","",
AND(A1354&lt;&gt;"",B1354=""),"FALTA LANÇAMENTO",
AND(B1354&lt;&gt;"",M1354=""),"FALTA O PEDIDO",
AND(M1354&lt;&gt;"",O1354=""),"FALTA NF",
O1354&lt;&gt;"","CONCLUÍDO")</f>
        <v>CONCLUÍDO</v>
      </c>
      <c r="R1354" s="36"/>
    </row>
    <row r="1355" spans="1:18" hidden="1">
      <c r="A1355" s="16">
        <v>46132</v>
      </c>
      <c r="B1355" s="16">
        <v>46133</v>
      </c>
      <c r="C1355" s="21">
        <v>31521019</v>
      </c>
      <c r="D1355" s="16" t="str">
        <f>IFERROR(VLOOKUP(Tabela5[[#This Row],[PREFIXO ]],Tabela4[#All],2,0),"CENTRO DE CUSTO")</f>
        <v>PULV AUTOPROP JACTO UNIPORT 3030</v>
      </c>
      <c r="E1355" s="18" t="s">
        <v>34</v>
      </c>
      <c r="F1355" s="21">
        <v>40966</v>
      </c>
      <c r="G1355" s="22">
        <v>198</v>
      </c>
      <c r="H1355" s="22"/>
      <c r="I1355" s="22">
        <f t="shared" si="22"/>
        <v>198</v>
      </c>
      <c r="J1355" s="18" t="s">
        <v>1265</v>
      </c>
      <c r="K1355" s="18">
        <v>9840313</v>
      </c>
      <c r="L1355" s="18">
        <v>914031</v>
      </c>
      <c r="M1355" s="18" t="s">
        <v>3202</v>
      </c>
      <c r="N1355" s="16" t="s">
        <v>1526</v>
      </c>
      <c r="O1355" s="18" t="s">
        <v>3203</v>
      </c>
      <c r="P1355" s="18" t="s">
        <v>2627</v>
      </c>
      <c r="Q1355" s="29" t="str" cm="1">
        <f t="array" ref="Q1355">_xlfn.IFS(
A1355="","",
AND(A1355&lt;&gt;"",B1355=""),"FALTA LANÇAMENTO",
AND(B1355&lt;&gt;"",M1355=""),"FALTA O PEDIDO",
AND(M1355&lt;&gt;"",O1355=""),"FALTA NF",
O1355&lt;&gt;"","CONCLUÍDO")</f>
        <v>CONCLUÍDO</v>
      </c>
      <c r="R1355" s="36"/>
    </row>
    <row r="1356" spans="1:18" hidden="1">
      <c r="A1356" s="16">
        <v>46132</v>
      </c>
      <c r="B1356" s="16">
        <v>46133</v>
      </c>
      <c r="C1356" s="21" t="s">
        <v>3204</v>
      </c>
      <c r="D1356" s="16" t="str">
        <f>IFERROR(VLOOKUP(Tabela5[[#This Row],[PREFIXO ]],Tabela4[#All],2,0),"CENTRO DE CUSTO")</f>
        <v>CENTRO DE CUSTO</v>
      </c>
      <c r="E1356" s="18" t="s">
        <v>49</v>
      </c>
      <c r="F1356" s="21" t="s">
        <v>2886</v>
      </c>
      <c r="G1356" s="22">
        <v>8000</v>
      </c>
      <c r="H1356" s="22"/>
      <c r="I1356" s="22">
        <f t="shared" si="22"/>
        <v>8000</v>
      </c>
      <c r="J1356" s="18" t="s">
        <v>1265</v>
      </c>
      <c r="K1356" s="18">
        <v>5020468</v>
      </c>
      <c r="L1356" s="18">
        <v>913115</v>
      </c>
      <c r="M1356" s="18" t="s">
        <v>3205</v>
      </c>
      <c r="N1356" s="16" t="s">
        <v>2866</v>
      </c>
      <c r="O1356" s="18" t="s">
        <v>3206</v>
      </c>
      <c r="P1356" s="18" t="s">
        <v>2866</v>
      </c>
      <c r="Q1356" s="29" t="str" cm="1">
        <f t="array" ref="Q1356">_xlfn.IFS(
A1356="","",
AND(A1356&lt;&gt;"",B1356=""),"FALTA LANÇAMENTO",
AND(B1356&lt;&gt;"",M1356=""),"FALTA O PEDIDO",
AND(M1356&lt;&gt;"",O1356=""),"FALTA NF",
O1356&lt;&gt;"","CONCLUÍDO")</f>
        <v>CONCLUÍDO</v>
      </c>
      <c r="R1356" s="36"/>
    </row>
    <row r="1357" spans="1:18" hidden="1">
      <c r="A1357" s="16">
        <v>46132</v>
      </c>
      <c r="B1357" s="16">
        <v>46133</v>
      </c>
      <c r="C1357" s="21" t="s">
        <v>3204</v>
      </c>
      <c r="D1357" s="16" t="str">
        <f>IFERROR(VLOOKUP(Tabela5[[#This Row],[PREFIXO ]],Tabela4[#All],2,0),"CENTRO DE CUSTO")</f>
        <v>CENTRO DE CUSTO</v>
      </c>
      <c r="E1357" s="18" t="s">
        <v>49</v>
      </c>
      <c r="F1357" s="21" t="s">
        <v>2888</v>
      </c>
      <c r="G1357" s="22">
        <v>5000</v>
      </c>
      <c r="H1357" s="22"/>
      <c r="I1357" s="22">
        <f t="shared" si="22"/>
        <v>5000</v>
      </c>
      <c r="J1357" s="18" t="s">
        <v>1265</v>
      </c>
      <c r="K1357" s="18">
        <v>5020469</v>
      </c>
      <c r="L1357" s="18">
        <v>913115</v>
      </c>
      <c r="M1357" s="18" t="s">
        <v>3205</v>
      </c>
      <c r="N1357" s="16" t="s">
        <v>2866</v>
      </c>
      <c r="O1357" s="18" t="s">
        <v>3206</v>
      </c>
      <c r="P1357" s="18" t="s">
        <v>2866</v>
      </c>
      <c r="Q1357" s="29" t="str" cm="1">
        <f t="array" ref="Q1357">_xlfn.IFS(
A1357="","",
AND(A1357&lt;&gt;"",B1357=""),"FALTA LANÇAMENTO",
AND(B1357&lt;&gt;"",M1357=""),"FALTA O PEDIDO",
AND(M1357&lt;&gt;"",O1357=""),"FALTA NF",
O1357&lt;&gt;"","CONCLUÍDO")</f>
        <v>CONCLUÍDO</v>
      </c>
      <c r="R1357" s="36"/>
    </row>
    <row r="1358" spans="1:18" hidden="1">
      <c r="A1358" s="16">
        <v>46132</v>
      </c>
      <c r="B1358" s="16">
        <v>46133</v>
      </c>
      <c r="C1358" s="21">
        <v>31521014</v>
      </c>
      <c r="D1358" s="16" t="str">
        <f>IFERROR(VLOOKUP(Tabela5[[#This Row],[PREFIXO ]],Tabela4[#All],2,0),"CENTRO DE CUSTO")</f>
        <v>PULV AUTOPROP JACTO UNIPORT 3030</v>
      </c>
      <c r="E1358" s="18" t="s">
        <v>49</v>
      </c>
      <c r="F1358" s="21" t="s">
        <v>2879</v>
      </c>
      <c r="G1358" s="22">
        <v>900</v>
      </c>
      <c r="H1358" s="22"/>
      <c r="I1358" s="22">
        <f t="shared" si="22"/>
        <v>900</v>
      </c>
      <c r="J1358" s="18" t="s">
        <v>1265</v>
      </c>
      <c r="K1358" s="18">
        <v>9840301</v>
      </c>
      <c r="L1358" s="18">
        <v>913115</v>
      </c>
      <c r="M1358" s="18" t="s">
        <v>3205</v>
      </c>
      <c r="N1358" s="16" t="s">
        <v>2866</v>
      </c>
      <c r="O1358" s="18" t="s">
        <v>3206</v>
      </c>
      <c r="P1358" s="18" t="s">
        <v>2866</v>
      </c>
      <c r="Q1358" s="29" t="str" cm="1">
        <f t="array" ref="Q1358">_xlfn.IFS(
A1358="","",
AND(A1358&lt;&gt;"",B1358=""),"FALTA LANÇAMENTO",
AND(B1358&lt;&gt;"",M1358=""),"FALTA O PEDIDO",
AND(M1358&lt;&gt;"",O1358=""),"FALTA NF",
O1358&lt;&gt;"","CONCLUÍDO")</f>
        <v>CONCLUÍDO</v>
      </c>
      <c r="R1358" s="36"/>
    </row>
    <row r="1359" spans="1:18" hidden="1">
      <c r="A1359" s="16">
        <v>46132</v>
      </c>
      <c r="B1359" s="16">
        <v>46133</v>
      </c>
      <c r="C1359" s="21">
        <v>61521011</v>
      </c>
      <c r="D1359" s="16" t="str">
        <f>IFERROR(VLOOKUP(Tabela5[[#This Row],[PREFIXO ]],Tabela4[#All],2,0),"CENTRO DE CUSTO")</f>
        <v>CAM COMBOIO MERC BENZ ATRON 2729</v>
      </c>
      <c r="E1359" s="18" t="s">
        <v>124</v>
      </c>
      <c r="F1359" s="21">
        <v>549</v>
      </c>
      <c r="G1359" s="22">
        <v>4252.6000000000004</v>
      </c>
      <c r="H1359" s="22"/>
      <c r="I1359" s="22">
        <f t="shared" si="22"/>
        <v>4252.6000000000004</v>
      </c>
      <c r="J1359" s="18" t="s">
        <v>1085</v>
      </c>
      <c r="K1359" s="18">
        <v>9840427</v>
      </c>
      <c r="L1359" s="18">
        <v>914064</v>
      </c>
      <c r="M1359" s="18" t="s">
        <v>3207</v>
      </c>
      <c r="N1359" s="16" t="s">
        <v>2866</v>
      </c>
      <c r="O1359" s="18" t="s">
        <v>3208</v>
      </c>
      <c r="P1359" s="18" t="s">
        <v>1480</v>
      </c>
      <c r="Q1359" s="29" t="str" cm="1">
        <f t="array" ref="Q1359">_xlfn.IFS(
A1359="","",
AND(A1359&lt;&gt;"",B1359=""),"FALTA LANÇAMENTO",
AND(B1359&lt;&gt;"",M1359=""),"FALTA O PEDIDO",
AND(M1359&lt;&gt;"",O1359=""),"FALTA NF",
O1359&lt;&gt;"","CONCLUÍDO")</f>
        <v>CONCLUÍDO</v>
      </c>
      <c r="R1359" s="36"/>
    </row>
    <row r="1360" spans="1:18" hidden="1">
      <c r="A1360" s="16">
        <v>46132</v>
      </c>
      <c r="B1360" s="16">
        <v>46133</v>
      </c>
      <c r="C1360" s="21">
        <v>61521081</v>
      </c>
      <c r="D1360" s="16" t="str">
        <f>IFERROR(VLOOKUP(Tabela5[[#This Row],[PREFIXO ]],Tabela4[#All],2,0),"CENTRO DE CUSTO")</f>
        <v>CAV MEC EXT PES VOLVO FH 540</v>
      </c>
      <c r="E1360" s="18" t="s">
        <v>124</v>
      </c>
      <c r="F1360" s="21">
        <v>558</v>
      </c>
      <c r="G1360" s="22">
        <v>3441.6</v>
      </c>
      <c r="H1360" s="22"/>
      <c r="I1360" s="22">
        <f t="shared" si="22"/>
        <v>3441.6</v>
      </c>
      <c r="J1360" s="18" t="s">
        <v>1085</v>
      </c>
      <c r="K1360" s="18">
        <v>9840410</v>
      </c>
      <c r="L1360" s="18">
        <v>914052</v>
      </c>
      <c r="M1360" s="18" t="s">
        <v>3209</v>
      </c>
      <c r="N1360" s="16" t="s">
        <v>2866</v>
      </c>
      <c r="O1360" s="18" t="s">
        <v>2422</v>
      </c>
      <c r="P1360" s="18" t="s">
        <v>2866</v>
      </c>
      <c r="Q1360" s="29" t="str" cm="1">
        <f t="array" ref="Q1360">_xlfn.IFS(
A1360="","",
AND(A1360&lt;&gt;"",B1360=""),"FALTA LANÇAMENTO",
AND(B1360&lt;&gt;"",M1360=""),"FALTA O PEDIDO",
AND(M1360&lt;&gt;"",O1360=""),"FALTA NF",
O1360&lt;&gt;"","CONCLUÍDO")</f>
        <v>CONCLUÍDO</v>
      </c>
      <c r="R1360" s="36"/>
    </row>
    <row r="1361" spans="1:18" hidden="1">
      <c r="A1361" s="16">
        <v>46132</v>
      </c>
      <c r="B1361" s="16">
        <v>46132</v>
      </c>
      <c r="C1361" s="21">
        <v>51521065</v>
      </c>
      <c r="D1361" s="16" t="str">
        <f>IFERROR(VLOOKUP(Tabela5[[#This Row],[PREFIXO ]],Tabela4[#All],2,0),"CENTRO DE CUSTO")</f>
        <v>COLHED ALGODÃO JOHN DEERE CP 690</v>
      </c>
      <c r="E1361" s="18" t="s">
        <v>71</v>
      </c>
      <c r="F1361" s="21">
        <v>7761</v>
      </c>
      <c r="G1361" s="22">
        <v>5100</v>
      </c>
      <c r="H1361" s="22">
        <v>10122.25</v>
      </c>
      <c r="I1361" s="22">
        <f t="shared" si="22"/>
        <v>15222.25</v>
      </c>
      <c r="J1361" s="18" t="s">
        <v>1123</v>
      </c>
      <c r="K1361" s="18">
        <v>9835240</v>
      </c>
      <c r="L1361" s="18">
        <v>910537</v>
      </c>
      <c r="M1361" s="18" t="s">
        <v>1095</v>
      </c>
      <c r="N1361" s="16" t="s">
        <v>1095</v>
      </c>
      <c r="O1361" s="18" t="s">
        <v>1095</v>
      </c>
      <c r="P1361" s="16" t="s">
        <v>1095</v>
      </c>
      <c r="Q1361" s="29" t="str" cm="1">
        <f t="array" ref="Q1361">_xlfn.IFS(
A1361="","",
AND(A1361&lt;&gt;"",B1361=""),"FALTA LANÇAMENTO",
AND(B1361&lt;&gt;"",M1361=""),"FALTA O PEDIDO",
AND(M1361&lt;&gt;"",O1361=""),"FALTA NF",
O1361&lt;&gt;"","CONCLUÍDO")</f>
        <v>CONCLUÍDO</v>
      </c>
      <c r="R1361" s="36" t="s">
        <v>3210</v>
      </c>
    </row>
    <row r="1362" spans="1:18" hidden="1">
      <c r="A1362" s="16">
        <v>46132</v>
      </c>
      <c r="B1362" s="16">
        <v>46133</v>
      </c>
      <c r="C1362" s="21">
        <v>18010001</v>
      </c>
      <c r="D1362" s="16" t="str">
        <f>IFERROR(VLOOKUP(Tabela5[[#This Row],[PREFIXO ]],Tabela4[#All],2,0),"CENTRO DE CUSTO")</f>
        <v>AVIAO APLIC AGR AIR TRACT AT-802A</v>
      </c>
      <c r="E1362" s="18" t="s">
        <v>239</v>
      </c>
      <c r="F1362" s="21"/>
      <c r="G1362" s="22">
        <v>32937</v>
      </c>
      <c r="H1362" s="22"/>
      <c r="I1362" s="22">
        <f t="shared" si="22"/>
        <v>32937</v>
      </c>
      <c r="J1362" s="18" t="s">
        <v>1251</v>
      </c>
      <c r="K1362" s="18">
        <v>9834848</v>
      </c>
      <c r="L1362" s="18">
        <v>913770</v>
      </c>
      <c r="M1362" s="18" t="s">
        <v>3211</v>
      </c>
      <c r="N1362" s="16" t="s">
        <v>1526</v>
      </c>
      <c r="O1362" s="18" t="s">
        <v>3212</v>
      </c>
      <c r="P1362" s="18" t="s">
        <v>2676</v>
      </c>
      <c r="Q1362" s="29" t="str" cm="1">
        <f t="array" ref="Q1362">_xlfn.IFS(
A1362="","",
AND(A1362&lt;&gt;"",B1362=""),"FALTA LANÇAMENTO",
AND(B1362&lt;&gt;"",M1362=""),"FALTA O PEDIDO",
AND(M1362&lt;&gt;"",O1362=""),"FALTA NF",
O1362&lt;&gt;"","CONCLUÍDO")</f>
        <v>CONCLUÍDO</v>
      </c>
      <c r="R1362" s="36"/>
    </row>
    <row r="1363" spans="1:18" hidden="1">
      <c r="A1363" s="16">
        <v>46132</v>
      </c>
      <c r="B1363" s="16">
        <v>46133</v>
      </c>
      <c r="C1363" s="21" t="s">
        <v>3213</v>
      </c>
      <c r="D1363" s="16" t="str">
        <f>IFERROR(VLOOKUP(Tabela5[[#This Row],[PREFIXO ]],Tabela4[#All],2,0),"CENTRO DE CUSTO")</f>
        <v>CENTRO DE CUSTO</v>
      </c>
      <c r="E1363" s="18" t="s">
        <v>255</v>
      </c>
      <c r="F1363" s="21">
        <v>897</v>
      </c>
      <c r="G1363" s="22">
        <v>1650</v>
      </c>
      <c r="H1363" s="22"/>
      <c r="I1363" s="22">
        <f t="shared" si="22"/>
        <v>1650</v>
      </c>
      <c r="J1363" s="18" t="s">
        <v>1123</v>
      </c>
      <c r="K1363" s="18" t="s">
        <v>3214</v>
      </c>
      <c r="L1363" s="18">
        <v>914046</v>
      </c>
      <c r="M1363" s="18" t="s">
        <v>3215</v>
      </c>
      <c r="N1363" s="16" t="s">
        <v>2866</v>
      </c>
      <c r="O1363" s="18" t="s">
        <v>1758</v>
      </c>
      <c r="P1363" s="18" t="s">
        <v>2969</v>
      </c>
      <c r="Q1363" s="29" t="str" cm="1">
        <f t="array" ref="Q1363">_xlfn.IFS(
A1363="","",
AND(A1363&lt;&gt;"",B1363=""),"FALTA LANÇAMENTO",
AND(B1363&lt;&gt;"",M1363=""),"FALTA O PEDIDO",
AND(M1363&lt;&gt;"",O1363=""),"FALTA NF",
O1363&lt;&gt;"","CONCLUÍDO")</f>
        <v>CONCLUÍDO</v>
      </c>
      <c r="R1363" s="36"/>
    </row>
    <row r="1364" spans="1:18" hidden="1">
      <c r="A1364" s="16">
        <v>46132</v>
      </c>
      <c r="B1364" s="16">
        <v>46133</v>
      </c>
      <c r="C1364" s="21">
        <v>51519062</v>
      </c>
      <c r="D1364" s="16" t="str">
        <f>IFERROR(VLOOKUP(Tabela5[[#This Row],[PREFIXO ]],Tabela4[#All],2,0),"CENTRO DE CUSTO")</f>
        <v>CENTRO DE CUSTO</v>
      </c>
      <c r="E1364" s="18" t="s">
        <v>255</v>
      </c>
      <c r="F1364" s="21">
        <v>895</v>
      </c>
      <c r="G1364" s="22">
        <v>1636</v>
      </c>
      <c r="H1364" s="22"/>
      <c r="I1364" s="22">
        <f t="shared" si="22"/>
        <v>1636</v>
      </c>
      <c r="J1364" s="18" t="s">
        <v>1123</v>
      </c>
      <c r="K1364" s="18">
        <v>9840304</v>
      </c>
      <c r="L1364" s="18">
        <v>914046</v>
      </c>
      <c r="M1364" s="18" t="s">
        <v>3215</v>
      </c>
      <c r="N1364" s="16" t="s">
        <v>2866</v>
      </c>
      <c r="O1364" s="18" t="s">
        <v>1758</v>
      </c>
      <c r="P1364" s="18" t="s">
        <v>2969</v>
      </c>
      <c r="Q1364" s="29" t="str" cm="1">
        <f t="array" ref="Q1364">_xlfn.IFS(
A1364="","",
AND(A1364&lt;&gt;"",B1364=""),"FALTA LANÇAMENTO",
AND(B1364&lt;&gt;"",M1364=""),"FALTA O PEDIDO",
AND(M1364&lt;&gt;"",O1364=""),"FALTA NF",
O1364&lt;&gt;"","CONCLUÍDO")</f>
        <v>CONCLUÍDO</v>
      </c>
      <c r="R1364" s="36"/>
    </row>
    <row r="1365" spans="1:18" hidden="1">
      <c r="A1365" s="16">
        <v>46132</v>
      </c>
      <c r="B1365" s="16">
        <v>46133</v>
      </c>
      <c r="C1365" s="21">
        <v>51521072</v>
      </c>
      <c r="D1365" s="16" t="str">
        <f>IFERROR(VLOOKUP(Tabela5[[#This Row],[PREFIXO ]],Tabela4[#All],2,0),"CENTRO DE CUSTO")</f>
        <v>COLHED ALGODÃO JOHN DEERE CP 690</v>
      </c>
      <c r="E1365" s="18" t="s">
        <v>255</v>
      </c>
      <c r="F1365" s="21">
        <v>894</v>
      </c>
      <c r="G1365" s="22">
        <v>1550</v>
      </c>
      <c r="H1365" s="22"/>
      <c r="I1365" s="22">
        <f t="shared" si="22"/>
        <v>1550</v>
      </c>
      <c r="J1365" s="18" t="s">
        <v>1123</v>
      </c>
      <c r="K1365" s="18">
        <v>9840303</v>
      </c>
      <c r="L1365" s="18">
        <v>914046</v>
      </c>
      <c r="M1365" s="18" t="s">
        <v>3215</v>
      </c>
      <c r="N1365" s="16" t="s">
        <v>2866</v>
      </c>
      <c r="O1365" s="18" t="s">
        <v>1758</v>
      </c>
      <c r="P1365" s="18" t="s">
        <v>2969</v>
      </c>
      <c r="Q1365" s="29" t="str" cm="1">
        <f t="array" ref="Q1365">_xlfn.IFS(
A1365="","",
AND(A1365&lt;&gt;"",B1365=""),"FALTA LANÇAMENTO",
AND(B1365&lt;&gt;"",M1365=""),"FALTA O PEDIDO",
AND(M1365&lt;&gt;"",O1365=""),"FALTA NF",
O1365&lt;&gt;"","CONCLUÍDO")</f>
        <v>CONCLUÍDO</v>
      </c>
      <c r="R1365" s="36"/>
    </row>
    <row r="1366" spans="1:18" hidden="1">
      <c r="A1366" s="16">
        <v>46132</v>
      </c>
      <c r="B1366" s="16">
        <v>46133</v>
      </c>
      <c r="C1366" s="21">
        <v>51521052</v>
      </c>
      <c r="D1366" s="16" t="str">
        <f>IFERROR(VLOOKUP(Tabela5[[#This Row],[PREFIXO ]],Tabela4[#All],2,0),"CENTRO DE CUSTO")</f>
        <v>COLHED ALGODÃO JOHN DEERE CP 690</v>
      </c>
      <c r="E1366" s="18" t="s">
        <v>255</v>
      </c>
      <c r="F1366" s="21">
        <v>896</v>
      </c>
      <c r="G1366" s="22">
        <v>1536</v>
      </c>
      <c r="H1366" s="22"/>
      <c r="I1366" s="22">
        <f t="shared" si="22"/>
        <v>1536</v>
      </c>
      <c r="J1366" s="18" t="s">
        <v>1123</v>
      </c>
      <c r="K1366" s="18">
        <v>9840311</v>
      </c>
      <c r="L1366" s="18">
        <v>914046</v>
      </c>
      <c r="M1366" s="18" t="s">
        <v>3215</v>
      </c>
      <c r="N1366" s="16" t="s">
        <v>2866</v>
      </c>
      <c r="O1366" s="18" t="s">
        <v>1758</v>
      </c>
      <c r="P1366" s="18" t="s">
        <v>2969</v>
      </c>
      <c r="Q1366" s="29" t="str" cm="1">
        <f t="array" ref="Q1366">_xlfn.IFS(
A1366="","",
AND(A1366&lt;&gt;"",B1366=""),"FALTA LANÇAMENTO",
AND(B1366&lt;&gt;"",M1366=""),"FALTA O PEDIDO",
AND(M1366&lt;&gt;"",O1366=""),"FALTA NF",
O1366&lt;&gt;"","CONCLUÍDO")</f>
        <v>CONCLUÍDO</v>
      </c>
      <c r="R1366" s="36"/>
    </row>
    <row r="1367" spans="1:18" hidden="1">
      <c r="A1367" s="16">
        <v>46132</v>
      </c>
      <c r="B1367" s="16">
        <v>46133</v>
      </c>
      <c r="C1367" s="21">
        <v>51521051</v>
      </c>
      <c r="D1367" s="16" t="str">
        <f>IFERROR(VLOOKUP(Tabela5[[#This Row],[PREFIXO ]],Tabela4[#All],2,0),"CENTRO DE CUSTO")</f>
        <v>COLHED ALGODÃO JOHN DEERE CP 690</v>
      </c>
      <c r="E1367" s="18" t="s">
        <v>255</v>
      </c>
      <c r="F1367" s="21">
        <v>893</v>
      </c>
      <c r="G1367" s="22">
        <v>1500</v>
      </c>
      <c r="H1367" s="22"/>
      <c r="I1367" s="22">
        <f t="shared" si="22"/>
        <v>1500</v>
      </c>
      <c r="J1367" s="18" t="s">
        <v>1123</v>
      </c>
      <c r="K1367" s="18">
        <v>9840305</v>
      </c>
      <c r="L1367" s="18">
        <v>914046</v>
      </c>
      <c r="M1367" s="18" t="s">
        <v>3215</v>
      </c>
      <c r="N1367" s="16" t="s">
        <v>2866</v>
      </c>
      <c r="O1367" s="18" t="s">
        <v>1758</v>
      </c>
      <c r="P1367" s="18" t="s">
        <v>2969</v>
      </c>
      <c r="Q1367" s="29" t="str" cm="1">
        <f t="array" ref="Q1367">_xlfn.IFS(
A1367="","",
AND(A1367&lt;&gt;"",B1367=""),"FALTA LANÇAMENTO",
AND(B1367&lt;&gt;"",M1367=""),"FALTA O PEDIDO",
AND(M1367&lt;&gt;"",O1367=""),"FALTA NF",
O1367&lt;&gt;"","CONCLUÍDO")</f>
        <v>CONCLUÍDO</v>
      </c>
      <c r="R1367" s="36"/>
    </row>
    <row r="1368" spans="1:18" hidden="1">
      <c r="A1368" s="16">
        <v>46132</v>
      </c>
      <c r="B1368" s="16">
        <v>46133</v>
      </c>
      <c r="C1368" s="21" t="s">
        <v>3216</v>
      </c>
      <c r="D1368" s="16" t="str">
        <f>IFERROR(VLOOKUP(Tabela5[[#This Row],[PREFIXO ]],Tabela4[#All],2,0),"CENTRO DE CUSTO")</f>
        <v>CENTRO DE CUSTO</v>
      </c>
      <c r="E1368" s="18" t="s">
        <v>255</v>
      </c>
      <c r="F1368" s="21">
        <v>898</v>
      </c>
      <c r="G1368" s="22">
        <v>1100</v>
      </c>
      <c r="H1368" s="22"/>
      <c r="I1368" s="22">
        <f t="shared" si="22"/>
        <v>1100</v>
      </c>
      <c r="J1368" s="18" t="s">
        <v>1123</v>
      </c>
      <c r="K1368" s="18" t="s">
        <v>3217</v>
      </c>
      <c r="L1368" s="18">
        <v>914046</v>
      </c>
      <c r="M1368" s="18" t="s">
        <v>3215</v>
      </c>
      <c r="N1368" s="16" t="s">
        <v>2866</v>
      </c>
      <c r="O1368" s="18" t="s">
        <v>1758</v>
      </c>
      <c r="P1368" s="18" t="s">
        <v>2969</v>
      </c>
      <c r="Q1368" s="29" t="str" cm="1">
        <f t="array" ref="Q1368">_xlfn.IFS(
A1368="","",
AND(A1368&lt;&gt;"",B1368=""),"FALTA LANÇAMENTO",
AND(B1368&lt;&gt;"",M1368=""),"FALTA O PEDIDO",
AND(M1368&lt;&gt;"",O1368=""),"FALTA NF",
O1368&lt;&gt;"","CONCLUÍDO")</f>
        <v>CONCLUÍDO</v>
      </c>
      <c r="R1368" s="36"/>
    </row>
    <row r="1369" spans="1:18" hidden="1">
      <c r="A1369" s="16">
        <v>46132</v>
      </c>
      <c r="B1369" s="16">
        <v>46136</v>
      </c>
      <c r="C1369" s="21">
        <v>11521032</v>
      </c>
      <c r="D1369" s="16" t="str">
        <f>IFERROR(VLOOKUP(Tabela5[[#This Row],[PREFIXO ]],Tabela4[#All],2,0),"CENTRO DE CUSTO")</f>
        <v>TRAT PN EXT PES FENDT 1046 VARIO</v>
      </c>
      <c r="E1369" s="18" t="s">
        <v>259</v>
      </c>
      <c r="F1369" s="21">
        <v>63185495</v>
      </c>
      <c r="G1369" s="22">
        <v>43.62</v>
      </c>
      <c r="H1369" s="22">
        <v>16815.25</v>
      </c>
      <c r="I1369" s="22">
        <f t="shared" si="22"/>
        <v>16858.87</v>
      </c>
      <c r="J1369" s="18" t="s">
        <v>1199</v>
      </c>
      <c r="K1369" s="18">
        <v>9840353</v>
      </c>
      <c r="L1369" s="18">
        <v>914072</v>
      </c>
      <c r="M1369" s="18" t="s">
        <v>3218</v>
      </c>
      <c r="N1369" s="16" t="s">
        <v>3219</v>
      </c>
      <c r="O1369" s="18" t="s">
        <v>3220</v>
      </c>
      <c r="P1369" s="18" t="s">
        <v>3221</v>
      </c>
      <c r="Q1369" s="29" t="str" cm="1">
        <f t="array" ref="Q1369">_xlfn.IFS(
A1369="","",
AND(A1369&lt;&gt;"",B1369=""),"FALTA LANÇAMENTO",
AND(B1369&lt;&gt;"",M1369=""),"FALTA O PEDIDO",
AND(M1369&lt;&gt;"",O1369=""),"FALTA NF",
O1369&lt;&gt;"","CONCLUÍDO")</f>
        <v>CONCLUÍDO</v>
      </c>
      <c r="R1369" s="36"/>
    </row>
    <row r="1370" spans="1:18" hidden="1">
      <c r="A1370" s="16">
        <v>46132</v>
      </c>
      <c r="B1370" s="16">
        <v>46133</v>
      </c>
      <c r="C1370" s="21">
        <v>11521030</v>
      </c>
      <c r="D1370" s="16" t="str">
        <f>IFERROR(VLOOKUP(Tabela5[[#This Row],[PREFIXO ]],Tabela4[#All],2,0),"CENTRO DE CUSTO")</f>
        <v>TRAT PN EXT PES FENDT 1046 VARIO</v>
      </c>
      <c r="E1370" s="18" t="s">
        <v>259</v>
      </c>
      <c r="F1370" s="21">
        <v>63215618</v>
      </c>
      <c r="G1370" s="22">
        <v>50.01</v>
      </c>
      <c r="H1370" s="22">
        <v>5678.24</v>
      </c>
      <c r="I1370" s="22">
        <f t="shared" si="22"/>
        <v>5728.25</v>
      </c>
      <c r="J1370" s="18" t="s">
        <v>1199</v>
      </c>
      <c r="K1370" s="18">
        <v>9840398</v>
      </c>
      <c r="L1370" s="18">
        <v>914044</v>
      </c>
      <c r="M1370" s="18" t="s">
        <v>3222</v>
      </c>
      <c r="N1370" s="16" t="s">
        <v>2866</v>
      </c>
      <c r="O1370" s="18" t="s">
        <v>3223</v>
      </c>
      <c r="P1370" s="18" t="s">
        <v>3224</v>
      </c>
      <c r="Q1370" s="29" t="str" cm="1">
        <f t="array" ref="Q1370">_xlfn.IFS(
A1370="","",
AND(A1370&lt;&gt;"",B1370=""),"FALTA LANÇAMENTO",
AND(B1370&lt;&gt;"",M1370=""),"FALTA O PEDIDO",
AND(M1370&lt;&gt;"",O1370=""),"FALTA NF",
O1370&lt;&gt;"","CONCLUÍDO")</f>
        <v>CONCLUÍDO</v>
      </c>
      <c r="R1370" s="36"/>
    </row>
    <row r="1371" spans="1:18" hidden="1">
      <c r="A1371" s="16">
        <v>46132</v>
      </c>
      <c r="B1371" s="16">
        <v>46133</v>
      </c>
      <c r="C1371" s="21">
        <v>11521029</v>
      </c>
      <c r="D1371" s="16" t="str">
        <f>IFERROR(VLOOKUP(Tabela5[[#This Row],[PREFIXO ]],Tabela4[#All],2,0),"CENTRO DE CUSTO")</f>
        <v>TRAT PN EXT PES FENDT 1046 VARIO</v>
      </c>
      <c r="E1371" s="18" t="s">
        <v>259</v>
      </c>
      <c r="F1371" s="21">
        <v>63203422</v>
      </c>
      <c r="G1371" s="22">
        <v>49.99</v>
      </c>
      <c r="H1371" s="22">
        <v>5052.63</v>
      </c>
      <c r="I1371" s="22">
        <f t="shared" si="22"/>
        <v>5102.62</v>
      </c>
      <c r="J1371" s="18" t="s">
        <v>1199</v>
      </c>
      <c r="K1371" s="18">
        <v>9840390</v>
      </c>
      <c r="L1371" s="18">
        <v>914030</v>
      </c>
      <c r="M1371" s="18" t="s">
        <v>3225</v>
      </c>
      <c r="N1371" s="16" t="s">
        <v>2866</v>
      </c>
      <c r="O1371" s="18" t="s">
        <v>3226</v>
      </c>
      <c r="P1371" s="18" t="s">
        <v>3227</v>
      </c>
      <c r="Q1371" s="29" t="str" cm="1">
        <f t="array" ref="Q1371">_xlfn.IFS(
A1371="","",
AND(A1371&lt;&gt;"",B1371=""),"FALTA LANÇAMENTO",
AND(B1371&lt;&gt;"",M1371=""),"FALTA O PEDIDO",
AND(M1371&lt;&gt;"",O1371=""),"FALTA NF",
O1371&lt;&gt;"","CONCLUÍDO")</f>
        <v>CONCLUÍDO</v>
      </c>
      <c r="R1371" s="36"/>
    </row>
    <row r="1372" spans="1:18" hidden="1">
      <c r="A1372" s="16">
        <v>46132</v>
      </c>
      <c r="B1372" s="16">
        <v>46133</v>
      </c>
      <c r="C1372" s="21">
        <v>15048017</v>
      </c>
      <c r="D1372" s="16" t="str">
        <f>IFERROR(VLOOKUP(Tabela5[[#This Row],[PREFIXO ]],Tabela4[#All],2,0),"CENTRO DE CUSTO")</f>
        <v>CENTRO DE CUSTO</v>
      </c>
      <c r="E1372" s="18" t="s">
        <v>259</v>
      </c>
      <c r="F1372" s="21">
        <v>63198156</v>
      </c>
      <c r="G1372" s="22">
        <v>44</v>
      </c>
      <c r="H1372" s="22">
        <v>951.56</v>
      </c>
      <c r="I1372" s="22">
        <f t="shared" si="22"/>
        <v>995.56</v>
      </c>
      <c r="J1372" s="18" t="s">
        <v>1199</v>
      </c>
      <c r="K1372" s="18">
        <v>9840374</v>
      </c>
      <c r="L1372" s="18">
        <v>914063</v>
      </c>
      <c r="M1372" s="18" t="s">
        <v>3228</v>
      </c>
      <c r="N1372" s="16" t="s">
        <v>1526</v>
      </c>
      <c r="O1372" s="18" t="s">
        <v>3229</v>
      </c>
      <c r="P1372" s="18" t="s">
        <v>2997</v>
      </c>
      <c r="Q1372" s="29" t="str" cm="1">
        <f t="array" ref="Q1372">_xlfn.IFS(
A1372="","",
AND(A1372&lt;&gt;"",B1372=""),"FALTA LANÇAMENTO",
AND(B1372&lt;&gt;"",M1372=""),"FALTA O PEDIDO",
AND(M1372&lt;&gt;"",O1372=""),"FALTA NF",
O1372&lt;&gt;"","CONCLUÍDO")</f>
        <v>CONCLUÍDO</v>
      </c>
      <c r="R1372" s="36"/>
    </row>
    <row r="1373" spans="1:18" hidden="1">
      <c r="A1373" s="16">
        <v>46132</v>
      </c>
      <c r="B1373" s="16">
        <v>46139</v>
      </c>
      <c r="C1373" s="21">
        <v>31521018</v>
      </c>
      <c r="D1373" s="16" t="str">
        <f>IFERROR(VLOOKUP(Tabela5[[#This Row],[PREFIXO ]],Tabela4[#All],2,0),"CENTRO DE CUSTO")</f>
        <v>PULV AUTOPROP JACTO UNIPORT 3030</v>
      </c>
      <c r="E1373" s="18" t="s">
        <v>367</v>
      </c>
      <c r="F1373" s="21">
        <v>84</v>
      </c>
      <c r="G1373" s="22">
        <v>14145.76</v>
      </c>
      <c r="H1373" s="22"/>
      <c r="I1373" s="22">
        <f t="shared" si="22"/>
        <v>14145.76</v>
      </c>
      <c r="J1373" s="18" t="s">
        <v>1265</v>
      </c>
      <c r="K1373" s="18">
        <v>9840318</v>
      </c>
      <c r="L1373" s="18">
        <v>914920</v>
      </c>
      <c r="M1373" s="18" t="s">
        <v>3230</v>
      </c>
      <c r="N1373" s="16" t="s">
        <v>2542</v>
      </c>
      <c r="O1373" s="18" t="s">
        <v>1095</v>
      </c>
      <c r="P1373" s="16" t="s">
        <v>1095</v>
      </c>
      <c r="Q1373" s="29" t="str" cm="1">
        <f t="array" ref="Q1373">_xlfn.IFS(
A1373="","",
AND(A1373&lt;&gt;"",B1373=""),"FALTA LANÇAMENTO",
AND(B1373&lt;&gt;"",M1373=""),"FALTA O PEDIDO",
AND(M1373&lt;&gt;"",O1373=""),"FALTA NF",
O1373&lt;&gt;"","CONCLUÍDO")</f>
        <v>CONCLUÍDO</v>
      </c>
      <c r="R1373" s="36"/>
    </row>
    <row r="1374" spans="1:18" hidden="1">
      <c r="A1374" s="16">
        <v>46132</v>
      </c>
      <c r="B1374" s="16">
        <v>46139</v>
      </c>
      <c r="C1374" s="21">
        <v>31521018</v>
      </c>
      <c r="D1374" s="16" t="str">
        <f>IFERROR(VLOOKUP(Tabela5[[#This Row],[PREFIXO ]],Tabela4[#All],2,0),"CENTRO DE CUSTO")</f>
        <v>PULV AUTOPROP JACTO UNIPORT 3030</v>
      </c>
      <c r="E1374" s="18" t="s">
        <v>367</v>
      </c>
      <c r="F1374" s="21">
        <v>10</v>
      </c>
      <c r="G1374" s="22">
        <v>2240</v>
      </c>
      <c r="H1374" s="22"/>
      <c r="I1374" s="22">
        <f t="shared" si="22"/>
        <v>2240</v>
      </c>
      <c r="J1374" s="18" t="s">
        <v>1265</v>
      </c>
      <c r="K1374" s="18">
        <v>9840318</v>
      </c>
      <c r="L1374" s="18">
        <v>914920</v>
      </c>
      <c r="M1374" s="18" t="s">
        <v>3230</v>
      </c>
      <c r="N1374" s="16" t="s">
        <v>2542</v>
      </c>
      <c r="O1374" s="18" t="s">
        <v>1095</v>
      </c>
      <c r="P1374" s="16" t="s">
        <v>1095</v>
      </c>
      <c r="Q1374" s="29" t="str" cm="1">
        <f t="array" ref="Q1374">_xlfn.IFS(
A1374="","",
AND(A1374&lt;&gt;"",B1374=""),"FALTA LANÇAMENTO",
AND(B1374&lt;&gt;"",M1374=""),"FALTA O PEDIDO",
AND(M1374&lt;&gt;"",O1374=""),"FALTA NF",
O1374&lt;&gt;"","CONCLUÍDO")</f>
        <v>CONCLUÍDO</v>
      </c>
      <c r="R1374" s="36"/>
    </row>
    <row r="1375" spans="1:18" hidden="1">
      <c r="A1375" s="16">
        <v>46134</v>
      </c>
      <c r="B1375" s="16">
        <v>46135</v>
      </c>
      <c r="C1375" s="21">
        <v>81521332</v>
      </c>
      <c r="D1375" s="16" t="str">
        <f>IFERROR(VLOOKUP(Tabela5[[#This Row],[PREFIXO ]],Tabela4[#All],2,0),"CENTRO DE CUSTO")</f>
        <v>PLANT GRÃOS N.HOLLAND PL7000 60 LINHAS</v>
      </c>
      <c r="E1375" s="18" t="s">
        <v>144</v>
      </c>
      <c r="F1375" s="21">
        <v>876</v>
      </c>
      <c r="G1375" s="22">
        <v>3439.95</v>
      </c>
      <c r="H1375" s="22"/>
      <c r="I1375" s="22">
        <f t="shared" si="22"/>
        <v>3439.95</v>
      </c>
      <c r="J1375" s="18" t="s">
        <v>1097</v>
      </c>
      <c r="K1375" s="18">
        <v>9844045</v>
      </c>
      <c r="L1375" s="18">
        <v>914963</v>
      </c>
      <c r="M1375" s="18" t="s">
        <v>3231</v>
      </c>
      <c r="N1375" s="16" t="s">
        <v>2581</v>
      </c>
      <c r="O1375" s="18" t="s">
        <v>3232</v>
      </c>
      <c r="P1375" s="18" t="s">
        <v>2544</v>
      </c>
      <c r="Q1375" s="29" t="str" cm="1">
        <f t="array" ref="Q1375">_xlfn.IFS(
A1375="","",
AND(A1375&lt;&gt;"",B1375=""),"FALTA LANÇAMENTO",
AND(B1375&lt;&gt;"",M1375=""),"FALTA O PEDIDO",
AND(M1375&lt;&gt;"",O1375=""),"FALTA NF",
O1375&lt;&gt;"","CONCLUÍDO")</f>
        <v>CONCLUÍDO</v>
      </c>
      <c r="R1375" s="36"/>
    </row>
    <row r="1376" spans="1:18" hidden="1">
      <c r="A1376" s="16">
        <v>46134</v>
      </c>
      <c r="B1376" s="16">
        <v>46136</v>
      </c>
      <c r="C1376" s="21">
        <v>51521102</v>
      </c>
      <c r="D1376" s="16" t="str">
        <f>IFERROR(VLOOKUP(Tabela5[[#This Row],[PREFIXO ]],Tabela4[#All],2,0),"CENTRO DE CUSTO")</f>
        <v>COLHEIT DE GRÃOS N.HOLLAND CR 8.90</v>
      </c>
      <c r="E1376" s="18" t="s">
        <v>218</v>
      </c>
      <c r="F1376" s="21">
        <v>26620</v>
      </c>
      <c r="G1376" s="22">
        <v>804</v>
      </c>
      <c r="H1376" s="22">
        <v>13686.68</v>
      </c>
      <c r="I1376" s="22">
        <f t="shared" si="22"/>
        <v>14490.68</v>
      </c>
      <c r="J1376" s="18" t="s">
        <v>1123</v>
      </c>
      <c r="K1376" s="18">
        <v>9844044</v>
      </c>
      <c r="L1376" s="18">
        <v>915432</v>
      </c>
      <c r="M1376" s="18" t="s">
        <v>3233</v>
      </c>
      <c r="N1376" s="16" t="s">
        <v>3219</v>
      </c>
      <c r="O1376" s="18" t="s">
        <v>3234</v>
      </c>
      <c r="P1376" s="18" t="s">
        <v>2583</v>
      </c>
      <c r="Q1376" s="29" t="str" cm="1">
        <f t="array" ref="Q1376">_xlfn.IFS(
A1376="","",
AND(A1376&lt;&gt;"",B1376=""),"FALTA LANÇAMENTO",
AND(B1376&lt;&gt;"",M1376=""),"FALTA O PEDIDO",
AND(M1376&lt;&gt;"",O1376=""),"FALTA NF",
O1376&lt;&gt;"","CONCLUÍDO")</f>
        <v>CONCLUÍDO</v>
      </c>
      <c r="R1376" s="36"/>
    </row>
    <row r="1377" spans="1:18" hidden="1">
      <c r="A1377" s="16">
        <v>46134</v>
      </c>
      <c r="B1377" s="16">
        <v>46136</v>
      </c>
      <c r="C1377" s="21">
        <v>15048015</v>
      </c>
      <c r="D1377" s="16" t="str">
        <f>IFERROR(VLOOKUP(Tabela5[[#This Row],[PREFIXO ]],Tabela4[#All],2,0),"CENTRO DE CUSTO")</f>
        <v>TRAT PN EXT PES FENDT VARIO 1050</v>
      </c>
      <c r="E1377" s="18" t="s">
        <v>259</v>
      </c>
      <c r="F1377" s="21">
        <v>63207456</v>
      </c>
      <c r="G1377" s="22">
        <v>40685.81</v>
      </c>
      <c r="H1377" s="22"/>
      <c r="I1377" s="22">
        <f t="shared" si="22"/>
        <v>40685.81</v>
      </c>
      <c r="J1377" s="18" t="s">
        <v>1199</v>
      </c>
      <c r="K1377" s="18">
        <v>9844047</v>
      </c>
      <c r="L1377" s="18">
        <v>915950</v>
      </c>
      <c r="M1377" s="18" t="s">
        <v>3235</v>
      </c>
      <c r="N1377" s="16" t="s">
        <v>2542</v>
      </c>
      <c r="O1377" s="18" t="s">
        <v>3236</v>
      </c>
      <c r="P1377" s="18" t="s">
        <v>3007</v>
      </c>
      <c r="Q1377" s="29" t="str" cm="1">
        <f t="array" ref="Q1377">_xlfn.IFS(
A1377="","",
AND(A1377&lt;&gt;"",B1377=""),"FALTA LANÇAMENTO",
AND(B1377&lt;&gt;"",M1377=""),"FALTA O PEDIDO",
AND(M1377&lt;&gt;"",O1377=""),"FALTA NF",
O1377&lt;&gt;"","CONCLUÍDO")</f>
        <v>CONCLUÍDO</v>
      </c>
      <c r="R1377" s="36"/>
    </row>
    <row r="1378" spans="1:18" hidden="1">
      <c r="A1378" s="16">
        <v>46135</v>
      </c>
      <c r="B1378" s="16">
        <v>46135</v>
      </c>
      <c r="C1378" s="21">
        <v>500580349</v>
      </c>
      <c r="D1378" s="16" t="str">
        <f>IFERROR(VLOOKUP(Tabela5[[#This Row],[PREFIXO ]],Tabela4[#All],2,0),"CENTRO DE CUSTO")</f>
        <v>ADUBADORES AUTOPROPE</v>
      </c>
      <c r="E1378" s="18" t="s">
        <v>39</v>
      </c>
      <c r="F1378" s="21"/>
      <c r="G1378" s="22">
        <v>12265</v>
      </c>
      <c r="H1378" s="22"/>
      <c r="I1378" s="22">
        <f t="shared" si="22"/>
        <v>12265</v>
      </c>
      <c r="J1378" s="18" t="s">
        <v>1265</v>
      </c>
      <c r="K1378" s="18">
        <v>5020495</v>
      </c>
      <c r="L1378" s="18">
        <v>916179</v>
      </c>
      <c r="M1378" s="18" t="s">
        <v>3237</v>
      </c>
      <c r="N1378" s="16" t="s">
        <v>1095</v>
      </c>
      <c r="O1378" s="18" t="s">
        <v>2418</v>
      </c>
      <c r="P1378" s="18" t="s">
        <v>3048</v>
      </c>
      <c r="Q1378" s="29" t="str" cm="1">
        <f t="array" ref="Q1378">_xlfn.IFS(
A1378="","",
AND(A1378&lt;&gt;"",B1378=""),"FALTA LANÇAMENTO",
AND(B1378&lt;&gt;"",M1378=""),"FALTA O PEDIDO",
AND(M1378&lt;&gt;"",O1378=""),"FALTA NF",
O1378&lt;&gt;"","CONCLUÍDO")</f>
        <v>CONCLUÍDO</v>
      </c>
      <c r="R1378" s="36"/>
    </row>
    <row r="1379" spans="1:18" hidden="1">
      <c r="A1379" s="16">
        <v>46135</v>
      </c>
      <c r="B1379" s="16">
        <v>46135</v>
      </c>
      <c r="C1379" s="21">
        <v>500580100</v>
      </c>
      <c r="D1379" s="16" t="str">
        <f>IFERROR(VLOOKUP(Tabela5[[#This Row],[PREFIXO ]],Tabela4[#All],2,0),"CENTRO DE CUSTO")</f>
        <v>Autopropelidos</v>
      </c>
      <c r="E1379" s="18" t="s">
        <v>39</v>
      </c>
      <c r="F1379" s="21"/>
      <c r="G1379" s="22">
        <v>3720</v>
      </c>
      <c r="H1379" s="22"/>
      <c r="I1379" s="22">
        <f t="shared" si="22"/>
        <v>3720</v>
      </c>
      <c r="J1379" s="18" t="s">
        <v>1265</v>
      </c>
      <c r="K1379" s="18">
        <v>9845195</v>
      </c>
      <c r="L1379" s="18">
        <v>916121</v>
      </c>
      <c r="M1379" s="18" t="s">
        <v>3238</v>
      </c>
      <c r="N1379" s="16" t="s">
        <v>1095</v>
      </c>
      <c r="O1379" s="18" t="s">
        <v>3239</v>
      </c>
      <c r="P1379" s="18" t="s">
        <v>3048</v>
      </c>
      <c r="Q1379" s="29" t="str" cm="1">
        <f t="array" ref="Q1379">_xlfn.IFS(
A1379="","",
AND(A1379&lt;&gt;"",B1379=""),"FALTA LANÇAMENTO",
AND(B1379&lt;&gt;"",M1379=""),"FALTA O PEDIDO",
AND(M1379&lt;&gt;"",O1379=""),"FALTA NF",
O1379&lt;&gt;"","CONCLUÍDO")</f>
        <v>CONCLUÍDO</v>
      </c>
      <c r="R1379" s="36"/>
    </row>
    <row r="1380" spans="1:18" hidden="1">
      <c r="A1380" s="16">
        <v>46135</v>
      </c>
      <c r="B1380" s="16">
        <v>46135</v>
      </c>
      <c r="C1380" s="21"/>
      <c r="D1380" s="16" t="str">
        <f>IFERROR(VLOOKUP(Tabela5[[#This Row],[PREFIXO ]],Tabela4[#All],2,0),"CENTRO DE CUSTO")</f>
        <v>CENTRO DE CUSTO</v>
      </c>
      <c r="E1380" s="18" t="s">
        <v>311</v>
      </c>
      <c r="F1380" s="21">
        <v>746</v>
      </c>
      <c r="G1380" s="22">
        <v>1200</v>
      </c>
      <c r="H1380" s="22"/>
      <c r="I1380" s="22">
        <f t="shared" si="22"/>
        <v>1200</v>
      </c>
      <c r="J1380" s="18" t="s">
        <v>1199</v>
      </c>
      <c r="K1380" s="18">
        <v>9845139</v>
      </c>
      <c r="L1380" s="18">
        <v>915667</v>
      </c>
      <c r="M1380" s="18" t="s">
        <v>3240</v>
      </c>
      <c r="N1380" s="16" t="s">
        <v>2866</v>
      </c>
      <c r="O1380" s="18" t="s">
        <v>2618</v>
      </c>
      <c r="P1380" s="18" t="s">
        <v>2581</v>
      </c>
      <c r="Q1380" s="29" t="str" cm="1">
        <f t="array" ref="Q1380">_xlfn.IFS(
A1380="","",
AND(A1380&lt;&gt;"",B1380=""),"FALTA LANÇAMENTO",
AND(B1380&lt;&gt;"",M1380=""),"FALTA O PEDIDO",
AND(M1380&lt;&gt;"",O1380=""),"FALTA NF",
O1380&lt;&gt;"","CONCLUÍDO")</f>
        <v>CONCLUÍDO</v>
      </c>
      <c r="R1380" s="36"/>
    </row>
    <row r="1381" spans="1:18" hidden="1">
      <c r="A1381" s="16">
        <v>46135</v>
      </c>
      <c r="B1381" s="16">
        <v>46136</v>
      </c>
      <c r="C1381" s="21">
        <v>61521052</v>
      </c>
      <c r="D1381" s="16" t="str">
        <f>IFERROR(VLOOKUP(Tabela5[[#This Row],[PREFIXO ]],Tabela4[#All],2,0),"CENTRO DE CUSTO")</f>
        <v>CAM CARGA SECA MERC BENZ ATEGO 1719</v>
      </c>
      <c r="E1381" s="18" t="s">
        <v>131</v>
      </c>
      <c r="F1381" s="21">
        <v>91</v>
      </c>
      <c r="G1381" s="22">
        <v>23440</v>
      </c>
      <c r="H1381" s="22">
        <v>26087.67</v>
      </c>
      <c r="I1381" s="22">
        <f t="shared" si="22"/>
        <v>49527.67</v>
      </c>
      <c r="J1381" s="18" t="s">
        <v>1199</v>
      </c>
      <c r="K1381" s="18">
        <v>9845199</v>
      </c>
      <c r="L1381" s="18">
        <v>915631</v>
      </c>
      <c r="M1381" s="18" t="s">
        <v>3241</v>
      </c>
      <c r="N1381" s="16" t="s">
        <v>2581</v>
      </c>
      <c r="O1381" s="18" t="s">
        <v>3242</v>
      </c>
      <c r="P1381" s="18" t="s">
        <v>3004</v>
      </c>
      <c r="Q1381" s="29" t="str" cm="1">
        <f t="array" ref="Q1381">_xlfn.IFS(
A1381="","",
AND(A1381&lt;&gt;"",B1381=""),"FALTA LANÇAMENTO",
AND(B1381&lt;&gt;"",M1381=""),"FALTA O PEDIDO",
AND(M1381&lt;&gt;"",O1381=""),"FALTA NF",
O1381&lt;&gt;"","CONCLUÍDO")</f>
        <v>CONCLUÍDO</v>
      </c>
      <c r="R1381" s="36"/>
    </row>
    <row r="1382" spans="1:18" hidden="1">
      <c r="A1382" s="16">
        <v>46135</v>
      </c>
      <c r="B1382" s="16">
        <v>46135</v>
      </c>
      <c r="C1382" s="21">
        <v>22030123</v>
      </c>
      <c r="D1382" s="16" t="str">
        <f>IFERROR(VLOOKUP(Tabela5[[#This Row],[PREFIXO ]],Tabela4[#All],2,0),"CENTRO DE CUSTO")</f>
        <v>AUTOMOVEL FIAT FIORINO ENDURANCE</v>
      </c>
      <c r="E1382" s="18" t="s">
        <v>328</v>
      </c>
      <c r="F1382" s="21">
        <v>7490</v>
      </c>
      <c r="G1382" s="22">
        <v>120</v>
      </c>
      <c r="H1382" s="22">
        <v>479.65</v>
      </c>
      <c r="I1382" s="22">
        <f t="shared" si="22"/>
        <v>599.65</v>
      </c>
      <c r="J1382" s="18" t="s">
        <v>1085</v>
      </c>
      <c r="K1382" s="18">
        <v>9845190</v>
      </c>
      <c r="L1382" s="18">
        <v>915985</v>
      </c>
      <c r="M1382" s="18" t="s">
        <v>3243</v>
      </c>
      <c r="N1382" s="16" t="s">
        <v>2866</v>
      </c>
      <c r="O1382" s="18" t="s">
        <v>3244</v>
      </c>
      <c r="P1382" s="18" t="s">
        <v>3085</v>
      </c>
      <c r="Q1382" s="29" t="str" cm="1">
        <f t="array" ref="Q1382">_xlfn.IFS(
A1382="","",
AND(A1382&lt;&gt;"",B1382=""),"FALTA LANÇAMENTO",
AND(B1382&lt;&gt;"",M1382=""),"FALTA O PEDIDO",
AND(M1382&lt;&gt;"",O1382=""),"FALTA NF",
O1382&lt;&gt;"","CONCLUÍDO")</f>
        <v>CONCLUÍDO</v>
      </c>
      <c r="R1382" s="36"/>
    </row>
    <row r="1383" spans="1:18" hidden="1">
      <c r="A1383" s="16">
        <v>46135</v>
      </c>
      <c r="B1383" s="16">
        <v>46153</v>
      </c>
      <c r="C1383" s="21">
        <v>11521017</v>
      </c>
      <c r="D1383" s="16" t="str">
        <f>IFERROR(VLOOKUP(Tabela5[[#This Row],[PREFIXO ]],Tabela4[#All],2,0),"CENTRO DE CUSTO")</f>
        <v>TRAT PN MED CASE PUMA 140</v>
      </c>
      <c r="E1383" s="18" t="s">
        <v>240</v>
      </c>
      <c r="F1383" s="21">
        <v>459</v>
      </c>
      <c r="G1383" s="22">
        <v>5800</v>
      </c>
      <c r="H1383" s="22"/>
      <c r="I1383" s="22">
        <f t="shared" si="22"/>
        <v>5800</v>
      </c>
      <c r="J1383" s="18" t="s">
        <v>1199</v>
      </c>
      <c r="K1383" s="18">
        <v>9857101</v>
      </c>
      <c r="L1383" s="18">
        <v>919374</v>
      </c>
      <c r="M1383" s="18" t="s">
        <v>3245</v>
      </c>
      <c r="N1383" s="16" t="s">
        <v>3246</v>
      </c>
      <c r="O1383" s="18" t="s">
        <v>2071</v>
      </c>
      <c r="P1383" s="18" t="s">
        <v>3031</v>
      </c>
      <c r="Q1383" s="29" t="str" cm="1">
        <f t="array" ref="Q1383">_xlfn.IFS(
A1383="","",
AND(A1383&lt;&gt;"",B1383=""),"FALTA LANÇAMENTO",
AND(B1383&lt;&gt;"",M1383=""),"FALTA O PEDIDO",
AND(M1383&lt;&gt;"",O1383=""),"FALTA NF",
O1383&lt;&gt;"","CONCLUÍDO")</f>
        <v>CONCLUÍDO</v>
      </c>
      <c r="R1383" s="36"/>
    </row>
    <row r="1384" spans="1:18" hidden="1">
      <c r="A1384" s="16">
        <v>46135</v>
      </c>
      <c r="B1384" s="16">
        <v>46135</v>
      </c>
      <c r="C1384" s="21">
        <v>41521069</v>
      </c>
      <c r="D1384" s="16" t="str">
        <f>IFERROR(VLOOKUP(Tabela5[[#This Row],[PREFIXO ]],Tabela4[#All],2,0),"CENTRO DE CUSTO")</f>
        <v>MICROONIBUS SPRINTER 417 CDI K42B</v>
      </c>
      <c r="E1384" s="18" t="s">
        <v>110</v>
      </c>
      <c r="F1384" s="21">
        <v>34177</v>
      </c>
      <c r="G1384" s="22">
        <v>780</v>
      </c>
      <c r="H1384" s="22"/>
      <c r="I1384" s="22">
        <f t="shared" si="22"/>
        <v>780</v>
      </c>
      <c r="J1384" s="18" t="s">
        <v>1199</v>
      </c>
      <c r="K1384" s="18">
        <v>9845137</v>
      </c>
      <c r="L1384" s="18">
        <v>915960</v>
      </c>
      <c r="M1384" s="18" t="s">
        <v>3247</v>
      </c>
      <c r="N1384" s="16" t="s">
        <v>2866</v>
      </c>
      <c r="O1384" s="18" t="s">
        <v>1660</v>
      </c>
      <c r="P1384" s="18" t="s">
        <v>2677</v>
      </c>
      <c r="Q1384" s="29" t="str" cm="1">
        <f t="array" ref="Q1384">_xlfn.IFS(
A1384="","",
AND(A1384&lt;&gt;"",B1384=""),"FALTA LANÇAMENTO",
AND(B1384&lt;&gt;"",M1384=""),"FALTA O PEDIDO",
AND(M1384&lt;&gt;"",O1384=""),"FALTA NF",
O1384&lt;&gt;"","CONCLUÍDO")</f>
        <v>CONCLUÍDO</v>
      </c>
      <c r="R1384" s="36"/>
    </row>
    <row r="1385" spans="1:18" hidden="1">
      <c r="A1385" s="16">
        <v>46135</v>
      </c>
      <c r="B1385" s="16">
        <v>46135</v>
      </c>
      <c r="C1385" s="21">
        <v>500580100</v>
      </c>
      <c r="D1385" s="16" t="str">
        <f>IFERROR(VLOOKUP(Tabela5[[#This Row],[PREFIXO ]],Tabela4[#All],2,0),"CENTRO DE CUSTO")</f>
        <v>Autopropelidos</v>
      </c>
      <c r="E1385" s="18" t="s">
        <v>249</v>
      </c>
      <c r="F1385" s="21">
        <v>233</v>
      </c>
      <c r="G1385" s="22">
        <v>11375</v>
      </c>
      <c r="H1385" s="22"/>
      <c r="I1385" s="22">
        <f t="shared" si="22"/>
        <v>11375</v>
      </c>
      <c r="J1385" s="18" t="s">
        <v>1265</v>
      </c>
      <c r="K1385" s="18">
        <v>5020496</v>
      </c>
      <c r="L1385" s="18">
        <v>916001</v>
      </c>
      <c r="M1385" s="18" t="s">
        <v>3248</v>
      </c>
      <c r="N1385" s="16" t="s">
        <v>2581</v>
      </c>
      <c r="O1385" s="18" t="s">
        <v>3249</v>
      </c>
      <c r="P1385" s="18" t="s">
        <v>2969</v>
      </c>
      <c r="Q1385" s="29" t="str" cm="1">
        <f t="array" ref="Q1385">_xlfn.IFS(
A1385="","",
AND(A1385&lt;&gt;"",B1385=""),"FALTA LANÇAMENTO",
AND(B1385&lt;&gt;"",M1385=""),"FALTA O PEDIDO",
AND(M1385&lt;&gt;"",O1385=""),"FALTA NF",
O1385&lt;&gt;"","CONCLUÍDO")</f>
        <v>CONCLUÍDO</v>
      </c>
      <c r="R1385" s="36"/>
    </row>
    <row r="1386" spans="1:18" hidden="1">
      <c r="A1386" s="16">
        <v>46135</v>
      </c>
      <c r="B1386" s="16">
        <v>46135</v>
      </c>
      <c r="C1386" s="21">
        <v>12060003</v>
      </c>
      <c r="D1386" s="16" t="str">
        <f>IFERROR(VLOOKUP(Tabela5[[#This Row],[PREFIXO ]],Tabela4[#All],2,0),"CENTRO DE CUSTO")</f>
        <v>ONIB RODOVIÁRIO MARCOPOLO NEOBUS MEGA</v>
      </c>
      <c r="E1386" s="18" t="s">
        <v>129</v>
      </c>
      <c r="F1386" s="21">
        <v>178</v>
      </c>
      <c r="G1386" s="22">
        <v>3000</v>
      </c>
      <c r="H1386" s="22"/>
      <c r="I1386" s="22">
        <f t="shared" si="22"/>
        <v>3000</v>
      </c>
      <c r="J1386" s="18" t="s">
        <v>1085</v>
      </c>
      <c r="K1386" s="18">
        <v>9845182</v>
      </c>
      <c r="L1386" s="18" t="s">
        <v>1095</v>
      </c>
      <c r="M1386" s="18" t="s">
        <v>1095</v>
      </c>
      <c r="N1386" s="16" t="s">
        <v>1095</v>
      </c>
      <c r="O1386" s="18" t="s">
        <v>1095</v>
      </c>
      <c r="P1386" s="16" t="s">
        <v>1095</v>
      </c>
      <c r="Q1386" s="29" t="str" cm="1">
        <f t="array" ref="Q1386">_xlfn.IFS(
A1386="","",
AND(A1386&lt;&gt;"",B1386=""),"FALTA LANÇAMENTO",
AND(B1386&lt;&gt;"",M1386=""),"FALTA O PEDIDO",
AND(M1386&lt;&gt;"",O1386=""),"FALTA NF",
O1386&lt;&gt;"","CONCLUÍDO")</f>
        <v>CONCLUÍDO</v>
      </c>
      <c r="R1386" s="36"/>
    </row>
    <row r="1387" spans="1:18" hidden="1">
      <c r="A1387" s="16">
        <v>46135</v>
      </c>
      <c r="B1387" s="16">
        <v>46135</v>
      </c>
      <c r="C1387" s="21">
        <v>61521077</v>
      </c>
      <c r="D1387" s="16" t="str">
        <f>IFERROR(VLOOKUP(Tabela5[[#This Row],[PREFIXO ]],Tabela4[#All],2,0),"CENTRO DE CUSTO")</f>
        <v>CAM PIPA BOMB VOLVO VM 330</v>
      </c>
      <c r="E1387" s="18" t="s">
        <v>129</v>
      </c>
      <c r="F1387" s="21">
        <v>201</v>
      </c>
      <c r="G1387" s="22">
        <v>2550</v>
      </c>
      <c r="H1387" s="22"/>
      <c r="I1387" s="22">
        <f t="shared" si="22"/>
        <v>2550</v>
      </c>
      <c r="J1387" s="18" t="s">
        <v>1085</v>
      </c>
      <c r="K1387" s="18">
        <v>9845180</v>
      </c>
      <c r="L1387" s="18" t="s">
        <v>1095</v>
      </c>
      <c r="M1387" s="18" t="s">
        <v>1095</v>
      </c>
      <c r="N1387" s="16" t="s">
        <v>1095</v>
      </c>
      <c r="O1387" s="18" t="s">
        <v>1095</v>
      </c>
      <c r="P1387" s="16" t="s">
        <v>1095</v>
      </c>
      <c r="Q1387" s="29" t="str" cm="1">
        <f t="array" ref="Q1387">_xlfn.IFS(
A1387="","",
AND(A1387&lt;&gt;"",B1387=""),"FALTA LANÇAMENTO",
AND(B1387&lt;&gt;"",M1387=""),"FALTA O PEDIDO",
AND(M1387&lt;&gt;"",O1387=""),"FALTA NF",
O1387&lt;&gt;"","CONCLUÍDO")</f>
        <v>CONCLUÍDO</v>
      </c>
      <c r="R1387" s="36"/>
    </row>
    <row r="1388" spans="1:18" hidden="1">
      <c r="A1388" s="16">
        <v>46135</v>
      </c>
      <c r="B1388" s="16">
        <v>46135</v>
      </c>
      <c r="C1388" s="21">
        <v>22030052</v>
      </c>
      <c r="D1388" s="16" t="str">
        <f>IFERROR(VLOOKUP(Tabela5[[#This Row],[PREFIXO ]],Tabela4[#All],2,0),"CENTRO DE CUSTO")</f>
        <v>AUTOMOVEL FIAT STRADA FREEDOM CD13</v>
      </c>
      <c r="E1388" s="18" t="s">
        <v>129</v>
      </c>
      <c r="F1388" s="21">
        <v>220</v>
      </c>
      <c r="G1388" s="22">
        <v>1000</v>
      </c>
      <c r="H1388" s="22"/>
      <c r="I1388" s="22">
        <f t="shared" si="22"/>
        <v>1000</v>
      </c>
      <c r="J1388" s="18" t="s">
        <v>1085</v>
      </c>
      <c r="K1388" s="18">
        <v>9845186</v>
      </c>
      <c r="L1388" s="18" t="s">
        <v>1095</v>
      </c>
      <c r="M1388" s="18" t="s">
        <v>1095</v>
      </c>
      <c r="N1388" s="16" t="s">
        <v>1095</v>
      </c>
      <c r="O1388" s="18" t="s">
        <v>1095</v>
      </c>
      <c r="P1388" s="16" t="s">
        <v>1095</v>
      </c>
      <c r="Q1388" s="29" t="str" cm="1">
        <f t="array" ref="Q1388">_xlfn.IFS(
A1388="","",
AND(A1388&lt;&gt;"",B1388=""),"FALTA LANÇAMENTO",
AND(B1388&lt;&gt;"",M1388=""),"FALTA O PEDIDO",
AND(M1388&lt;&gt;"",O1388=""),"FALTA NF",
O1388&lt;&gt;"","CONCLUÍDO")</f>
        <v>CONCLUÍDO</v>
      </c>
      <c r="R1388" s="36"/>
    </row>
    <row r="1389" spans="1:18" hidden="1">
      <c r="A1389" s="16">
        <v>46135</v>
      </c>
      <c r="B1389" s="16">
        <v>46135</v>
      </c>
      <c r="C1389" s="21">
        <v>61521066</v>
      </c>
      <c r="D1389" s="16" t="str">
        <f>IFERROR(VLOOKUP(Tabela5[[#This Row],[PREFIXO ]],Tabela4[#All],2,0),"CENTRO DE CUSTO")</f>
        <v>CAM ROLL ON/OFF VOLVO VM 330</v>
      </c>
      <c r="E1389" s="18" t="s">
        <v>129</v>
      </c>
      <c r="F1389" s="21">
        <v>212</v>
      </c>
      <c r="G1389" s="22">
        <v>900</v>
      </c>
      <c r="H1389" s="22"/>
      <c r="I1389" s="22">
        <f t="shared" si="22"/>
        <v>900</v>
      </c>
      <c r="J1389" s="18" t="s">
        <v>1085</v>
      </c>
      <c r="K1389" s="18">
        <v>9845181</v>
      </c>
      <c r="L1389" s="18" t="s">
        <v>1095</v>
      </c>
      <c r="M1389" s="18" t="s">
        <v>1095</v>
      </c>
      <c r="N1389" s="16" t="s">
        <v>1095</v>
      </c>
      <c r="O1389" s="18" t="s">
        <v>1095</v>
      </c>
      <c r="P1389" s="16" t="s">
        <v>1095</v>
      </c>
      <c r="Q1389" s="29" t="str" cm="1">
        <f t="array" ref="Q1389">_xlfn.IFS(
A1389="","",
AND(A1389&lt;&gt;"",B1389=""),"FALTA LANÇAMENTO",
AND(B1389&lt;&gt;"",M1389=""),"FALTA O PEDIDO",
AND(M1389&lt;&gt;"",O1389=""),"FALTA NF",
O1389&lt;&gt;"","CONCLUÍDO")</f>
        <v>CONCLUÍDO</v>
      </c>
      <c r="R1389" s="36"/>
    </row>
    <row r="1390" spans="1:18" hidden="1">
      <c r="A1390" s="16">
        <v>46136</v>
      </c>
      <c r="B1390" s="16">
        <v>46139</v>
      </c>
      <c r="C1390" s="21">
        <v>16170054</v>
      </c>
      <c r="D1390" s="16" t="str">
        <f>IFERROR(VLOOKUP(Tabela5[[#This Row],[PREFIXO ]],Tabela4[#All],2,0),"CENTRO DE CUSTO")</f>
        <v>SR TANQUE RANDON SR TQ TL</v>
      </c>
      <c r="E1390" s="18" t="s">
        <v>62</v>
      </c>
      <c r="F1390" s="21">
        <v>1263</v>
      </c>
      <c r="G1390" s="22">
        <v>12680</v>
      </c>
      <c r="H1390" s="22"/>
      <c r="I1390" s="22">
        <f t="shared" si="22"/>
        <v>12680</v>
      </c>
      <c r="J1390" s="18" t="s">
        <v>1199</v>
      </c>
      <c r="K1390" s="18">
        <v>9846307</v>
      </c>
      <c r="L1390" s="18">
        <v>917297</v>
      </c>
      <c r="M1390" s="18" t="s">
        <v>3250</v>
      </c>
      <c r="N1390" s="16" t="s">
        <v>2609</v>
      </c>
      <c r="O1390" s="18" t="s">
        <v>1494</v>
      </c>
      <c r="P1390" s="18" t="s">
        <v>2676</v>
      </c>
      <c r="Q1390" s="29" t="str" cm="1">
        <f t="array" ref="Q1390">_xlfn.IFS(
A1390="","",
AND(A1390&lt;&gt;"",B1390=""),"FALTA LANÇAMENTO",
AND(B1390&lt;&gt;"",M1390=""),"FALTA O PEDIDO",
AND(M1390&lt;&gt;"",O1390=""),"FALTA NF",
O1390&lt;&gt;"","CONCLUÍDO")</f>
        <v>CONCLUÍDO</v>
      </c>
      <c r="R1390" s="36"/>
    </row>
    <row r="1391" spans="1:18" hidden="1">
      <c r="A1391" s="16">
        <v>46136</v>
      </c>
      <c r="B1391" s="16">
        <v>46139</v>
      </c>
      <c r="C1391" s="21">
        <v>16170014</v>
      </c>
      <c r="D1391" s="16" t="str">
        <f>IFERROR(VLOOKUP(Tabela5[[#This Row],[PREFIXO ]],Tabela4[#All],2,0),"CENTRO DE CUSTO")</f>
        <v>SR TANQUE FACCHINI SRTQ 19.000 L</v>
      </c>
      <c r="E1391" s="18" t="s">
        <v>62</v>
      </c>
      <c r="F1391" s="21">
        <v>1262</v>
      </c>
      <c r="G1391" s="22">
        <v>12100</v>
      </c>
      <c r="H1391" s="22"/>
      <c r="I1391" s="22">
        <f t="shared" si="22"/>
        <v>12100</v>
      </c>
      <c r="J1391" s="18" t="s">
        <v>1199</v>
      </c>
      <c r="K1391" s="18">
        <v>9846298</v>
      </c>
      <c r="L1391" s="18">
        <v>917252</v>
      </c>
      <c r="M1391" s="18" t="s">
        <v>3251</v>
      </c>
      <c r="N1391" s="16" t="s">
        <v>2609</v>
      </c>
      <c r="O1391" s="18" t="s">
        <v>1601</v>
      </c>
      <c r="P1391" s="18" t="s">
        <v>2676</v>
      </c>
      <c r="Q1391" s="29" t="str" cm="1">
        <f t="array" ref="Q1391">_xlfn.IFS(
A1391="","",
AND(A1391&lt;&gt;"",B1391=""),"FALTA LANÇAMENTO",
AND(B1391&lt;&gt;"",M1391=""),"FALTA O PEDIDO",
AND(M1391&lt;&gt;"",O1391=""),"FALTA NF",
O1391&lt;&gt;"","CONCLUÍDO")</f>
        <v>CONCLUÍDO</v>
      </c>
      <c r="R1391" s="36"/>
    </row>
    <row r="1392" spans="1:18" hidden="1">
      <c r="A1392" s="16">
        <v>46136</v>
      </c>
      <c r="B1392" s="16">
        <v>46136</v>
      </c>
      <c r="C1392" s="21">
        <v>61521075</v>
      </c>
      <c r="D1392" s="16" t="str">
        <f>IFERROR(VLOOKUP(Tabela5[[#This Row],[PREFIXO ]],Tabela4[#All],2,0),"CENTRO DE CUSTO")</f>
        <v>CAV MEC PES VOLVO VM 220</v>
      </c>
      <c r="E1392" s="18" t="s">
        <v>62</v>
      </c>
      <c r="F1392" s="21">
        <v>1215</v>
      </c>
      <c r="G1392" s="22">
        <v>5500</v>
      </c>
      <c r="H1392" s="22"/>
      <c r="I1392" s="22">
        <f t="shared" si="22"/>
        <v>5500</v>
      </c>
      <c r="J1392" s="18" t="s">
        <v>1199</v>
      </c>
      <c r="K1392" s="18">
        <v>9846301</v>
      </c>
      <c r="L1392" s="18">
        <v>916733</v>
      </c>
      <c r="M1392" s="18" t="s">
        <v>3252</v>
      </c>
      <c r="N1392" s="16" t="s">
        <v>3219</v>
      </c>
      <c r="O1392" s="18" t="s">
        <v>3253</v>
      </c>
      <c r="P1392" s="18" t="s">
        <v>2676</v>
      </c>
      <c r="Q1392" s="29" t="str" cm="1">
        <f t="array" ref="Q1392">_xlfn.IFS(
A1392="","",
AND(A1392&lt;&gt;"",B1392=""),"FALTA LANÇAMENTO",
AND(B1392&lt;&gt;"",M1392=""),"FALTA O PEDIDO",
AND(M1392&lt;&gt;"",O1392=""),"FALTA NF",
O1392&lt;&gt;"","CONCLUÍDO")</f>
        <v>CONCLUÍDO</v>
      </c>
      <c r="R1392" s="36"/>
    </row>
    <row r="1393" spans="1:18" hidden="1">
      <c r="A1393" s="16">
        <v>46136</v>
      </c>
      <c r="B1393" s="16">
        <v>46147</v>
      </c>
      <c r="C1393" s="21">
        <v>500580325</v>
      </c>
      <c r="D1393" s="16" t="str">
        <f>IFERROR(VLOOKUP(Tabela5[[#This Row],[PREFIXO ]],Tabela4[#All],2,0),"CENTRO DE CUSTO")</f>
        <v>Colheitad. Alg Auto</v>
      </c>
      <c r="E1393" s="18" t="s">
        <v>368</v>
      </c>
      <c r="F1393" s="21"/>
      <c r="G1393" s="22">
        <v>12400</v>
      </c>
      <c r="H1393" s="22"/>
      <c r="I1393" s="22">
        <f t="shared" si="22"/>
        <v>12400</v>
      </c>
      <c r="J1393" s="18" t="s">
        <v>1113</v>
      </c>
      <c r="K1393" s="18">
        <v>9845578</v>
      </c>
      <c r="L1393" s="18">
        <v>922305</v>
      </c>
      <c r="M1393" s="18" t="s">
        <v>3254</v>
      </c>
      <c r="N1393" s="16" t="s">
        <v>2676</v>
      </c>
      <c r="O1393" s="18" t="s">
        <v>2679</v>
      </c>
      <c r="P1393" s="18" t="s">
        <v>2676</v>
      </c>
      <c r="Q1393" s="29" t="str" cm="1">
        <f t="array" ref="Q1393">_xlfn.IFS(
A1393="","",
AND(A1393&lt;&gt;"",B1393=""),"FALTA LANÇAMENTO",
AND(B1393&lt;&gt;"",M1393=""),"FALTA O PEDIDO",
AND(M1393&lt;&gt;"",O1393=""),"FALTA NF",
O1393&lt;&gt;"","CONCLUÍDO")</f>
        <v>CONCLUÍDO</v>
      </c>
      <c r="R1393" s="36"/>
    </row>
    <row r="1394" spans="1:18" hidden="1">
      <c r="A1394" s="16">
        <v>46136</v>
      </c>
      <c r="B1394" s="16">
        <v>46136</v>
      </c>
      <c r="C1394" s="21">
        <v>500580096</v>
      </c>
      <c r="D1394" s="16" t="str">
        <f>IFERROR(VLOOKUP(Tabela5[[#This Row],[PREFIXO ]],Tabela4[#All],2,0),"CENTRO DE CUSTO")</f>
        <v>Grades</v>
      </c>
      <c r="E1394" s="18" t="s">
        <v>66</v>
      </c>
      <c r="F1394" s="21">
        <v>9612</v>
      </c>
      <c r="G1394" s="22">
        <v>3300</v>
      </c>
      <c r="H1394" s="22">
        <v>12505.53</v>
      </c>
      <c r="I1394" s="22">
        <f t="shared" si="22"/>
        <v>15805.53</v>
      </c>
      <c r="J1394" s="18" t="s">
        <v>1199</v>
      </c>
      <c r="K1394" s="18" t="s">
        <v>3255</v>
      </c>
      <c r="L1394" s="18">
        <v>917146</v>
      </c>
      <c r="M1394" s="18" t="s">
        <v>3256</v>
      </c>
      <c r="N1394" s="16" t="s">
        <v>3219</v>
      </c>
      <c r="O1394" s="18" t="s">
        <v>3257</v>
      </c>
      <c r="P1394" s="18" t="s">
        <v>3258</v>
      </c>
      <c r="Q1394" s="29" t="str" cm="1">
        <f t="array" ref="Q1394">_xlfn.IFS(
A1394="","",
AND(A1394&lt;&gt;"",B1394=""),"FALTA LANÇAMENTO",
AND(B1394&lt;&gt;"",M1394=""),"FALTA O PEDIDO",
AND(M1394&lt;&gt;"",O1394=""),"FALTA NF",
O1394&lt;&gt;"","CONCLUÍDO")</f>
        <v>CONCLUÍDO</v>
      </c>
      <c r="R1394" s="36"/>
    </row>
    <row r="1395" spans="1:18" hidden="1">
      <c r="A1395" s="16">
        <v>46136</v>
      </c>
      <c r="B1395" s="16">
        <v>46139</v>
      </c>
      <c r="C1395" s="21">
        <v>51521054</v>
      </c>
      <c r="D1395" s="16" t="str">
        <f>IFERROR(VLOOKUP(Tabela5[[#This Row],[PREFIXO ]],Tabela4[#All],2,0),"CENTRO DE CUSTO")</f>
        <v>COLHED ALGODÃO JOHN DEERE CP 690</v>
      </c>
      <c r="E1395" s="18" t="s">
        <v>173</v>
      </c>
      <c r="F1395" s="21">
        <v>937</v>
      </c>
      <c r="G1395" s="22">
        <v>2721.4</v>
      </c>
      <c r="H1395" s="22">
        <v>10407.5</v>
      </c>
      <c r="I1395" s="22">
        <f t="shared" si="22"/>
        <v>13128.9</v>
      </c>
      <c r="J1395" s="18" t="s">
        <v>1113</v>
      </c>
      <c r="K1395" s="18">
        <v>9845557</v>
      </c>
      <c r="L1395" s="18">
        <v>917296</v>
      </c>
      <c r="M1395" s="18" t="s">
        <v>3259</v>
      </c>
      <c r="N1395" s="16" t="s">
        <v>2609</v>
      </c>
      <c r="O1395" s="18" t="s">
        <v>3260</v>
      </c>
      <c r="P1395" s="18" t="s">
        <v>3004</v>
      </c>
      <c r="Q1395" s="29" t="str" cm="1">
        <f t="array" ref="Q1395">_xlfn.IFS(
A1395="","",
AND(A1395&lt;&gt;"",B1395=""),"FALTA LANÇAMENTO",
AND(B1395&lt;&gt;"",M1395=""),"FALTA O PEDIDO",
AND(M1395&lt;&gt;"",O1395=""),"FALTA NF",
O1395&lt;&gt;"","CONCLUÍDO")</f>
        <v>CONCLUÍDO</v>
      </c>
      <c r="R1395" s="36"/>
    </row>
    <row r="1396" spans="1:18" hidden="1">
      <c r="A1396" s="16">
        <v>46136</v>
      </c>
      <c r="B1396" s="16">
        <v>46136</v>
      </c>
      <c r="C1396" s="21">
        <v>51521060</v>
      </c>
      <c r="D1396" s="16" t="str">
        <f>IFERROR(VLOOKUP(Tabela5[[#This Row],[PREFIXO ]],Tabela4[#All],2,0),"CENTRO DE CUSTO")</f>
        <v>COLHED ALGODÃO JOHN DEERE CP 690</v>
      </c>
      <c r="E1396" s="18" t="s">
        <v>173</v>
      </c>
      <c r="F1396" s="21">
        <v>938</v>
      </c>
      <c r="G1396" s="22">
        <v>1193.4000000000001</v>
      </c>
      <c r="H1396" s="22">
        <v>6960.51</v>
      </c>
      <c r="I1396" s="22">
        <f t="shared" si="22"/>
        <v>8153.91</v>
      </c>
      <c r="J1396" s="18" t="s">
        <v>1113</v>
      </c>
      <c r="K1396" s="18">
        <v>9845566</v>
      </c>
      <c r="L1396" s="18">
        <v>916717</v>
      </c>
      <c r="M1396" s="18" t="s">
        <v>3261</v>
      </c>
      <c r="N1396" s="16" t="s">
        <v>2542</v>
      </c>
      <c r="O1396" s="18" t="s">
        <v>3262</v>
      </c>
      <c r="P1396" s="18" t="s">
        <v>3004</v>
      </c>
      <c r="Q1396" s="29" t="str" cm="1">
        <f t="array" ref="Q1396">_xlfn.IFS(
A1396="","",
AND(A1396&lt;&gt;"",B1396=""),"FALTA LANÇAMENTO",
AND(B1396&lt;&gt;"",M1396=""),"FALTA O PEDIDO",
AND(M1396&lt;&gt;"",O1396=""),"FALTA NF",
O1396&lt;&gt;"","CONCLUÍDO")</f>
        <v>CONCLUÍDO</v>
      </c>
      <c r="R1396" s="36"/>
    </row>
    <row r="1397" spans="1:18" hidden="1">
      <c r="A1397" s="16">
        <v>46136</v>
      </c>
      <c r="B1397" s="16">
        <v>46136</v>
      </c>
      <c r="C1397" s="21">
        <v>51521062</v>
      </c>
      <c r="D1397" s="16" t="str">
        <f>IFERROR(VLOOKUP(Tabela5[[#This Row],[PREFIXO ]],Tabela4[#All],2,0),"CENTRO DE CUSTO")</f>
        <v>COLHED ALGODÃO JOHN DEERE CP 690</v>
      </c>
      <c r="E1397" s="18" t="s">
        <v>173</v>
      </c>
      <c r="F1397" s="21">
        <v>936</v>
      </c>
      <c r="G1397" s="22">
        <v>3915.4</v>
      </c>
      <c r="H1397" s="22">
        <v>2012.4</v>
      </c>
      <c r="I1397" s="22">
        <f t="shared" si="22"/>
        <v>5927.8</v>
      </c>
      <c r="J1397" s="18" t="s">
        <v>1113</v>
      </c>
      <c r="K1397" s="18">
        <v>9845562</v>
      </c>
      <c r="L1397" s="18">
        <v>916682</v>
      </c>
      <c r="M1397" s="18" t="s">
        <v>3263</v>
      </c>
      <c r="N1397" s="16" t="s">
        <v>2581</v>
      </c>
      <c r="O1397" s="18" t="s">
        <v>3264</v>
      </c>
      <c r="P1397" s="18" t="s">
        <v>3004</v>
      </c>
      <c r="Q1397" s="29" t="str" cm="1">
        <f t="array" ref="Q1397">_xlfn.IFS(
A1397="","",
AND(A1397&lt;&gt;"",B1397=""),"FALTA LANÇAMENTO",
AND(B1397&lt;&gt;"",M1397=""),"FALTA O PEDIDO",
AND(M1397&lt;&gt;"",O1397=""),"FALTA NF",
O1397&lt;&gt;"","CONCLUÍDO")</f>
        <v>CONCLUÍDO</v>
      </c>
      <c r="R1397" s="36"/>
    </row>
    <row r="1398" spans="1:18" hidden="1">
      <c r="A1398" s="16">
        <v>46136</v>
      </c>
      <c r="B1398" s="16">
        <v>46136</v>
      </c>
      <c r="C1398" s="21">
        <v>51521064</v>
      </c>
      <c r="D1398" s="16" t="str">
        <f>IFERROR(VLOOKUP(Tabela5[[#This Row],[PREFIXO ]],Tabela4[#All],2,0),"CENTRO DE CUSTO")</f>
        <v>COLHED ALGODÃO JOHN DEERE CP 690</v>
      </c>
      <c r="E1398" s="18" t="s">
        <v>173</v>
      </c>
      <c r="F1398" s="21">
        <v>939</v>
      </c>
      <c r="G1398" s="22">
        <v>879.2</v>
      </c>
      <c r="H1398" s="22">
        <v>4.59</v>
      </c>
      <c r="I1398" s="22">
        <f t="shared" si="22"/>
        <v>883.79000000000008</v>
      </c>
      <c r="J1398" s="18" t="s">
        <v>1113</v>
      </c>
      <c r="K1398" s="18">
        <v>9845573</v>
      </c>
      <c r="L1398" s="18">
        <v>916702</v>
      </c>
      <c r="M1398" s="18" t="s">
        <v>3265</v>
      </c>
      <c r="N1398" s="16" t="s">
        <v>2542</v>
      </c>
      <c r="O1398" s="18" t="s">
        <v>3266</v>
      </c>
      <c r="P1398" s="18" t="s">
        <v>3004</v>
      </c>
      <c r="Q1398" s="29" t="str" cm="1">
        <f t="array" ref="Q1398">_xlfn.IFS(
A1398="","",
AND(A1398&lt;&gt;"",B1398=""),"FALTA LANÇAMENTO",
AND(B1398&lt;&gt;"",M1398=""),"FALTA O PEDIDO",
AND(M1398&lt;&gt;"",O1398=""),"FALTA NF",
O1398&lt;&gt;"","CONCLUÍDO")</f>
        <v>CONCLUÍDO</v>
      </c>
      <c r="R1398" s="36"/>
    </row>
    <row r="1399" spans="1:18" hidden="1">
      <c r="A1399" s="16">
        <v>46136</v>
      </c>
      <c r="B1399" s="16">
        <v>46147</v>
      </c>
      <c r="C1399" s="21">
        <v>85014034</v>
      </c>
      <c r="D1399" s="16" t="str">
        <f>IFERROR(VLOOKUP(Tabela5[[#This Row],[PREFIXO ]],Tabela4[#All],2,0),"CENTRO DE CUSTO")</f>
        <v>CENTRO DE CUSTO</v>
      </c>
      <c r="E1399" s="18" t="s">
        <v>96</v>
      </c>
      <c r="F1399" s="21" t="s">
        <v>3267</v>
      </c>
      <c r="G1399" s="22">
        <v>630</v>
      </c>
      <c r="H1399" s="22">
        <v>4623</v>
      </c>
      <c r="I1399" s="22">
        <f t="shared" si="22"/>
        <v>5253</v>
      </c>
      <c r="J1399" s="18" t="s">
        <v>1199</v>
      </c>
      <c r="K1399" s="18">
        <v>9846314</v>
      </c>
      <c r="L1399" s="18">
        <v>922684</v>
      </c>
      <c r="M1399" s="18" t="s">
        <v>3268</v>
      </c>
      <c r="N1399" s="16" t="s">
        <v>2677</v>
      </c>
      <c r="O1399" s="18" t="s">
        <v>3269</v>
      </c>
      <c r="P1399" s="18" t="s">
        <v>2943</v>
      </c>
      <c r="Q1399" s="29" t="str" cm="1">
        <f t="array" ref="Q1399">_xlfn.IFS(
A1399="","",
AND(A1399&lt;&gt;"",B1399=""),"FALTA LANÇAMENTO",
AND(B1399&lt;&gt;"",M1399=""),"FALTA O PEDIDO",
AND(M1399&lt;&gt;"",O1399=""),"FALTA NF",
O1399&lt;&gt;"","CONCLUÍDO")</f>
        <v>CONCLUÍDO</v>
      </c>
      <c r="R1399" s="36"/>
    </row>
    <row r="1400" spans="1:18" hidden="1">
      <c r="A1400" s="16">
        <v>46136</v>
      </c>
      <c r="B1400" s="16">
        <v>46146</v>
      </c>
      <c r="C1400" s="21">
        <v>51521063</v>
      </c>
      <c r="D1400" s="16" t="str">
        <f>IFERROR(VLOOKUP(Tabela5[[#This Row],[PREFIXO ]],Tabela4[#All],2,0),"CENTRO DE CUSTO")</f>
        <v>COLHED ALGODÃO JOHN DEERE CP 690</v>
      </c>
      <c r="E1400" s="18" t="s">
        <v>96</v>
      </c>
      <c r="F1400" s="21" t="s">
        <v>3270</v>
      </c>
      <c r="G1400" s="22">
        <v>2817</v>
      </c>
      <c r="H1400" s="22">
        <v>1407.59</v>
      </c>
      <c r="I1400" s="22">
        <f t="shared" si="22"/>
        <v>4224.59</v>
      </c>
      <c r="J1400" s="18" t="s">
        <v>1113</v>
      </c>
      <c r="K1400" s="18">
        <v>9845543</v>
      </c>
      <c r="L1400" s="18">
        <v>922163</v>
      </c>
      <c r="M1400" s="18" t="s">
        <v>3271</v>
      </c>
      <c r="N1400" s="16" t="s">
        <v>2676</v>
      </c>
      <c r="O1400" s="18" t="s">
        <v>3272</v>
      </c>
      <c r="P1400" s="18" t="s">
        <v>2943</v>
      </c>
      <c r="Q1400" s="29" t="str" cm="1">
        <f t="array" ref="Q1400">_xlfn.IFS(
A1400="","",
AND(A1400&lt;&gt;"",B1400=""),"FALTA LANÇAMENTO",
AND(B1400&lt;&gt;"",M1400=""),"FALTA O PEDIDO",
AND(M1400&lt;&gt;"",O1400=""),"FALTA NF",
O1400&lt;&gt;"","CONCLUÍDO")</f>
        <v>CONCLUÍDO</v>
      </c>
      <c r="R1400" s="36"/>
    </row>
    <row r="1401" spans="1:18" hidden="1">
      <c r="A1401" s="16">
        <v>46136</v>
      </c>
      <c r="B1401" s="16">
        <v>46136</v>
      </c>
      <c r="C1401" s="21">
        <v>5173121</v>
      </c>
      <c r="D1401" s="16" t="str">
        <f>IFERROR(VLOOKUP(Tabela5[[#This Row],[PREFIXO ]],Tabela4[#All],2,0),"CENTRO DE CUSTO")</f>
        <v>COLHED ALGODÃO JOHN DEERE 7760</v>
      </c>
      <c r="E1401" s="18" t="s">
        <v>255</v>
      </c>
      <c r="F1401" s="21">
        <v>952</v>
      </c>
      <c r="G1401" s="22">
        <v>1652.4</v>
      </c>
      <c r="H1401" s="22"/>
      <c r="I1401" s="22">
        <f t="shared" si="22"/>
        <v>1652.4</v>
      </c>
      <c r="J1401" s="18" t="s">
        <v>1113</v>
      </c>
      <c r="K1401" s="18">
        <v>9845524</v>
      </c>
      <c r="L1401" s="18">
        <v>916142</v>
      </c>
      <c r="M1401" s="18" t="s">
        <v>3273</v>
      </c>
      <c r="N1401" s="16" t="s">
        <v>3219</v>
      </c>
      <c r="O1401" s="18" t="s">
        <v>2572</v>
      </c>
      <c r="P1401" s="18" t="s">
        <v>2676</v>
      </c>
      <c r="Q1401" s="29" t="str" cm="1">
        <f t="array" ref="Q1401">_xlfn.IFS(
A1401="","",
AND(A1401&lt;&gt;"",B1401=""),"FALTA LANÇAMENTO",
AND(B1401&lt;&gt;"",M1401=""),"FALTA O PEDIDO",
AND(M1401&lt;&gt;"",O1401=""),"FALTA NF",
O1401&lt;&gt;"","CONCLUÍDO")</f>
        <v>CONCLUÍDO</v>
      </c>
      <c r="R1401" s="36"/>
    </row>
    <row r="1402" spans="1:18" hidden="1">
      <c r="A1402" s="16">
        <v>46136</v>
      </c>
      <c r="B1402" s="16">
        <v>46136</v>
      </c>
      <c r="C1402" s="21">
        <v>51521057</v>
      </c>
      <c r="D1402" s="16" t="str">
        <f>IFERROR(VLOOKUP(Tabela5[[#This Row],[PREFIXO ]],Tabela4[#All],2,0),"CENTRO DE CUSTO")</f>
        <v>COLHED ALGODÃO JOHN DEERE CP 690</v>
      </c>
      <c r="E1402" s="18" t="s">
        <v>255</v>
      </c>
      <c r="F1402" s="21">
        <v>953</v>
      </c>
      <c r="G1402" s="22">
        <v>1638</v>
      </c>
      <c r="H1402" s="22"/>
      <c r="I1402" s="22">
        <f t="shared" si="22"/>
        <v>1638</v>
      </c>
      <c r="J1402" s="18" t="s">
        <v>1113</v>
      </c>
      <c r="K1402" s="18">
        <v>9845491</v>
      </c>
      <c r="L1402" s="18">
        <v>916142</v>
      </c>
      <c r="M1402" s="18" t="s">
        <v>3273</v>
      </c>
      <c r="N1402" s="16" t="s">
        <v>3219</v>
      </c>
      <c r="O1402" s="18" t="s">
        <v>2572</v>
      </c>
      <c r="P1402" s="18" t="s">
        <v>2676</v>
      </c>
      <c r="Q1402" s="29" t="str" cm="1">
        <f t="array" ref="Q1402">_xlfn.IFS(
A1402="","",
AND(A1402&lt;&gt;"",B1402=""),"FALTA LANÇAMENTO",
AND(B1402&lt;&gt;"",M1402=""),"FALTA O PEDIDO",
AND(M1402&lt;&gt;"",O1402=""),"FALTA NF",
O1402&lt;&gt;"","CONCLUÍDO")</f>
        <v>CONCLUÍDO</v>
      </c>
      <c r="R1402" s="36"/>
    </row>
    <row r="1403" spans="1:18" hidden="1">
      <c r="A1403" s="16">
        <v>46136</v>
      </c>
      <c r="B1403" s="16">
        <v>46136</v>
      </c>
      <c r="C1403" s="21">
        <v>51521069</v>
      </c>
      <c r="D1403" s="16" t="str">
        <f>IFERROR(VLOOKUP(Tabela5[[#This Row],[PREFIXO ]],Tabela4[#All],2,0),"CENTRO DE CUSTO")</f>
        <v>COLHED ALGODÃO JOHN DEERE CP 690</v>
      </c>
      <c r="E1403" s="18" t="s">
        <v>255</v>
      </c>
      <c r="F1403" s="21">
        <v>951</v>
      </c>
      <c r="G1403" s="22">
        <v>1600</v>
      </c>
      <c r="H1403" s="22"/>
      <c r="I1403" s="22">
        <f t="shared" si="22"/>
        <v>1600</v>
      </c>
      <c r="J1403" s="18" t="s">
        <v>1113</v>
      </c>
      <c r="K1403" s="18">
        <v>9845478</v>
      </c>
      <c r="L1403" s="18">
        <v>916142</v>
      </c>
      <c r="M1403" s="18" t="s">
        <v>3273</v>
      </c>
      <c r="N1403" s="16" t="s">
        <v>3219</v>
      </c>
      <c r="O1403" s="18" t="s">
        <v>2572</v>
      </c>
      <c r="P1403" s="18" t="s">
        <v>2676</v>
      </c>
      <c r="Q1403" s="29" t="str" cm="1">
        <f t="array" ref="Q1403">_xlfn.IFS(
A1403="","",
AND(A1403&lt;&gt;"",B1403=""),"FALTA LANÇAMENTO",
AND(B1403&lt;&gt;"",M1403=""),"FALTA O PEDIDO",
AND(M1403&lt;&gt;"",O1403=""),"FALTA NF",
O1403&lt;&gt;"","CONCLUÍDO")</f>
        <v>CONCLUÍDO</v>
      </c>
      <c r="R1403" s="36"/>
    </row>
    <row r="1404" spans="1:18" hidden="1">
      <c r="A1404" s="16">
        <v>46136</v>
      </c>
      <c r="B1404" s="16">
        <v>46136</v>
      </c>
      <c r="C1404" s="21">
        <v>15770025</v>
      </c>
      <c r="D1404" s="16" t="str">
        <f>IFERROR(VLOOKUP(Tabela5[[#This Row],[PREFIXO ]],Tabela4[#All],2,0),"CENTRO DE CUSTO")</f>
        <v>CENTRO DE CUSTO</v>
      </c>
      <c r="E1404" s="18" t="s">
        <v>255</v>
      </c>
      <c r="F1404" s="21">
        <v>956</v>
      </c>
      <c r="G1404" s="22">
        <v>800</v>
      </c>
      <c r="H1404" s="22"/>
      <c r="I1404" s="22">
        <f t="shared" si="22"/>
        <v>800</v>
      </c>
      <c r="J1404" s="18" t="s">
        <v>1199</v>
      </c>
      <c r="K1404" s="18">
        <v>9857016</v>
      </c>
      <c r="L1404" s="18">
        <v>922817</v>
      </c>
      <c r="M1404" s="18" t="s">
        <v>3274</v>
      </c>
      <c r="N1404" s="16" t="s">
        <v>2677</v>
      </c>
      <c r="O1404" s="18" t="s">
        <v>1777</v>
      </c>
      <c r="P1404" s="18" t="s">
        <v>3007</v>
      </c>
      <c r="Q1404" s="29" t="str" cm="1">
        <f t="array" ref="Q1404">_xlfn.IFS(
A1404="","",
AND(A1404&lt;&gt;"",B1404=""),"FALTA LANÇAMENTO",
AND(B1404&lt;&gt;"",M1404=""),"FALTA O PEDIDO",
AND(M1404&lt;&gt;"",O1404=""),"FALTA NF",
O1404&lt;&gt;"","CONCLUÍDO")</f>
        <v>CONCLUÍDO</v>
      </c>
      <c r="R1404" s="36"/>
    </row>
    <row r="1405" spans="1:18" hidden="1">
      <c r="A1405" s="16">
        <v>46136</v>
      </c>
      <c r="B1405" s="16">
        <v>46136</v>
      </c>
      <c r="C1405" s="21">
        <v>1173059</v>
      </c>
      <c r="D1405" s="16" t="str">
        <f>IFERROR(VLOOKUP(Tabela5[[#This Row],[PREFIXO ]],Tabela4[#All],2,0),"CENTRO DE CUSTO")</f>
        <v>TRAT PN MED M FERGUSON MF 297</v>
      </c>
      <c r="E1405" s="18" t="s">
        <v>255</v>
      </c>
      <c r="F1405" s="21">
        <v>954</v>
      </c>
      <c r="G1405" s="22">
        <v>600</v>
      </c>
      <c r="H1405" s="22"/>
      <c r="I1405" s="22">
        <f t="shared" si="22"/>
        <v>600</v>
      </c>
      <c r="J1405" s="18" t="s">
        <v>1199</v>
      </c>
      <c r="K1405" s="18">
        <v>9845469</v>
      </c>
      <c r="L1405" s="18">
        <v>916142</v>
      </c>
      <c r="M1405" s="18" t="s">
        <v>3273</v>
      </c>
      <c r="N1405" s="16" t="s">
        <v>3219</v>
      </c>
      <c r="O1405" s="18" t="s">
        <v>2572</v>
      </c>
      <c r="P1405" s="18" t="s">
        <v>2676</v>
      </c>
      <c r="Q1405" s="29" t="str" cm="1">
        <f t="array" ref="Q1405">_xlfn.IFS(
A1405="","",
AND(A1405&lt;&gt;"",B1405=""),"FALTA LANÇAMENTO",
AND(B1405&lt;&gt;"",M1405=""),"FALTA O PEDIDO",
AND(M1405&lt;&gt;"",O1405=""),"FALTA NF",
O1405&lt;&gt;"","CONCLUÍDO")</f>
        <v>CONCLUÍDO</v>
      </c>
      <c r="R1405" s="36"/>
    </row>
    <row r="1406" spans="1:18" hidden="1">
      <c r="A1406" s="16">
        <v>46136</v>
      </c>
      <c r="B1406" s="16">
        <v>46136</v>
      </c>
      <c r="C1406" s="21">
        <v>15730002</v>
      </c>
      <c r="D1406" s="16" t="str">
        <f>IFERROR(VLOOKUP(Tabela5[[#This Row],[PREFIXO ]],Tabela4[#All],2,0),"CENTRO DE CUSTO")</f>
        <v>CENTRO DE CUSTO</v>
      </c>
      <c r="E1406" s="18" t="s">
        <v>255</v>
      </c>
      <c r="F1406" s="21">
        <v>955</v>
      </c>
      <c r="G1406" s="22">
        <v>500</v>
      </c>
      <c r="H1406" s="22"/>
      <c r="I1406" s="22">
        <f t="shared" si="22"/>
        <v>500</v>
      </c>
      <c r="J1406" s="18" t="s">
        <v>1113</v>
      </c>
      <c r="K1406" s="18" t="s">
        <v>3275</v>
      </c>
      <c r="L1406" s="18">
        <v>922817</v>
      </c>
      <c r="M1406" s="18" t="s">
        <v>3274</v>
      </c>
      <c r="N1406" s="16" t="s">
        <v>2677</v>
      </c>
      <c r="O1406" s="18" t="s">
        <v>1777</v>
      </c>
      <c r="P1406" s="18" t="s">
        <v>3007</v>
      </c>
      <c r="Q1406" s="29" t="str" cm="1">
        <f t="array" ref="Q1406">_xlfn.IFS(
A1406="","",
AND(A1406&lt;&gt;"",B1406=""),"FALTA LANÇAMENTO",
AND(B1406&lt;&gt;"",M1406=""),"FALTA O PEDIDO",
AND(M1406&lt;&gt;"",O1406=""),"FALTA NF",
O1406&lt;&gt;"","CONCLUÍDO")</f>
        <v>CONCLUÍDO</v>
      </c>
      <c r="R1406" s="36"/>
    </row>
    <row r="1407" spans="1:18" hidden="1">
      <c r="A1407" s="16">
        <v>46136</v>
      </c>
      <c r="B1407" s="16">
        <v>46136</v>
      </c>
      <c r="C1407" s="21">
        <v>1159007</v>
      </c>
      <c r="D1407" s="16" t="str">
        <f>IFERROR(VLOOKUP(Tabela5[[#This Row],[PREFIXO ]],Tabela4[#All],2,0),"CENTRO DE CUSTO")</f>
        <v>TRAT PN MED M FERGUSON MF 292</v>
      </c>
      <c r="E1407" s="18" t="s">
        <v>255</v>
      </c>
      <c r="F1407" s="21">
        <v>957</v>
      </c>
      <c r="G1407" s="22">
        <v>350</v>
      </c>
      <c r="H1407" s="22"/>
      <c r="I1407" s="22">
        <f t="shared" si="22"/>
        <v>350</v>
      </c>
      <c r="J1407" s="18" t="s">
        <v>1199</v>
      </c>
      <c r="K1407" s="18">
        <v>502666</v>
      </c>
      <c r="L1407" s="18">
        <v>922817</v>
      </c>
      <c r="M1407" s="18" t="s">
        <v>3274</v>
      </c>
      <c r="N1407" s="16" t="s">
        <v>2677</v>
      </c>
      <c r="O1407" s="18" t="s">
        <v>1777</v>
      </c>
      <c r="P1407" s="18" t="s">
        <v>3007</v>
      </c>
      <c r="Q1407" s="29" t="str" cm="1">
        <f t="array" ref="Q1407">_xlfn.IFS(
A1407="","",
AND(A1407&lt;&gt;"",B1407=""),"FALTA LANÇAMENTO",
AND(B1407&lt;&gt;"",M1407=""),"FALTA O PEDIDO",
AND(M1407&lt;&gt;"",O1407=""),"FALTA NF",
O1407&lt;&gt;"","CONCLUÍDO")</f>
        <v>CONCLUÍDO</v>
      </c>
      <c r="R1407" s="36"/>
    </row>
    <row r="1408" spans="1:18" hidden="1">
      <c r="A1408" s="16">
        <v>46139</v>
      </c>
      <c r="B1408" s="16">
        <v>46139</v>
      </c>
      <c r="C1408" s="21">
        <v>500580069</v>
      </c>
      <c r="D1408" s="16" t="str">
        <f>IFERROR(VLOOKUP(Tabela5[[#This Row],[PREFIXO ]],Tabela4[#All],2,0),"CENTRO DE CUSTO")</f>
        <v>Oficina Mecânica</v>
      </c>
      <c r="E1408" s="18" t="s">
        <v>62</v>
      </c>
      <c r="F1408" s="21">
        <v>496</v>
      </c>
      <c r="G1408" s="22">
        <v>3349.71</v>
      </c>
      <c r="H1408" s="22"/>
      <c r="I1408" s="22">
        <f t="shared" ref="I1408:I1471" si="23">G1408+H1408</f>
        <v>3349.71</v>
      </c>
      <c r="J1408" s="18" t="s">
        <v>1265</v>
      </c>
      <c r="K1408" s="18">
        <v>5020553</v>
      </c>
      <c r="L1408" s="18">
        <v>917299</v>
      </c>
      <c r="M1408" s="18" t="s">
        <v>3276</v>
      </c>
      <c r="N1408" s="16" t="s">
        <v>2609</v>
      </c>
      <c r="O1408" s="18" t="s">
        <v>3277</v>
      </c>
      <c r="P1408" s="18" t="s">
        <v>2676</v>
      </c>
      <c r="Q1408" s="29" t="str" cm="1">
        <f t="array" ref="Q1408">_xlfn.IFS(
A1408="","",
AND(A1408&lt;&gt;"",B1408=""),"FALTA LANÇAMENTO",
AND(B1408&lt;&gt;"",M1408=""),"FALTA O PEDIDO",
AND(M1408&lt;&gt;"",O1408=""),"FALTA NF",
O1408&lt;&gt;"","CONCLUÍDO")</f>
        <v>CONCLUÍDO</v>
      </c>
      <c r="R1408" s="36"/>
    </row>
    <row r="1409" spans="1:18" hidden="1">
      <c r="A1409" s="16">
        <v>46139</v>
      </c>
      <c r="B1409" s="16">
        <v>46139</v>
      </c>
      <c r="C1409" s="21">
        <v>51521047</v>
      </c>
      <c r="D1409" s="16" t="str">
        <f>IFERROR(VLOOKUP(Tabela5[[#This Row],[PREFIXO ]],Tabela4[#All],2,0),"CENTRO DE CUSTO")</f>
        <v>COLHED ALGODÃO JOHN DEERE CP 690</v>
      </c>
      <c r="E1409" s="18" t="s">
        <v>70</v>
      </c>
      <c r="F1409" s="21">
        <v>22791</v>
      </c>
      <c r="G1409" s="22">
        <v>26080</v>
      </c>
      <c r="H1409" s="22"/>
      <c r="I1409" s="22">
        <f t="shared" si="23"/>
        <v>26080</v>
      </c>
      <c r="J1409" s="18" t="s">
        <v>1113</v>
      </c>
      <c r="K1409" s="18">
        <v>9847251</v>
      </c>
      <c r="L1409" s="18">
        <v>921716</v>
      </c>
      <c r="M1409" s="18" t="s">
        <v>3278</v>
      </c>
      <c r="N1409" s="16" t="s">
        <v>2677</v>
      </c>
      <c r="O1409" s="18" t="s">
        <v>3279</v>
      </c>
      <c r="P1409" s="18" t="s">
        <v>3280</v>
      </c>
      <c r="Q1409" s="29" t="str" cm="1">
        <f t="array" ref="Q1409">_xlfn.IFS(
A1409="","",
AND(A1409&lt;&gt;"",B1409=""),"FALTA LANÇAMENTO",
AND(B1409&lt;&gt;"",M1409=""),"FALTA O PEDIDO",
AND(M1409&lt;&gt;"",O1409=""),"FALTA NF",
O1409&lt;&gt;"","CONCLUÍDO")</f>
        <v>CONCLUÍDO</v>
      </c>
      <c r="R1409" s="36"/>
    </row>
    <row r="1410" spans="1:18" hidden="1">
      <c r="A1410" s="16">
        <v>46139</v>
      </c>
      <c r="B1410" s="16">
        <v>46139</v>
      </c>
      <c r="C1410" s="21">
        <v>51521058</v>
      </c>
      <c r="D1410" s="16" t="str">
        <f>IFERROR(VLOOKUP(Tabela5[[#This Row],[PREFIXO ]],Tabela4[#All],2,0),"CENTRO DE CUSTO")</f>
        <v>COLHED ALGODÃO JOHN DEERE CP 690</v>
      </c>
      <c r="E1410" s="18" t="s">
        <v>70</v>
      </c>
      <c r="F1410" s="21">
        <v>23098</v>
      </c>
      <c r="G1410" s="22">
        <v>22848</v>
      </c>
      <c r="H1410" s="22"/>
      <c r="I1410" s="22">
        <f t="shared" si="23"/>
        <v>22848</v>
      </c>
      <c r="J1410" s="18" t="s">
        <v>1123</v>
      </c>
      <c r="K1410" s="18">
        <v>9847283</v>
      </c>
      <c r="L1410" s="18">
        <v>921349</v>
      </c>
      <c r="M1410" s="18" t="s">
        <v>3281</v>
      </c>
      <c r="N1410" s="16" t="s">
        <v>2677</v>
      </c>
      <c r="O1410" s="18" t="s">
        <v>3282</v>
      </c>
      <c r="P1410" s="18" t="s">
        <v>3280</v>
      </c>
      <c r="Q1410" s="29" t="str" cm="1">
        <f t="array" ref="Q1410">_xlfn.IFS(
A1410="","",
AND(A1410&lt;&gt;"",B1410=""),"FALTA LANÇAMENTO",
AND(B1410&lt;&gt;"",M1410=""),"FALTA O PEDIDO",
AND(M1410&lt;&gt;"",O1410=""),"FALTA NF",
O1410&lt;&gt;"","CONCLUÍDO")</f>
        <v>CONCLUÍDO</v>
      </c>
      <c r="R1410" s="36"/>
    </row>
    <row r="1411" spans="1:18" hidden="1">
      <c r="A1411" s="16">
        <v>46139</v>
      </c>
      <c r="B1411" s="16">
        <v>46139</v>
      </c>
      <c r="C1411" s="21">
        <v>51521056</v>
      </c>
      <c r="D1411" s="16" t="str">
        <f>IFERROR(VLOOKUP(Tabela5[[#This Row],[PREFIXO ]],Tabela4[#All],2,0),"CENTRO DE CUSTO")</f>
        <v>COLHED ALGODÃO JOHN DEERE CP 690</v>
      </c>
      <c r="E1411" s="18" t="s">
        <v>70</v>
      </c>
      <c r="F1411" s="21">
        <v>22787</v>
      </c>
      <c r="G1411" s="22">
        <v>17520</v>
      </c>
      <c r="H1411" s="22"/>
      <c r="I1411" s="22">
        <f t="shared" si="23"/>
        <v>17520</v>
      </c>
      <c r="J1411" s="18" t="s">
        <v>1113</v>
      </c>
      <c r="K1411" s="18">
        <v>9847236</v>
      </c>
      <c r="L1411" s="18">
        <v>918365</v>
      </c>
      <c r="M1411" s="18" t="s">
        <v>3283</v>
      </c>
      <c r="N1411" s="16" t="s">
        <v>3002</v>
      </c>
      <c r="O1411" s="18" t="s">
        <v>1095</v>
      </c>
      <c r="P1411" s="16" t="s">
        <v>1095</v>
      </c>
      <c r="Q1411" s="29" t="str" cm="1">
        <f t="array" ref="Q1411">_xlfn.IFS(
A1411="","",
AND(A1411&lt;&gt;"",B1411=""),"FALTA LANÇAMENTO",
AND(B1411&lt;&gt;"",M1411=""),"FALTA O PEDIDO",
AND(M1411&lt;&gt;"",O1411=""),"FALTA NF",
O1411&lt;&gt;"","CONCLUÍDO")</f>
        <v>CONCLUÍDO</v>
      </c>
      <c r="R1411" s="36"/>
    </row>
    <row r="1412" spans="1:18" hidden="1">
      <c r="A1412" s="16">
        <v>46139</v>
      </c>
      <c r="B1412" s="16">
        <v>46139</v>
      </c>
      <c r="C1412" s="21">
        <v>51521043</v>
      </c>
      <c r="D1412" s="16" t="str">
        <f>IFERROR(VLOOKUP(Tabela5[[#This Row],[PREFIXO ]],Tabela4[#All],2,0),"CENTRO DE CUSTO")</f>
        <v>COLHED ALGODÃO JOHN DEERE CP 690</v>
      </c>
      <c r="E1412" s="18" t="s">
        <v>70</v>
      </c>
      <c r="F1412" s="21">
        <v>22786</v>
      </c>
      <c r="G1412" s="22">
        <v>17520</v>
      </c>
      <c r="H1412" s="22"/>
      <c r="I1412" s="22">
        <f t="shared" si="23"/>
        <v>17520</v>
      </c>
      <c r="J1412" s="18" t="s">
        <v>1113</v>
      </c>
      <c r="K1412" s="18">
        <v>9847241</v>
      </c>
      <c r="L1412" s="18">
        <v>919790</v>
      </c>
      <c r="M1412" s="18" t="s">
        <v>3284</v>
      </c>
      <c r="N1412" s="16" t="s">
        <v>3002</v>
      </c>
      <c r="O1412" s="18" t="s">
        <v>1095</v>
      </c>
      <c r="P1412" s="16" t="s">
        <v>1095</v>
      </c>
      <c r="Q1412" s="29" t="str" cm="1">
        <f t="array" ref="Q1412">_xlfn.IFS(
A1412="","",
AND(A1412&lt;&gt;"",B1412=""),"FALTA LANÇAMENTO",
AND(B1412&lt;&gt;"",M1412=""),"FALTA O PEDIDO",
AND(M1412&lt;&gt;"",O1412=""),"FALTA NF",
O1412&lt;&gt;"","CONCLUÍDO")</f>
        <v>CONCLUÍDO</v>
      </c>
      <c r="R1412" s="36"/>
    </row>
    <row r="1413" spans="1:18" hidden="1">
      <c r="A1413" s="16">
        <v>46139</v>
      </c>
      <c r="B1413" s="16">
        <v>46139</v>
      </c>
      <c r="C1413" s="21" t="s">
        <v>3285</v>
      </c>
      <c r="D1413" s="16" t="str">
        <f>IFERROR(VLOOKUP(Tabela5[[#This Row],[PREFIXO ]],Tabela4[#All],2,0),"CENTRO DE CUSTO")</f>
        <v>CENTRO DE CUSTO</v>
      </c>
      <c r="E1413" s="18" t="s">
        <v>70</v>
      </c>
      <c r="F1413" s="21">
        <v>23144</v>
      </c>
      <c r="G1413" s="22">
        <v>900</v>
      </c>
      <c r="H1413" s="22">
        <v>12495</v>
      </c>
      <c r="I1413" s="22">
        <f t="shared" si="23"/>
        <v>13395</v>
      </c>
      <c r="J1413" s="18" t="s">
        <v>1123</v>
      </c>
      <c r="K1413" s="18" t="s">
        <v>3286</v>
      </c>
      <c r="L1413" s="18" t="s">
        <v>3287</v>
      </c>
      <c r="M1413" s="18" t="s">
        <v>3288</v>
      </c>
      <c r="N1413" s="16" t="s">
        <v>3002</v>
      </c>
      <c r="O1413" s="18" t="s">
        <v>1095</v>
      </c>
      <c r="P1413" s="16" t="s">
        <v>1095</v>
      </c>
      <c r="Q1413" s="29" t="str" cm="1">
        <f t="array" ref="Q1413">_xlfn.IFS(
A1413="","",
AND(A1413&lt;&gt;"",B1413=""),"FALTA LANÇAMENTO",
AND(B1413&lt;&gt;"",M1413=""),"FALTA O PEDIDO",
AND(M1413&lt;&gt;"",O1413=""),"FALTA NF",
O1413&lt;&gt;"","CONCLUÍDO")</f>
        <v>CONCLUÍDO</v>
      </c>
      <c r="R1413" s="36"/>
    </row>
    <row r="1414" spans="1:18" hidden="1">
      <c r="A1414" s="16">
        <v>46139</v>
      </c>
      <c r="B1414" s="16">
        <v>46139</v>
      </c>
      <c r="C1414" s="21">
        <v>51521070</v>
      </c>
      <c r="D1414" s="16" t="str">
        <f>IFERROR(VLOOKUP(Tabela5[[#This Row],[PREFIXO ]],Tabela4[#All],2,0),"CENTRO DE CUSTO")</f>
        <v>COLHED ALGODÃO JOHN DEERE CP 690</v>
      </c>
      <c r="E1414" s="18" t="s">
        <v>70</v>
      </c>
      <c r="F1414" s="21">
        <v>22788</v>
      </c>
      <c r="G1414" s="22">
        <v>8760</v>
      </c>
      <c r="H1414" s="22"/>
      <c r="I1414" s="22">
        <f t="shared" si="23"/>
        <v>8760</v>
      </c>
      <c r="J1414" s="18" t="s">
        <v>1113</v>
      </c>
      <c r="K1414" s="18">
        <v>9847246</v>
      </c>
      <c r="L1414" s="18">
        <v>919798</v>
      </c>
      <c r="M1414" s="18" t="s">
        <v>3289</v>
      </c>
      <c r="N1414" s="16" t="s">
        <v>3002</v>
      </c>
      <c r="O1414" s="18" t="s">
        <v>3290</v>
      </c>
      <c r="P1414" s="18" t="s">
        <v>3291</v>
      </c>
      <c r="Q1414" s="29" t="str" cm="1">
        <f t="array" ref="Q1414">_xlfn.IFS(
A1414="","",
AND(A1414&lt;&gt;"",B1414=""),"FALTA LANÇAMENTO",
AND(B1414&lt;&gt;"",M1414=""),"FALTA O PEDIDO",
AND(M1414&lt;&gt;"",O1414=""),"FALTA NF",
O1414&lt;&gt;"","CONCLUÍDO")</f>
        <v>CONCLUÍDO</v>
      </c>
      <c r="R1414" s="36"/>
    </row>
    <row r="1415" spans="1:18" hidden="1">
      <c r="A1415" s="16">
        <v>46139</v>
      </c>
      <c r="B1415" s="16">
        <v>46139</v>
      </c>
      <c r="C1415" s="21">
        <v>51521057</v>
      </c>
      <c r="D1415" s="16" t="str">
        <f>IFERROR(VLOOKUP(Tabela5[[#This Row],[PREFIXO ]],Tabela4[#All],2,0),"CENTRO DE CUSTO")</f>
        <v>COLHED ALGODÃO JOHN DEERE CP 690</v>
      </c>
      <c r="E1415" s="18" t="s">
        <v>70</v>
      </c>
      <c r="F1415" s="21">
        <v>23099</v>
      </c>
      <c r="G1415" s="22">
        <v>6650</v>
      </c>
      <c r="H1415" s="22"/>
      <c r="I1415" s="22">
        <f t="shared" si="23"/>
        <v>6650</v>
      </c>
      <c r="J1415" s="18" t="s">
        <v>1123</v>
      </c>
      <c r="K1415" s="18">
        <v>9847285</v>
      </c>
      <c r="L1415" s="18">
        <v>919798</v>
      </c>
      <c r="M1415" s="18" t="s">
        <v>3289</v>
      </c>
      <c r="N1415" s="16" t="s">
        <v>3002</v>
      </c>
      <c r="O1415" s="18" t="s">
        <v>3290</v>
      </c>
      <c r="P1415" s="18" t="s">
        <v>3291</v>
      </c>
      <c r="Q1415" s="29" t="str" cm="1">
        <f t="array" ref="Q1415">_xlfn.IFS(
A1415="","",
AND(A1415&lt;&gt;"",B1415=""),"FALTA LANÇAMENTO",
AND(B1415&lt;&gt;"",M1415=""),"FALTA O PEDIDO",
AND(M1415&lt;&gt;"",O1415=""),"FALTA NF",
O1415&lt;&gt;"","CONCLUÍDO")</f>
        <v>CONCLUÍDO</v>
      </c>
      <c r="R1415" s="36"/>
    </row>
    <row r="1416" spans="1:18" hidden="1">
      <c r="A1416" s="16">
        <v>46139</v>
      </c>
      <c r="B1416" s="16">
        <v>46139</v>
      </c>
      <c r="C1416" s="21">
        <v>51519058</v>
      </c>
      <c r="D1416" s="16" t="str">
        <f>IFERROR(VLOOKUP(Tabela5[[#This Row],[PREFIXO ]],Tabela4[#All],2,0),"CENTRO DE CUSTO")</f>
        <v>CENTRO DE CUSTO</v>
      </c>
      <c r="E1416" s="18" t="s">
        <v>70</v>
      </c>
      <c r="F1416" s="21">
        <v>22965</v>
      </c>
      <c r="G1416" s="22">
        <v>1200</v>
      </c>
      <c r="H1416" s="22">
        <v>2940</v>
      </c>
      <c r="I1416" s="22">
        <f t="shared" si="23"/>
        <v>4140</v>
      </c>
      <c r="J1416" s="18" t="s">
        <v>1113</v>
      </c>
      <c r="K1416" s="18">
        <v>9847257</v>
      </c>
      <c r="L1416" s="18">
        <v>919825</v>
      </c>
      <c r="M1416" s="18" t="s">
        <v>3292</v>
      </c>
      <c r="N1416" s="16" t="s">
        <v>3002</v>
      </c>
      <c r="O1416" s="18" t="s">
        <v>3293</v>
      </c>
      <c r="P1416" s="18" t="s">
        <v>3294</v>
      </c>
      <c r="Q1416" s="29" t="str" cm="1">
        <f t="array" ref="Q1416">_xlfn.IFS(
A1416="","",
AND(A1416&lt;&gt;"",B1416=""),"FALTA LANÇAMENTO",
AND(B1416&lt;&gt;"",M1416=""),"FALTA O PEDIDO",
AND(M1416&lt;&gt;"",O1416=""),"FALTA NF",
O1416&lt;&gt;"","CONCLUÍDO")</f>
        <v>CONCLUÍDO</v>
      </c>
      <c r="R1416" s="36"/>
    </row>
    <row r="1417" spans="1:18" hidden="1">
      <c r="A1417" s="16">
        <v>46139</v>
      </c>
      <c r="B1417" s="16">
        <v>46139</v>
      </c>
      <c r="C1417" s="21">
        <v>11040016</v>
      </c>
      <c r="D1417" s="16" t="str">
        <f>IFERROR(VLOOKUP(Tabela5[[#This Row],[PREFIXO ]],Tabela4[#All],2,0),"CENTRO DE CUSTO")</f>
        <v>CAV MEC EXT PES SCANIA R500</v>
      </c>
      <c r="E1417" s="18" t="s">
        <v>366</v>
      </c>
      <c r="F1417" s="21">
        <v>195030</v>
      </c>
      <c r="G1417" s="22">
        <v>1660</v>
      </c>
      <c r="H1417" s="22">
        <v>1613.6</v>
      </c>
      <c r="I1417" s="22">
        <f t="shared" si="23"/>
        <v>3273.6</v>
      </c>
      <c r="J1417" s="18" t="s">
        <v>1085</v>
      </c>
      <c r="K1417" s="18">
        <v>9848864</v>
      </c>
      <c r="L1417" s="18">
        <v>918224</v>
      </c>
      <c r="M1417" s="18" t="s">
        <v>3295</v>
      </c>
      <c r="N1417" s="16" t="s">
        <v>2609</v>
      </c>
      <c r="O1417" s="18" t="s">
        <v>1095</v>
      </c>
      <c r="P1417" s="16" t="s">
        <v>1095</v>
      </c>
      <c r="Q1417" s="29" t="str" cm="1">
        <f t="array" ref="Q1417">_xlfn.IFS(
A1417="","",
AND(A1417&lt;&gt;"",B1417=""),"FALTA LANÇAMENTO",
AND(B1417&lt;&gt;"",M1417=""),"FALTA O PEDIDO",
AND(M1417&lt;&gt;"",O1417=""),"FALTA NF",
O1417&lt;&gt;"","CONCLUÍDO")</f>
        <v>CONCLUÍDO</v>
      </c>
      <c r="R1417" s="36"/>
    </row>
    <row r="1418" spans="1:18" hidden="1">
      <c r="A1418" s="16">
        <v>46139</v>
      </c>
      <c r="B1418" s="16">
        <v>46139</v>
      </c>
      <c r="C1418" s="21">
        <v>81521061</v>
      </c>
      <c r="D1418" s="16" t="str">
        <f>IFERROR(VLOOKUP(Tabela5[[#This Row],[PREFIXO ]],Tabela4[#All],2,0),"CENTRO DE CUSTO")</f>
        <v>SEMI REBOQUE PRANCHA RODOLINEA SRCT 3E</v>
      </c>
      <c r="E1418" s="18" t="s">
        <v>366</v>
      </c>
      <c r="F1418" s="21">
        <v>195449</v>
      </c>
      <c r="G1418" s="22">
        <v>140</v>
      </c>
      <c r="H1418" s="22">
        <v>790</v>
      </c>
      <c r="I1418" s="22">
        <f t="shared" si="23"/>
        <v>930</v>
      </c>
      <c r="J1418" s="18" t="s">
        <v>1085</v>
      </c>
      <c r="K1418" s="18">
        <v>9849049</v>
      </c>
      <c r="L1418" s="18">
        <v>918204</v>
      </c>
      <c r="M1418" s="18" t="s">
        <v>3296</v>
      </c>
      <c r="N1418" s="16" t="s">
        <v>2609</v>
      </c>
      <c r="O1418" s="18" t="s">
        <v>1095</v>
      </c>
      <c r="P1418" s="16" t="s">
        <v>1095</v>
      </c>
      <c r="Q1418" s="29" t="str" cm="1">
        <f t="array" ref="Q1418">_xlfn.IFS(
A1418="","",
AND(A1418&lt;&gt;"",B1418=""),"FALTA LANÇAMENTO",
AND(B1418&lt;&gt;"",M1418=""),"FALTA O PEDIDO",
AND(M1418&lt;&gt;"",O1418=""),"FALTA NF",
O1418&lt;&gt;"","CONCLUÍDO")</f>
        <v>CONCLUÍDO</v>
      </c>
      <c r="R1418" s="36"/>
    </row>
    <row r="1419" spans="1:18">
      <c r="A1419" s="16">
        <v>46139</v>
      </c>
      <c r="B1419" s="16">
        <v>46139</v>
      </c>
      <c r="C1419" s="21">
        <v>11040015</v>
      </c>
      <c r="D1419" s="16" t="str">
        <f>IFERROR(VLOOKUP(Tabela5[[#This Row],[PREFIXO ]],Tabela4[#All],2,0),"CENTRO DE CUSTO")</f>
        <v>CAV MEC EXT PES SCANIA R500</v>
      </c>
      <c r="E1419" s="18" t="s">
        <v>243</v>
      </c>
      <c r="F1419" s="21">
        <v>16244</v>
      </c>
      <c r="G1419" s="22">
        <v>28781.7</v>
      </c>
      <c r="H1419" s="22">
        <v>3111.02</v>
      </c>
      <c r="I1419" s="22">
        <f t="shared" si="23"/>
        <v>31892.720000000001</v>
      </c>
      <c r="J1419" s="18" t="s">
        <v>1199</v>
      </c>
      <c r="K1419" s="18">
        <v>9848218</v>
      </c>
      <c r="L1419" s="18">
        <v>919787</v>
      </c>
      <c r="M1419" s="18" t="s">
        <v>3297</v>
      </c>
      <c r="N1419" s="16" t="s">
        <v>3002</v>
      </c>
      <c r="O1419" s="18" t="s">
        <v>3298</v>
      </c>
      <c r="P1419" s="18" t="s">
        <v>3299</v>
      </c>
      <c r="Q1419" s="29" t="str" cm="1">
        <f t="array" ref="Q1419">_xlfn.IFS(
A1419="","",
AND(A1419&lt;&gt;"",B1419=""),"FALTA LANÇAMENTO",
AND(B1419&lt;&gt;"",M1419=""),"FALTA O PEDIDO",
AND(M1419&lt;&gt;"",O1419=""),"FALTA NF",
O1419&lt;&gt;"","CONCLUÍDO")</f>
        <v>CONCLUÍDO</v>
      </c>
      <c r="R1419" s="36"/>
    </row>
    <row r="1420" spans="1:18" hidden="1">
      <c r="A1420" s="16">
        <v>46140</v>
      </c>
      <c r="B1420" s="16">
        <v>46140</v>
      </c>
      <c r="C1420" s="21">
        <v>22030051</v>
      </c>
      <c r="D1420" s="16" t="str">
        <f>IFERROR(VLOOKUP(Tabela5[[#This Row],[PREFIXO ]],Tabela4[#All],2,0),"CENTRO DE CUSTO")</f>
        <v>AUTOMOVEL FIAT STRADA FREEDOM CD13</v>
      </c>
      <c r="E1420" s="18" t="s">
        <v>60</v>
      </c>
      <c r="F1420" s="21">
        <v>232</v>
      </c>
      <c r="G1420" s="22">
        <v>2700</v>
      </c>
      <c r="H1420" s="22">
        <v>2200</v>
      </c>
      <c r="I1420" s="22">
        <f t="shared" si="23"/>
        <v>4900</v>
      </c>
      <c r="J1420" s="18" t="s">
        <v>1085</v>
      </c>
      <c r="K1420" s="18">
        <v>9848898</v>
      </c>
      <c r="L1420" s="18">
        <v>919884</v>
      </c>
      <c r="M1420" s="18" t="s">
        <v>3300</v>
      </c>
      <c r="N1420" s="16" t="s">
        <v>3002</v>
      </c>
      <c r="O1420" s="18" t="s">
        <v>1095</v>
      </c>
      <c r="P1420" s="16" t="s">
        <v>1095</v>
      </c>
      <c r="Q1420" s="29" t="str" cm="1">
        <f t="array" ref="Q1420">_xlfn.IFS(
A1420="","",
AND(A1420&lt;&gt;"",B1420=""),"FALTA LANÇAMENTO",
AND(B1420&lt;&gt;"",M1420=""),"FALTA O PEDIDO",
AND(M1420&lt;&gt;"",O1420=""),"FALTA NF",
O1420&lt;&gt;"","CONCLUÍDO")</f>
        <v>CONCLUÍDO</v>
      </c>
      <c r="R1420" s="36"/>
    </row>
    <row r="1421" spans="1:18" hidden="1">
      <c r="A1421" s="16">
        <v>46141</v>
      </c>
      <c r="B1421" s="16">
        <v>46141</v>
      </c>
      <c r="C1421" s="21">
        <v>6173059</v>
      </c>
      <c r="D1421" s="16" t="str">
        <f>IFERROR(VLOOKUP(Tabela5[[#This Row],[PREFIXO ]],Tabela4[#All],2,0),"CENTRO DE CUSTO")</f>
        <v>CAM CARGA SECA FORD F-4000</v>
      </c>
      <c r="E1421" s="18" t="s">
        <v>29</v>
      </c>
      <c r="F1421" s="21">
        <v>55573</v>
      </c>
      <c r="G1421" s="22">
        <v>80</v>
      </c>
      <c r="H1421" s="22">
        <v>239.7</v>
      </c>
      <c r="I1421" s="22">
        <f t="shared" si="23"/>
        <v>319.7</v>
      </c>
      <c r="J1421" s="18" t="s">
        <v>1085</v>
      </c>
      <c r="K1421" s="18">
        <v>9850542</v>
      </c>
      <c r="L1421" s="18">
        <v>920578</v>
      </c>
      <c r="M1421" s="18" t="s">
        <v>3301</v>
      </c>
      <c r="N1421" s="16" t="s">
        <v>3302</v>
      </c>
      <c r="O1421" s="18" t="s">
        <v>3303</v>
      </c>
      <c r="P1421" s="18" t="s">
        <v>3304</v>
      </c>
      <c r="Q1421" s="29" t="str" cm="1">
        <f t="array" ref="Q1421">_xlfn.IFS(
A1421="","",
AND(A1421&lt;&gt;"",B1421=""),"FALTA LANÇAMENTO",
AND(B1421&lt;&gt;"",M1421=""),"FALTA O PEDIDO",
AND(M1421&lt;&gt;"",O1421=""),"FALTA NF",
O1421&lt;&gt;"","CONCLUÍDO")</f>
        <v>CONCLUÍDO</v>
      </c>
      <c r="R1421" s="36"/>
    </row>
    <row r="1422" spans="1:18" hidden="1">
      <c r="A1422" s="16">
        <v>46141</v>
      </c>
      <c r="B1422" s="16">
        <v>46141</v>
      </c>
      <c r="C1422" s="21">
        <v>1173022</v>
      </c>
      <c r="D1422" s="16" t="str">
        <f>IFERROR(VLOOKUP(Tabela5[[#This Row],[PREFIXO ]],Tabela4[#All],2,0),"CENTRO DE CUSTO")</f>
        <v>TRAT PN MED N.HOLLAND 7630</v>
      </c>
      <c r="E1422" s="18" t="s">
        <v>347</v>
      </c>
      <c r="F1422" s="21">
        <v>1046</v>
      </c>
      <c r="G1422" s="22">
        <v>20590</v>
      </c>
      <c r="H1422" s="22">
        <v>43125</v>
      </c>
      <c r="I1422" s="22">
        <f t="shared" si="23"/>
        <v>63715</v>
      </c>
      <c r="J1422" s="18" t="s">
        <v>1199</v>
      </c>
      <c r="K1422" s="18">
        <v>9850541</v>
      </c>
      <c r="L1422" s="18">
        <v>919389</v>
      </c>
      <c r="M1422" s="18">
        <v>41887270</v>
      </c>
      <c r="N1422" s="16">
        <v>46185</v>
      </c>
      <c r="O1422" s="18" t="s">
        <v>3305</v>
      </c>
      <c r="P1422" s="18" t="s">
        <v>3306</v>
      </c>
      <c r="Q1422" s="29" t="str" cm="1">
        <f t="array" ref="Q1422">_xlfn.IFS(
A1422="","",
AND(A1422&lt;&gt;"",B1422=""),"FALTA LANÇAMENTO",
AND(B1422&lt;&gt;"",M1422=""),"FALTA O PEDIDO",
AND(M1422&lt;&gt;"",O1422=""),"FALTA NF",
O1422&lt;&gt;"","CONCLUÍDO")</f>
        <v>CONCLUÍDO</v>
      </c>
      <c r="R1422" s="36" t="s">
        <v>3307</v>
      </c>
    </row>
    <row r="1423" spans="1:18" hidden="1">
      <c r="A1423" s="16">
        <v>46141</v>
      </c>
      <c r="B1423" s="16">
        <v>46141</v>
      </c>
      <c r="C1423" s="21">
        <v>61521096</v>
      </c>
      <c r="D1423" s="16" t="str">
        <f>IFERROR(VLOOKUP(Tabela5[[#This Row],[PREFIXO ]],Tabela4[#All],2,0),"CENTRO DE CUSTO")</f>
        <v>EMPILHA COMBUST TOYOTA 8FGU30</v>
      </c>
      <c r="E1423" s="18" t="s">
        <v>68</v>
      </c>
      <c r="F1423" s="21">
        <v>2235</v>
      </c>
      <c r="G1423" s="22">
        <v>1340</v>
      </c>
      <c r="H1423" s="22">
        <v>2315</v>
      </c>
      <c r="I1423" s="22">
        <f t="shared" si="23"/>
        <v>3655</v>
      </c>
      <c r="J1423" s="18" t="s">
        <v>1085</v>
      </c>
      <c r="K1423" s="18">
        <v>9850534</v>
      </c>
      <c r="L1423" s="18">
        <v>920529</v>
      </c>
      <c r="M1423" s="18" t="s">
        <v>3308</v>
      </c>
      <c r="N1423" s="16" t="s">
        <v>2969</v>
      </c>
      <c r="O1423" s="18" t="s">
        <v>3309</v>
      </c>
      <c r="P1423" s="18" t="s">
        <v>3310</v>
      </c>
      <c r="Q1423" s="29" t="str" cm="1">
        <f t="array" ref="Q1423">_xlfn.IFS(
A1423="","",
AND(A1423&lt;&gt;"",B1423=""),"FALTA LANÇAMENTO",
AND(B1423&lt;&gt;"",M1423=""),"FALTA O PEDIDO",
AND(M1423&lt;&gt;"",O1423=""),"FALTA NF",
O1423&lt;&gt;"","CONCLUÍDO")</f>
        <v>CONCLUÍDO</v>
      </c>
      <c r="R1423" s="36"/>
    </row>
    <row r="1424" spans="1:18" hidden="1">
      <c r="A1424" s="16">
        <v>46141</v>
      </c>
      <c r="B1424" s="16">
        <v>46141</v>
      </c>
      <c r="C1424" s="21">
        <v>16170045</v>
      </c>
      <c r="D1424" s="16" t="str">
        <f>IFERROR(VLOOKUP(Tabela5[[#This Row],[PREFIXO ]],Tabela4[#All],2,0),"CENTRO DE CUSTO")</f>
        <v>CENTRO DE CUSTO</v>
      </c>
      <c r="E1424" s="18" t="s">
        <v>68</v>
      </c>
      <c r="F1424" s="21">
        <v>2245</v>
      </c>
      <c r="G1424" s="22">
        <v>700</v>
      </c>
      <c r="H1424" s="22"/>
      <c r="I1424" s="22">
        <f t="shared" si="23"/>
        <v>700</v>
      </c>
      <c r="J1424" s="18" t="s">
        <v>1085</v>
      </c>
      <c r="K1424" s="18">
        <v>9850515</v>
      </c>
      <c r="L1424" s="18">
        <v>920529</v>
      </c>
      <c r="M1424" s="18" t="s">
        <v>3308</v>
      </c>
      <c r="N1424" s="16" t="s">
        <v>2969</v>
      </c>
      <c r="O1424" s="18" t="s">
        <v>3309</v>
      </c>
      <c r="P1424" s="18" t="s">
        <v>3310</v>
      </c>
      <c r="Q1424" s="29" t="str" cm="1">
        <f t="array" ref="Q1424">_xlfn.IFS(
A1424="","",
AND(A1424&lt;&gt;"",B1424=""),"FALTA LANÇAMENTO",
AND(B1424&lt;&gt;"",M1424=""),"FALTA O PEDIDO",
AND(M1424&lt;&gt;"",O1424=""),"FALTA NF",
O1424&lt;&gt;"","CONCLUÍDO")</f>
        <v>CONCLUÍDO</v>
      </c>
      <c r="R1424" s="36"/>
    </row>
    <row r="1425" spans="1:18" hidden="1">
      <c r="A1425" s="16">
        <v>46141</v>
      </c>
      <c r="B1425" s="16">
        <v>46141</v>
      </c>
      <c r="C1425" s="21">
        <v>11521029</v>
      </c>
      <c r="D1425" s="16" t="str">
        <f>IFERROR(VLOOKUP(Tabela5[[#This Row],[PREFIXO ]],Tabela4[#All],2,0),"CENTRO DE CUSTO")</f>
        <v>TRAT PN EXT PES FENDT 1046 VARIO</v>
      </c>
      <c r="E1425" s="18" t="s">
        <v>259</v>
      </c>
      <c r="F1425" s="21">
        <v>63236553</v>
      </c>
      <c r="G1425" s="22">
        <v>43.63</v>
      </c>
      <c r="H1425" s="22">
        <v>5256.44</v>
      </c>
      <c r="I1425" s="22">
        <f t="shared" si="23"/>
        <v>5300.07</v>
      </c>
      <c r="J1425" s="18" t="s">
        <v>1199</v>
      </c>
      <c r="K1425" s="18">
        <v>9850543</v>
      </c>
      <c r="L1425" s="18">
        <v>920603</v>
      </c>
      <c r="M1425" s="18" t="s">
        <v>3311</v>
      </c>
      <c r="N1425" s="16" t="s">
        <v>2969</v>
      </c>
      <c r="O1425" s="18" t="s">
        <v>3312</v>
      </c>
      <c r="P1425" s="18" t="s">
        <v>3313</v>
      </c>
      <c r="Q1425" s="29" t="str" cm="1">
        <f t="array" ref="Q1425">_xlfn.IFS(
A1425="","",
AND(A1425&lt;&gt;"",B1425=""),"FALTA LANÇAMENTO",
AND(B1425&lt;&gt;"",M1425=""),"FALTA O PEDIDO",
AND(M1425&lt;&gt;"",O1425=""),"FALTA NF",
O1425&lt;&gt;"","CONCLUÍDO")</f>
        <v>CONCLUÍDO</v>
      </c>
      <c r="R1425" s="36"/>
    </row>
    <row r="1426" spans="1:18" hidden="1">
      <c r="A1426" s="16">
        <v>46141</v>
      </c>
      <c r="B1426" s="16">
        <v>46141</v>
      </c>
      <c r="C1426" s="21">
        <v>11521029</v>
      </c>
      <c r="D1426" s="16" t="str">
        <f>IFERROR(VLOOKUP(Tabela5[[#This Row],[PREFIXO ]],Tabela4[#All],2,0),"CENTRO DE CUSTO")</f>
        <v>TRAT PN EXT PES FENDT 1046 VARIO</v>
      </c>
      <c r="E1426" s="18" t="s">
        <v>259</v>
      </c>
      <c r="F1426" s="21">
        <v>63210029</v>
      </c>
      <c r="G1426" s="22"/>
      <c r="H1426" s="22">
        <v>602.94000000000005</v>
      </c>
      <c r="I1426" s="22">
        <f t="shared" si="23"/>
        <v>602.94000000000005</v>
      </c>
      <c r="J1426" s="18" t="s">
        <v>1199</v>
      </c>
      <c r="K1426" s="18">
        <v>9850543</v>
      </c>
      <c r="L1426" s="18">
        <v>920603</v>
      </c>
      <c r="M1426" s="18" t="s">
        <v>3311</v>
      </c>
      <c r="N1426" s="16" t="s">
        <v>2969</v>
      </c>
      <c r="O1426" s="18" t="s">
        <v>3312</v>
      </c>
      <c r="P1426" s="18" t="s">
        <v>3313</v>
      </c>
      <c r="Q1426" s="29" t="str" cm="1">
        <f t="array" ref="Q1426">_xlfn.IFS(
A1426="","",
AND(A1426&lt;&gt;"",B1426=""),"FALTA LANÇAMENTO",
AND(B1426&lt;&gt;"",M1426=""),"FALTA O PEDIDO",
AND(M1426&lt;&gt;"",O1426=""),"FALTA NF",
O1426&lt;&gt;"","CONCLUÍDO")</f>
        <v>CONCLUÍDO</v>
      </c>
      <c r="R1426" s="36"/>
    </row>
    <row r="1427" spans="1:18" hidden="1">
      <c r="A1427" s="16">
        <v>46142</v>
      </c>
      <c r="B1427" s="16">
        <v>46142</v>
      </c>
      <c r="C1427" s="21">
        <v>1159005</v>
      </c>
      <c r="D1427" s="16" t="str">
        <f>IFERROR(VLOOKUP(Tabela5[[#This Row],[PREFIXO ]],Tabela4[#All],2,0),"CENTRO DE CUSTO")</f>
        <v>TRAT PN MED JOHN DEERE 7500</v>
      </c>
      <c r="E1427" s="18" t="s">
        <v>67</v>
      </c>
      <c r="F1427" s="21">
        <v>164</v>
      </c>
      <c r="G1427" s="22">
        <v>1250</v>
      </c>
      <c r="H1427" s="22">
        <v>3651.8</v>
      </c>
      <c r="I1427" s="22">
        <f t="shared" si="23"/>
        <v>4901.8</v>
      </c>
      <c r="J1427" s="18" t="s">
        <v>1199</v>
      </c>
      <c r="K1427" s="18">
        <v>9852405</v>
      </c>
      <c r="L1427" s="18">
        <v>921167</v>
      </c>
      <c r="M1427" s="18" t="s">
        <v>3314</v>
      </c>
      <c r="N1427" s="16" t="s">
        <v>2969</v>
      </c>
      <c r="O1427" s="18" t="s">
        <v>3315</v>
      </c>
      <c r="P1427" s="18" t="s">
        <v>3004</v>
      </c>
      <c r="Q1427" s="29" t="str" cm="1">
        <f t="array" ref="Q1427">_xlfn.IFS(
A1427="","",
AND(A1427&lt;&gt;"",B1427=""),"FALTA LANÇAMENTO",
AND(B1427&lt;&gt;"",M1427=""),"FALTA O PEDIDO",
AND(M1427&lt;&gt;"",O1427=""),"FALTA NF",
O1427&lt;&gt;"","CONCLUÍDO")</f>
        <v>CONCLUÍDO</v>
      </c>
      <c r="R1427" s="36"/>
    </row>
    <row r="1428" spans="1:18" hidden="1">
      <c r="A1428" s="16">
        <v>46142</v>
      </c>
      <c r="B1428" s="16">
        <v>46142</v>
      </c>
      <c r="C1428" s="21">
        <v>1159005</v>
      </c>
      <c r="D1428" s="16" t="str">
        <f>IFERROR(VLOOKUP(Tabela5[[#This Row],[PREFIXO ]],Tabela4[#All],2,0),"CENTRO DE CUSTO")</f>
        <v>TRAT PN MED JOHN DEERE 7500</v>
      </c>
      <c r="E1428" s="18" t="s">
        <v>67</v>
      </c>
      <c r="F1428" s="21">
        <v>163</v>
      </c>
      <c r="G1428" s="22">
        <v>1627.5</v>
      </c>
      <c r="H1428" s="22"/>
      <c r="I1428" s="22">
        <f t="shared" si="23"/>
        <v>1627.5</v>
      </c>
      <c r="J1428" s="18" t="s">
        <v>1199</v>
      </c>
      <c r="K1428" s="18">
        <v>9852099</v>
      </c>
      <c r="L1428" s="18">
        <v>921167</v>
      </c>
      <c r="M1428" s="18" t="s">
        <v>3314</v>
      </c>
      <c r="N1428" s="16" t="s">
        <v>2969</v>
      </c>
      <c r="O1428" s="18" t="s">
        <v>3315</v>
      </c>
      <c r="P1428" s="18" t="s">
        <v>3004</v>
      </c>
      <c r="Q1428" s="29" t="str" cm="1">
        <f t="array" ref="Q1428">_xlfn.IFS(
A1428="","",
AND(A1428&lt;&gt;"",B1428=""),"FALTA LANÇAMENTO",
AND(B1428&lt;&gt;"",M1428=""),"FALTA O PEDIDO",
AND(M1428&lt;&gt;"",O1428=""),"FALTA NF",
O1428&lt;&gt;"","CONCLUÍDO")</f>
        <v>CONCLUÍDO</v>
      </c>
      <c r="R1428" s="36"/>
    </row>
    <row r="1429" spans="1:18" hidden="1">
      <c r="A1429" s="16">
        <v>46142</v>
      </c>
      <c r="B1429" s="16">
        <v>46142</v>
      </c>
      <c r="C1429" s="21">
        <v>1151029</v>
      </c>
      <c r="D1429" s="16" t="str">
        <f>IFERROR(VLOOKUP(Tabela5[[#This Row],[PREFIXO ]],Tabela4[#All],2,0),"CENTRO DE CUSTO")</f>
        <v>TRAT PN MED M FERGUSON MF 292</v>
      </c>
      <c r="E1429" s="18" t="s">
        <v>67</v>
      </c>
      <c r="F1429" s="21">
        <v>159</v>
      </c>
      <c r="G1429" s="22">
        <v>1250</v>
      </c>
      <c r="H1429" s="22"/>
      <c r="I1429" s="22">
        <f t="shared" si="23"/>
        <v>1250</v>
      </c>
      <c r="J1429" s="18" t="s">
        <v>1199</v>
      </c>
      <c r="K1429" s="18">
        <v>9852386</v>
      </c>
      <c r="L1429" s="18">
        <v>921167</v>
      </c>
      <c r="M1429" s="18" t="s">
        <v>3314</v>
      </c>
      <c r="N1429" s="16" t="s">
        <v>2969</v>
      </c>
      <c r="O1429" s="18" t="s">
        <v>3315</v>
      </c>
      <c r="P1429" s="18" t="s">
        <v>3004</v>
      </c>
      <c r="Q1429" s="29" t="str" cm="1">
        <f t="array" ref="Q1429">_xlfn.IFS(
A1429="","",
AND(A1429&lt;&gt;"",B1429=""),"FALTA LANÇAMENTO",
AND(B1429&lt;&gt;"",M1429=""),"FALTA O PEDIDO",
AND(M1429&lt;&gt;"",O1429=""),"FALTA NF",
O1429&lt;&gt;"","CONCLUÍDO")</f>
        <v>CONCLUÍDO</v>
      </c>
      <c r="R1429" s="36"/>
    </row>
    <row r="1430" spans="1:18" hidden="1">
      <c r="A1430" s="16">
        <v>46142</v>
      </c>
      <c r="B1430" s="16">
        <v>46142</v>
      </c>
      <c r="C1430" s="21">
        <v>51521067</v>
      </c>
      <c r="D1430" s="16" t="str">
        <f>IFERROR(VLOOKUP(Tabela5[[#This Row],[PREFIXO ]],Tabela4[#All],2,0),"CENTRO DE CUSTO")</f>
        <v>COLHED ALGODÃO JOHN DEERE CP 690</v>
      </c>
      <c r="E1430" s="18" t="s">
        <v>96</v>
      </c>
      <c r="F1430" s="21" t="s">
        <v>3316</v>
      </c>
      <c r="G1430" s="22">
        <v>1760.83</v>
      </c>
      <c r="H1430" s="22">
        <v>1004.35</v>
      </c>
      <c r="I1430" s="22">
        <f t="shared" si="23"/>
        <v>2765.18</v>
      </c>
      <c r="J1430" s="18" t="s">
        <v>1113</v>
      </c>
      <c r="K1430" s="18">
        <v>9838894</v>
      </c>
      <c r="L1430" s="18">
        <v>920646</v>
      </c>
      <c r="M1430" s="18" t="s">
        <v>3317</v>
      </c>
      <c r="N1430" s="16" t="s">
        <v>2969</v>
      </c>
      <c r="O1430" s="18" t="s">
        <v>3318</v>
      </c>
      <c r="P1430" s="18" t="s">
        <v>2943</v>
      </c>
      <c r="Q1430" s="29" t="str" cm="1">
        <f t="array" ref="Q1430">_xlfn.IFS(
A1430="","",
AND(A1430&lt;&gt;"",B1430=""),"FALTA LANÇAMENTO",
AND(B1430&lt;&gt;"",M1430=""),"FALTA O PEDIDO",
AND(M1430&lt;&gt;"",O1430=""),"FALTA NF",
O1430&lt;&gt;"","CONCLUÍDO")</f>
        <v>CONCLUÍDO</v>
      </c>
      <c r="R1430" s="36"/>
    </row>
    <row r="1431" spans="1:18" hidden="1">
      <c r="A1431" s="16">
        <v>46142</v>
      </c>
      <c r="B1431" s="16">
        <v>46142</v>
      </c>
      <c r="C1431" s="21">
        <v>61521039</v>
      </c>
      <c r="D1431" s="16" t="str">
        <f>IFERROR(VLOOKUP(Tabela5[[#This Row],[PREFIXO ]],Tabela4[#All],2,0),"CENTRO DE CUSTO")</f>
        <v>CAM MUNCK MERC BENZ ATEGO 1719</v>
      </c>
      <c r="E1431" s="18" t="s">
        <v>96</v>
      </c>
      <c r="F1431" s="21" t="s">
        <v>3319</v>
      </c>
      <c r="G1431" s="22">
        <v>450</v>
      </c>
      <c r="H1431" s="22">
        <v>1370.69</v>
      </c>
      <c r="I1431" s="22">
        <f t="shared" si="23"/>
        <v>1820.69</v>
      </c>
      <c r="J1431" s="18" t="s">
        <v>1085</v>
      </c>
      <c r="K1431" s="18">
        <v>9839108</v>
      </c>
      <c r="L1431" s="18">
        <v>920645</v>
      </c>
      <c r="M1431" s="18" t="s">
        <v>3320</v>
      </c>
      <c r="N1431" s="16" t="s">
        <v>3036</v>
      </c>
      <c r="O1431" s="18" t="s">
        <v>3321</v>
      </c>
      <c r="P1431" s="18" t="s">
        <v>2943</v>
      </c>
      <c r="Q1431" s="29" t="str" cm="1">
        <f t="array" ref="Q1431">_xlfn.IFS(
A1431="","",
AND(A1431&lt;&gt;"",B1431=""),"FALTA LANÇAMENTO",
AND(B1431&lt;&gt;"",M1431=""),"FALTA O PEDIDO",
AND(M1431&lt;&gt;"",O1431=""),"FALTA NF",
O1431&lt;&gt;"","CONCLUÍDO")</f>
        <v>CONCLUÍDO</v>
      </c>
      <c r="R1431" s="36"/>
    </row>
    <row r="1432" spans="1:18" hidden="1">
      <c r="A1432" s="16">
        <v>46142</v>
      </c>
      <c r="B1432" s="16">
        <v>46142</v>
      </c>
      <c r="C1432" s="21">
        <v>35005015</v>
      </c>
      <c r="D1432" s="16" t="str">
        <f>IFERROR(VLOOKUP(Tabela5[[#This Row],[PREFIXO ]],Tabela4[#All],2,0),"CENTRO DE CUSTO")</f>
        <v>PULV AUTOPROP JACTO UNIPORT 3030</v>
      </c>
      <c r="E1432" s="18" t="s">
        <v>96</v>
      </c>
      <c r="F1432" s="21" t="s">
        <v>3322</v>
      </c>
      <c r="G1432" s="22">
        <v>200</v>
      </c>
      <c r="H1432" s="22">
        <v>1381.32</v>
      </c>
      <c r="I1432" s="22">
        <f t="shared" si="23"/>
        <v>1581.32</v>
      </c>
      <c r="J1432" s="18" t="s">
        <v>1265</v>
      </c>
      <c r="K1432" s="18">
        <v>9839103</v>
      </c>
      <c r="L1432" s="18">
        <v>920732</v>
      </c>
      <c r="M1432" s="18" t="s">
        <v>3323</v>
      </c>
      <c r="N1432" s="16" t="s">
        <v>3036</v>
      </c>
      <c r="O1432" s="18" t="s">
        <v>3324</v>
      </c>
      <c r="P1432" s="18" t="s">
        <v>2943</v>
      </c>
      <c r="Q1432" s="29" t="str" cm="1">
        <f t="array" ref="Q1432">_xlfn.IFS(
A1432="","",
AND(A1432&lt;&gt;"",B1432=""),"FALTA LANÇAMENTO",
AND(B1432&lt;&gt;"",M1432=""),"FALTA O PEDIDO",
AND(M1432&lt;&gt;"",O1432=""),"FALTA NF",
O1432&lt;&gt;"","CONCLUÍDO")</f>
        <v>CONCLUÍDO</v>
      </c>
      <c r="R1432" s="36"/>
    </row>
    <row r="1433" spans="1:18" hidden="1">
      <c r="A1433" s="16">
        <v>46142</v>
      </c>
      <c r="B1433" s="16">
        <v>46142</v>
      </c>
      <c r="C1433" s="21">
        <v>81521315</v>
      </c>
      <c r="D1433" s="16" t="str">
        <f>IFERROR(VLOOKUP(Tabela5[[#This Row],[PREFIXO ]],Tabela4[#All],2,0),"CENTRO DE CUSTO")</f>
        <v>PLANT GRÃOS JOHN DEERE DB90 ME 60 LINHAS</v>
      </c>
      <c r="E1433" s="18" t="s">
        <v>96</v>
      </c>
      <c r="F1433" s="21" t="s">
        <v>3325</v>
      </c>
      <c r="G1433" s="22">
        <v>243</v>
      </c>
      <c r="H1433" s="22">
        <v>162.44999999999999</v>
      </c>
      <c r="I1433" s="22">
        <f t="shared" si="23"/>
        <v>405.45</v>
      </c>
      <c r="J1433" s="18" t="s">
        <v>1199</v>
      </c>
      <c r="K1433" s="18">
        <v>9839106</v>
      </c>
      <c r="L1433" s="18">
        <v>920709</v>
      </c>
      <c r="M1433" s="18" t="s">
        <v>3326</v>
      </c>
      <c r="N1433" s="16" t="s">
        <v>3036</v>
      </c>
      <c r="O1433" s="18" t="s">
        <v>1095</v>
      </c>
      <c r="P1433" s="16" t="s">
        <v>1095</v>
      </c>
      <c r="Q1433" s="29" t="str" cm="1">
        <f t="array" ref="Q1433">_xlfn.IFS(
A1433="","",
AND(A1433&lt;&gt;"",B1433=""),"FALTA LANÇAMENTO",
AND(B1433&lt;&gt;"",M1433=""),"FALTA O PEDIDO",
AND(M1433&lt;&gt;"",O1433=""),"FALTA NF",
O1433&lt;&gt;"","CONCLUÍDO")</f>
        <v>CONCLUÍDO</v>
      </c>
      <c r="R1433" s="36"/>
    </row>
    <row r="1434" spans="1:18" hidden="1">
      <c r="A1434" s="16">
        <v>46142</v>
      </c>
      <c r="B1434" s="16">
        <v>46142</v>
      </c>
      <c r="C1434" s="21">
        <v>11521017</v>
      </c>
      <c r="D1434" s="16" t="str">
        <f>IFERROR(VLOOKUP(Tabela5[[#This Row],[PREFIXO ]],Tabela4[#All],2,0),"CENTRO DE CUSTO")</f>
        <v>TRAT PN MED CASE PUMA 140</v>
      </c>
      <c r="E1434" s="18" t="s">
        <v>359</v>
      </c>
      <c r="F1434" s="21" t="s">
        <v>3327</v>
      </c>
      <c r="G1434" s="22">
        <v>10000</v>
      </c>
      <c r="H1434" s="22"/>
      <c r="I1434" s="22">
        <f t="shared" si="23"/>
        <v>10000</v>
      </c>
      <c r="J1434" s="18" t="s">
        <v>1199</v>
      </c>
      <c r="K1434" s="18">
        <v>9852413</v>
      </c>
      <c r="L1434" s="18">
        <v>921061</v>
      </c>
      <c r="M1434" s="18" t="s">
        <v>3328</v>
      </c>
      <c r="N1434" s="16" t="s">
        <v>2969</v>
      </c>
      <c r="O1434" s="18" t="s">
        <v>1861</v>
      </c>
      <c r="P1434" s="18" t="s">
        <v>2676</v>
      </c>
      <c r="Q1434" s="29" t="str" cm="1">
        <f t="array" ref="Q1434">_xlfn.IFS(
A1434="","",
AND(A1434&lt;&gt;"",B1434=""),"FALTA LANÇAMENTO",
AND(B1434&lt;&gt;"",M1434=""),"FALTA O PEDIDO",
AND(M1434&lt;&gt;"",O1434=""),"FALTA NF",
O1434&lt;&gt;"","CONCLUÍDO")</f>
        <v>CONCLUÍDO</v>
      </c>
      <c r="R1434" s="36"/>
    </row>
    <row r="1435" spans="1:18" hidden="1">
      <c r="A1435" s="16">
        <v>46142</v>
      </c>
      <c r="B1435" s="16">
        <v>46142</v>
      </c>
      <c r="C1435" s="21">
        <v>11521021</v>
      </c>
      <c r="D1435" s="16" t="str">
        <f>IFERROR(VLOOKUP(Tabela5[[#This Row],[PREFIXO ]],Tabela4[#All],2,0),"CENTRO DE CUSTO")</f>
        <v>TRAT PN MED CASE PUMA 140</v>
      </c>
      <c r="E1435" s="18" t="s">
        <v>359</v>
      </c>
      <c r="F1435" s="21" t="s">
        <v>3329</v>
      </c>
      <c r="G1435" s="22">
        <v>10000</v>
      </c>
      <c r="H1435" s="22"/>
      <c r="I1435" s="22">
        <f t="shared" si="23"/>
        <v>10000</v>
      </c>
      <c r="J1435" s="18" t="s">
        <v>1199</v>
      </c>
      <c r="K1435" s="18">
        <v>9852418</v>
      </c>
      <c r="L1435" s="18">
        <v>921044</v>
      </c>
      <c r="M1435" s="18" t="s">
        <v>3330</v>
      </c>
      <c r="N1435" s="16" t="s">
        <v>2969</v>
      </c>
      <c r="O1435" s="18" t="s">
        <v>1859</v>
      </c>
      <c r="P1435" s="18" t="s">
        <v>2676</v>
      </c>
      <c r="Q1435" s="29" t="str" cm="1">
        <f t="array" ref="Q1435">_xlfn.IFS(
A1435="","",
AND(A1435&lt;&gt;"",B1435=""),"FALTA LANÇAMENTO",
AND(B1435&lt;&gt;"",M1435=""),"FALTA O PEDIDO",
AND(M1435&lt;&gt;"",O1435=""),"FALTA NF",
O1435&lt;&gt;"","CONCLUÍDO")</f>
        <v>CONCLUÍDO</v>
      </c>
      <c r="R1435" s="36"/>
    </row>
    <row r="1436" spans="1:18" hidden="1">
      <c r="A1436" s="16">
        <v>46142</v>
      </c>
      <c r="B1436" s="16">
        <v>46142</v>
      </c>
      <c r="C1436" s="21">
        <v>11521009</v>
      </c>
      <c r="D1436" s="16" t="str">
        <f>IFERROR(VLOOKUP(Tabela5[[#This Row],[PREFIXO ]],Tabela4[#All],2,0),"CENTRO DE CUSTO")</f>
        <v>TRAT PN MED CASE PUMA 140</v>
      </c>
      <c r="E1436" s="18" t="s">
        <v>359</v>
      </c>
      <c r="F1436" s="21" t="s">
        <v>3331</v>
      </c>
      <c r="G1436" s="22">
        <v>10000</v>
      </c>
      <c r="H1436" s="22"/>
      <c r="I1436" s="22">
        <f t="shared" si="23"/>
        <v>10000</v>
      </c>
      <c r="J1436" s="18" t="s">
        <v>1199</v>
      </c>
      <c r="K1436" s="18">
        <v>9852462</v>
      </c>
      <c r="L1436" s="18">
        <v>920750</v>
      </c>
      <c r="M1436" s="18" t="s">
        <v>3332</v>
      </c>
      <c r="N1436" s="16" t="s">
        <v>2969</v>
      </c>
      <c r="O1436" s="18" t="s">
        <v>3333</v>
      </c>
      <c r="P1436" s="18" t="s">
        <v>2676</v>
      </c>
      <c r="Q1436" s="29" t="str" cm="1">
        <f t="array" ref="Q1436">_xlfn.IFS(
A1436="","",
AND(A1436&lt;&gt;"",B1436=""),"FALTA LANÇAMENTO",
AND(B1436&lt;&gt;"",M1436=""),"FALTA O PEDIDO",
AND(M1436&lt;&gt;"",O1436=""),"FALTA NF",
O1436&lt;&gt;"","CONCLUÍDO")</f>
        <v>CONCLUÍDO</v>
      </c>
      <c r="R1436" s="36"/>
    </row>
    <row r="1437" spans="1:18" hidden="1">
      <c r="A1437" s="16">
        <v>46142</v>
      </c>
      <c r="B1437" s="16">
        <v>46142</v>
      </c>
      <c r="C1437" s="21">
        <v>11521027</v>
      </c>
      <c r="D1437" s="16" t="str">
        <f>IFERROR(VLOOKUP(Tabela5[[#This Row],[PREFIXO ]],Tabela4[#All],2,0),"CENTRO DE CUSTO")</f>
        <v>TRAT PN MED CASE PUMA 140</v>
      </c>
      <c r="E1437" s="18" t="s">
        <v>359</v>
      </c>
      <c r="F1437" s="21" t="s">
        <v>3334</v>
      </c>
      <c r="G1437" s="22">
        <v>10000</v>
      </c>
      <c r="H1437" s="22"/>
      <c r="I1437" s="22">
        <f t="shared" si="23"/>
        <v>10000</v>
      </c>
      <c r="J1437" s="18" t="s">
        <v>1199</v>
      </c>
      <c r="K1437" s="18">
        <v>9852419</v>
      </c>
      <c r="L1437" s="18">
        <v>921031</v>
      </c>
      <c r="M1437" s="18" t="s">
        <v>3335</v>
      </c>
      <c r="N1437" s="16" t="s">
        <v>2969</v>
      </c>
      <c r="O1437" s="18" t="s">
        <v>3336</v>
      </c>
      <c r="P1437" s="18" t="s">
        <v>2676</v>
      </c>
      <c r="Q1437" s="29" t="str" cm="1">
        <f t="array" ref="Q1437">_xlfn.IFS(
A1437="","",
AND(A1437&lt;&gt;"",B1437=""),"FALTA LANÇAMENTO",
AND(B1437&lt;&gt;"",M1437=""),"FALTA O PEDIDO",
AND(M1437&lt;&gt;"",O1437=""),"FALTA NF",
O1437&lt;&gt;"","CONCLUÍDO")</f>
        <v>CONCLUÍDO</v>
      </c>
      <c r="R1437" s="36"/>
    </row>
    <row r="1438" spans="1:18" hidden="1">
      <c r="A1438" s="16">
        <v>46142</v>
      </c>
      <c r="B1438" s="16">
        <v>46142</v>
      </c>
      <c r="C1438" s="21">
        <v>11521025</v>
      </c>
      <c r="D1438" s="16" t="str">
        <f>IFERROR(VLOOKUP(Tabela5[[#This Row],[PREFIXO ]],Tabela4[#All],2,0),"CENTRO DE CUSTO")</f>
        <v>TRAT PN MED CASE PUMA 140</v>
      </c>
      <c r="E1438" s="18" t="s">
        <v>359</v>
      </c>
      <c r="F1438" s="21" t="s">
        <v>3337</v>
      </c>
      <c r="G1438" s="22">
        <v>10000</v>
      </c>
      <c r="H1438" s="22"/>
      <c r="I1438" s="22">
        <f t="shared" si="23"/>
        <v>10000</v>
      </c>
      <c r="J1438" s="18" t="s">
        <v>1199</v>
      </c>
      <c r="K1438" s="18">
        <v>9852414</v>
      </c>
      <c r="L1438" s="18">
        <v>921048</v>
      </c>
      <c r="M1438" s="18" t="s">
        <v>3338</v>
      </c>
      <c r="N1438" s="16" t="s">
        <v>2969</v>
      </c>
      <c r="O1438" s="18" t="s">
        <v>2296</v>
      </c>
      <c r="P1438" s="18" t="s">
        <v>2676</v>
      </c>
      <c r="Q1438" s="29" t="str" cm="1">
        <f t="array" ref="Q1438">_xlfn.IFS(
A1438="","",
AND(A1438&lt;&gt;"",B1438=""),"FALTA LANÇAMENTO",
AND(B1438&lt;&gt;"",M1438=""),"FALTA O PEDIDO",
AND(M1438&lt;&gt;"",O1438=""),"FALTA NF",
O1438&lt;&gt;"","CONCLUÍDO")</f>
        <v>CONCLUÍDO</v>
      </c>
      <c r="R1438" s="36"/>
    </row>
    <row r="1439" spans="1:18" hidden="1">
      <c r="A1439" s="16">
        <v>46142</v>
      </c>
      <c r="B1439" s="16">
        <v>46142</v>
      </c>
      <c r="C1439" s="21">
        <v>11521023</v>
      </c>
      <c r="D1439" s="16" t="str">
        <f>IFERROR(VLOOKUP(Tabela5[[#This Row],[PREFIXO ]],Tabela4[#All],2,0),"CENTRO DE CUSTO")</f>
        <v>TRAT PN MED CASE PUMA 140</v>
      </c>
      <c r="E1439" s="18" t="s">
        <v>359</v>
      </c>
      <c r="F1439" s="21" t="s">
        <v>3339</v>
      </c>
      <c r="G1439" s="22">
        <v>10000</v>
      </c>
      <c r="H1439" s="22"/>
      <c r="I1439" s="22">
        <f t="shared" si="23"/>
        <v>10000</v>
      </c>
      <c r="J1439" s="18" t="s">
        <v>1199</v>
      </c>
      <c r="K1439" s="18">
        <v>9852412</v>
      </c>
      <c r="L1439" s="18">
        <v>921076</v>
      </c>
      <c r="M1439" s="18" t="s">
        <v>3340</v>
      </c>
      <c r="N1439" s="16" t="s">
        <v>2969</v>
      </c>
      <c r="O1439" s="18" t="s">
        <v>2286</v>
      </c>
      <c r="P1439" s="18" t="s">
        <v>2676</v>
      </c>
      <c r="Q1439" s="29" t="str" cm="1">
        <f t="array" ref="Q1439">_xlfn.IFS(
A1439="","",
AND(A1439&lt;&gt;"",B1439=""),"FALTA LANÇAMENTO",
AND(B1439&lt;&gt;"",M1439=""),"FALTA O PEDIDO",
AND(M1439&lt;&gt;"",O1439=""),"FALTA NF",
O1439&lt;&gt;"","CONCLUÍDO")</f>
        <v>CONCLUÍDO</v>
      </c>
      <c r="R1439" s="36"/>
    </row>
    <row r="1440" spans="1:18" hidden="1">
      <c r="A1440" s="16">
        <v>46142</v>
      </c>
      <c r="B1440" s="16">
        <v>46142</v>
      </c>
      <c r="C1440" s="21">
        <v>13100042</v>
      </c>
      <c r="D1440" s="16" t="str">
        <f>IFERROR(VLOOKUP(Tabela5[[#This Row],[PREFIXO ]],Tabela4[#All],2,0),"CENTRO DE CUSTO")</f>
        <v>CENTRO DE CUSTO</v>
      </c>
      <c r="E1440" s="18" t="s">
        <v>359</v>
      </c>
      <c r="F1440" s="21" t="s">
        <v>3341</v>
      </c>
      <c r="G1440" s="22">
        <v>2406</v>
      </c>
      <c r="H1440" s="22"/>
      <c r="I1440" s="22">
        <f t="shared" si="23"/>
        <v>2406</v>
      </c>
      <c r="J1440" s="18" t="s">
        <v>1199</v>
      </c>
      <c r="K1440" s="18">
        <v>9852469</v>
      </c>
      <c r="L1440" s="18">
        <v>921081</v>
      </c>
      <c r="M1440" s="18" t="s">
        <v>3342</v>
      </c>
      <c r="N1440" s="16" t="s">
        <v>2969</v>
      </c>
      <c r="O1440" s="18" t="s">
        <v>1857</v>
      </c>
      <c r="P1440" s="18" t="s">
        <v>2676</v>
      </c>
      <c r="Q1440" s="29" t="str" cm="1">
        <f t="array" ref="Q1440">_xlfn.IFS(
A1440="","",
AND(A1440&lt;&gt;"",B1440=""),"FALTA LANÇAMENTO",
AND(B1440&lt;&gt;"",M1440=""),"FALTA O PEDIDO",
AND(M1440&lt;&gt;"",O1440=""),"FALTA NF",
O1440&lt;&gt;"","CONCLUÍDO")</f>
        <v>CONCLUÍDO</v>
      </c>
      <c r="R1440" s="36"/>
    </row>
    <row r="1441" spans="1:18" hidden="1">
      <c r="A1441" s="16">
        <v>46142</v>
      </c>
      <c r="B1441" s="16">
        <v>46142</v>
      </c>
      <c r="C1441" s="21" t="s">
        <v>3343</v>
      </c>
      <c r="D1441" s="16" t="str">
        <f>IFERROR(VLOOKUP(Tabela5[[#This Row],[PREFIXO ]],Tabela4[#All],2,0),"CENTRO DE CUSTO")</f>
        <v>CENTRO DE CUSTO</v>
      </c>
      <c r="E1441" s="18" t="s">
        <v>312</v>
      </c>
      <c r="F1441" s="21" t="s">
        <v>3344</v>
      </c>
      <c r="G1441" s="22">
        <v>19820.400000000001</v>
      </c>
      <c r="H1441" s="22"/>
      <c r="I1441" s="22">
        <f t="shared" si="23"/>
        <v>19820.400000000001</v>
      </c>
      <c r="J1441" s="18" t="s">
        <v>1199</v>
      </c>
      <c r="K1441" s="18" t="s">
        <v>3345</v>
      </c>
      <c r="L1441" s="18">
        <v>921149</v>
      </c>
      <c r="M1441" s="18" t="s">
        <v>3346</v>
      </c>
      <c r="N1441" s="16" t="s">
        <v>2969</v>
      </c>
      <c r="O1441" s="18" t="s">
        <v>1851</v>
      </c>
      <c r="P1441" s="18" t="s">
        <v>2676</v>
      </c>
      <c r="Q1441" s="29" t="str" cm="1">
        <f t="array" ref="Q1441">_xlfn.IFS(
A1441="","",
AND(A1441&lt;&gt;"",B1441=""),"FALTA LANÇAMENTO",
AND(B1441&lt;&gt;"",M1441=""),"FALTA O PEDIDO",
AND(M1441&lt;&gt;"",O1441=""),"FALTA NF",
O1441&lt;&gt;"","CONCLUÍDO")</f>
        <v>CONCLUÍDO</v>
      </c>
      <c r="R1441" s="36"/>
    </row>
    <row r="1442" spans="1:18" hidden="1">
      <c r="A1442" s="16">
        <v>46142</v>
      </c>
      <c r="B1442" s="16">
        <v>46142</v>
      </c>
      <c r="C1442" s="21">
        <v>13100035</v>
      </c>
      <c r="D1442" s="16" t="str">
        <f>IFERROR(VLOOKUP(Tabela5[[#This Row],[PREFIXO ]],Tabela4[#All],2,0),"CENTRO DE CUSTO")</f>
        <v>CENTRO DE CUSTO</v>
      </c>
      <c r="E1442" s="18" t="s">
        <v>312</v>
      </c>
      <c r="F1442" s="21" t="s">
        <v>3347</v>
      </c>
      <c r="G1442" s="22">
        <v>11960</v>
      </c>
      <c r="H1442" s="22"/>
      <c r="I1442" s="22">
        <f t="shared" si="23"/>
        <v>11960</v>
      </c>
      <c r="J1442" s="18" t="s">
        <v>1199</v>
      </c>
      <c r="K1442" s="18">
        <v>9852408</v>
      </c>
      <c r="L1442" s="18">
        <v>921143</v>
      </c>
      <c r="M1442" s="18" t="s">
        <v>3348</v>
      </c>
      <c r="N1442" s="16" t="s">
        <v>2969</v>
      </c>
      <c r="O1442" s="18" t="s">
        <v>1857</v>
      </c>
      <c r="P1442" s="18" t="s">
        <v>2676</v>
      </c>
      <c r="Q1442" s="29" t="str" cm="1">
        <f t="array" ref="Q1442">_xlfn.IFS(
A1442="","",
AND(A1442&lt;&gt;"",B1442=""),"FALTA LANÇAMENTO",
AND(B1442&lt;&gt;"",M1442=""),"FALTA O PEDIDO",
AND(M1442&lt;&gt;"",O1442=""),"FALTA NF",
O1442&lt;&gt;"","CONCLUÍDO")</f>
        <v>CONCLUÍDO</v>
      </c>
      <c r="R1442" s="36"/>
    </row>
    <row r="1443" spans="1:18" hidden="1">
      <c r="A1443" s="16">
        <v>46142</v>
      </c>
      <c r="B1443" s="16">
        <v>46142</v>
      </c>
      <c r="C1443" s="21">
        <v>13100041</v>
      </c>
      <c r="D1443" s="16" t="str">
        <f>IFERROR(VLOOKUP(Tabela5[[#This Row],[PREFIXO ]],Tabela4[#All],2,0),"CENTRO DE CUSTO")</f>
        <v>CENTRO DE CUSTO</v>
      </c>
      <c r="E1443" s="18" t="s">
        <v>312</v>
      </c>
      <c r="F1443" s="21" t="s">
        <v>3349</v>
      </c>
      <c r="G1443" s="22">
        <v>11960</v>
      </c>
      <c r="H1443" s="22"/>
      <c r="I1443" s="22">
        <f t="shared" si="23"/>
        <v>11960</v>
      </c>
      <c r="J1443" s="18" t="s">
        <v>1199</v>
      </c>
      <c r="K1443" s="18">
        <v>9852409</v>
      </c>
      <c r="L1443" s="18">
        <v>921135</v>
      </c>
      <c r="M1443" s="18" t="s">
        <v>3350</v>
      </c>
      <c r="N1443" s="16" t="s">
        <v>2969</v>
      </c>
      <c r="O1443" s="18" t="s">
        <v>1859</v>
      </c>
      <c r="P1443" s="18" t="s">
        <v>2676</v>
      </c>
      <c r="Q1443" s="29" t="str" cm="1">
        <f t="array" ref="Q1443">_xlfn.IFS(
A1443="","",
AND(A1443&lt;&gt;"",B1443=""),"FALTA LANÇAMENTO",
AND(B1443&lt;&gt;"",M1443=""),"FALTA O PEDIDO",
AND(M1443&lt;&gt;"",O1443=""),"FALTA NF",
O1443&lt;&gt;"","CONCLUÍDO")</f>
        <v>CONCLUÍDO</v>
      </c>
      <c r="R1443" s="36"/>
    </row>
    <row r="1444" spans="1:18" hidden="1">
      <c r="A1444" s="16">
        <v>46142</v>
      </c>
      <c r="B1444" s="16">
        <v>46142</v>
      </c>
      <c r="C1444" s="21">
        <v>11521014</v>
      </c>
      <c r="D1444" s="16" t="str">
        <f>IFERROR(VLOOKUP(Tabela5[[#This Row],[PREFIXO ]],Tabela4[#All],2,0),"CENTRO DE CUSTO")</f>
        <v>TRAT PN MED CASE PUMA 140</v>
      </c>
      <c r="E1444" s="18" t="s">
        <v>312</v>
      </c>
      <c r="F1444" s="21" t="s">
        <v>3351</v>
      </c>
      <c r="G1444" s="22">
        <v>2131</v>
      </c>
      <c r="H1444" s="22"/>
      <c r="I1444" s="22">
        <f t="shared" si="23"/>
        <v>2131</v>
      </c>
      <c r="J1444" s="18" t="s">
        <v>1199</v>
      </c>
      <c r="K1444" s="18">
        <v>9852468</v>
      </c>
      <c r="L1444" s="18">
        <v>921117</v>
      </c>
      <c r="M1444" s="18" t="s">
        <v>3352</v>
      </c>
      <c r="N1444" s="16" t="s">
        <v>2969</v>
      </c>
      <c r="O1444" s="18" t="s">
        <v>3333</v>
      </c>
      <c r="P1444" s="18" t="s">
        <v>2676</v>
      </c>
      <c r="Q1444" s="29" t="str" cm="1">
        <f t="array" ref="Q1444">_xlfn.IFS(
A1444="","",
AND(A1444&lt;&gt;"",B1444=""),"FALTA LANÇAMENTO",
AND(B1444&lt;&gt;"",M1444=""),"FALTA O PEDIDO",
AND(M1444&lt;&gt;"",O1444=""),"FALTA NF",
O1444&lt;&gt;"","CONCLUÍDO")</f>
        <v>CONCLUÍDO</v>
      </c>
      <c r="R1444" s="36"/>
    </row>
    <row r="1445" spans="1:18" hidden="1">
      <c r="A1445" s="16">
        <v>46142</v>
      </c>
      <c r="B1445" s="16">
        <v>46142</v>
      </c>
      <c r="C1445" s="21">
        <v>1173063</v>
      </c>
      <c r="D1445" s="16" t="str">
        <f>IFERROR(VLOOKUP(Tabela5[[#This Row],[PREFIXO ]],Tabela4[#All],2,0),"CENTRO DE CUSTO")</f>
        <v>TRAT PN MED M FERGUSON MF 297</v>
      </c>
      <c r="E1445" s="18" t="s">
        <v>312</v>
      </c>
      <c r="F1445" s="21" t="s">
        <v>3353</v>
      </c>
      <c r="G1445" s="22">
        <v>1938.6</v>
      </c>
      <c r="H1445" s="22"/>
      <c r="I1445" s="22">
        <f t="shared" si="23"/>
        <v>1938.6</v>
      </c>
      <c r="J1445" s="18" t="s">
        <v>1199</v>
      </c>
      <c r="K1445" s="18">
        <v>9853297</v>
      </c>
      <c r="L1445" s="18" t="s">
        <v>3354</v>
      </c>
      <c r="M1445" s="18" t="s">
        <v>3355</v>
      </c>
      <c r="N1445" s="16" t="s">
        <v>3356</v>
      </c>
      <c r="O1445" s="18" t="s">
        <v>1863</v>
      </c>
      <c r="P1445" s="18" t="s">
        <v>2676</v>
      </c>
      <c r="Q1445" s="29" t="str" cm="1">
        <f t="array" ref="Q1445">_xlfn.IFS(
A1445="","",
AND(A1445&lt;&gt;"",B1445=""),"FALTA LANÇAMENTO",
AND(B1445&lt;&gt;"",M1445=""),"FALTA O PEDIDO",
AND(M1445&lt;&gt;"",O1445=""),"FALTA NF",
O1445&lt;&gt;"","CONCLUÍDO")</f>
        <v>CONCLUÍDO</v>
      </c>
      <c r="R1445" s="36"/>
    </row>
    <row r="1446" spans="1:18" hidden="1">
      <c r="A1446" s="16">
        <v>46142</v>
      </c>
      <c r="B1446" s="16">
        <v>46142</v>
      </c>
      <c r="C1446" s="21">
        <v>11522007</v>
      </c>
      <c r="D1446" s="16" t="str">
        <f>IFERROR(VLOOKUP(Tabela5[[#This Row],[PREFIXO ]],Tabela4[#All],2,0),"CENTRO DE CUSTO")</f>
        <v>TRAT PN MED N.HOLLAND 7630</v>
      </c>
      <c r="E1446" s="18" t="s">
        <v>312</v>
      </c>
      <c r="F1446" s="21" t="s">
        <v>3357</v>
      </c>
      <c r="G1446" s="22">
        <v>1159</v>
      </c>
      <c r="H1446" s="22"/>
      <c r="I1446" s="22">
        <f t="shared" si="23"/>
        <v>1159</v>
      </c>
      <c r="J1446" s="18" t="s">
        <v>1199</v>
      </c>
      <c r="K1446" s="18">
        <v>9852631</v>
      </c>
      <c r="L1446" s="18">
        <v>921086</v>
      </c>
      <c r="M1446" s="18" t="s">
        <v>3358</v>
      </c>
      <c r="N1446" s="16" t="s">
        <v>2969</v>
      </c>
      <c r="O1446" s="18" t="s">
        <v>1863</v>
      </c>
      <c r="P1446" s="18" t="s">
        <v>2677</v>
      </c>
      <c r="Q1446" s="29" t="str" cm="1">
        <f t="array" ref="Q1446">_xlfn.IFS(
A1446="","",
AND(A1446&lt;&gt;"",B1446=""),"FALTA LANÇAMENTO",
AND(B1446&lt;&gt;"",M1446=""),"FALTA O PEDIDO",
AND(M1446&lt;&gt;"",O1446=""),"FALTA NF",
O1446&lt;&gt;"","CONCLUÍDO")</f>
        <v>CONCLUÍDO</v>
      </c>
      <c r="R1446" s="36"/>
    </row>
    <row r="1447" spans="1:18" hidden="1">
      <c r="A1447" s="16">
        <v>46144</v>
      </c>
      <c r="B1447" s="16">
        <v>46144</v>
      </c>
      <c r="C1447" s="21">
        <v>12060002</v>
      </c>
      <c r="D1447" s="16" t="str">
        <f>IFERROR(VLOOKUP(Tabela5[[#This Row],[PREFIXO ]],Tabela4[#All],2,0),"CENTRO DE CUSTO")</f>
        <v>ONIB RODOVIÁRIO MARCOPOLO NEOBUS MEGA</v>
      </c>
      <c r="E1447" s="18" t="s">
        <v>29</v>
      </c>
      <c r="F1447" s="21">
        <v>55608</v>
      </c>
      <c r="G1447" s="22">
        <v>11945</v>
      </c>
      <c r="H1447" s="22">
        <v>12936.28</v>
      </c>
      <c r="I1447" s="22">
        <f t="shared" si="23"/>
        <v>24881.279999999999</v>
      </c>
      <c r="J1447" s="18" t="s">
        <v>1085</v>
      </c>
      <c r="K1447" s="18">
        <v>9852702</v>
      </c>
      <c r="L1447" s="18">
        <v>921747</v>
      </c>
      <c r="M1447" s="18" t="s">
        <v>3359</v>
      </c>
      <c r="N1447" s="16" t="s">
        <v>2677</v>
      </c>
      <c r="O1447" s="18" t="s">
        <v>3360</v>
      </c>
      <c r="P1447" s="18" t="s">
        <v>3361</v>
      </c>
      <c r="Q1447" s="29" t="str" cm="1">
        <f t="array" ref="Q1447">_xlfn.IFS(
A1447="","",
AND(A1447&lt;&gt;"",B1447=""),"FALTA LANÇAMENTO",
AND(B1447&lt;&gt;"",M1447=""),"FALTA O PEDIDO",
AND(M1447&lt;&gt;"",O1447=""),"FALTA NF",
O1447&lt;&gt;"","CONCLUÍDO")</f>
        <v>CONCLUÍDO</v>
      </c>
      <c r="R1447" s="36"/>
    </row>
    <row r="1448" spans="1:18" hidden="1">
      <c r="A1448" s="16">
        <v>46144</v>
      </c>
      <c r="B1448" s="16">
        <v>46144</v>
      </c>
      <c r="C1448" s="21">
        <v>61521054</v>
      </c>
      <c r="D1448" s="16" t="str">
        <f>IFERROR(VLOOKUP(Tabela5[[#This Row],[PREFIXO ]],Tabela4[#All],2,0),"CENTRO DE CUSTO")</f>
        <v>CAM CARGA SECA MERC BENZ ATEGO 1719</v>
      </c>
      <c r="E1448" s="18" t="s">
        <v>29</v>
      </c>
      <c r="F1448" s="21">
        <v>55505</v>
      </c>
      <c r="G1448" s="22">
        <v>6378</v>
      </c>
      <c r="H1448" s="22">
        <v>17033.740000000002</v>
      </c>
      <c r="I1448" s="22">
        <f t="shared" si="23"/>
        <v>23411.74</v>
      </c>
      <c r="J1448" s="18" t="s">
        <v>1085</v>
      </c>
      <c r="K1448" s="18">
        <v>9852685</v>
      </c>
      <c r="L1448" s="18">
        <v>921911</v>
      </c>
      <c r="M1448" s="18" t="s">
        <v>3362</v>
      </c>
      <c r="N1448" s="16" t="s">
        <v>2677</v>
      </c>
      <c r="O1448" s="18" t="s">
        <v>3363</v>
      </c>
      <c r="P1448" s="18" t="s">
        <v>3361</v>
      </c>
      <c r="Q1448" s="29" t="str" cm="1">
        <f t="array" ref="Q1448">_xlfn.IFS(
A1448="","",
AND(A1448&lt;&gt;"",B1448=""),"FALTA LANÇAMENTO",
AND(B1448&lt;&gt;"",M1448=""),"FALTA O PEDIDO",
AND(M1448&lt;&gt;"",O1448=""),"FALTA NF",
O1448&lt;&gt;"","CONCLUÍDO")</f>
        <v>CONCLUÍDO</v>
      </c>
      <c r="R1448" s="36"/>
    </row>
    <row r="1449" spans="1:18" hidden="1">
      <c r="A1449" s="16">
        <v>46144</v>
      </c>
      <c r="B1449" s="16">
        <v>46144</v>
      </c>
      <c r="C1449" s="21">
        <v>11040022</v>
      </c>
      <c r="D1449" s="16" t="str">
        <f>IFERROR(VLOOKUP(Tabela5[[#This Row],[PREFIXO ]],Tabela4[#All],2,0),"CENTRO DE CUSTO")</f>
        <v>CAV MEC EXT PES SCANIA R500</v>
      </c>
      <c r="E1449" s="18" t="s">
        <v>29</v>
      </c>
      <c r="F1449" s="21">
        <v>55539</v>
      </c>
      <c r="G1449" s="22">
        <v>2768</v>
      </c>
      <c r="H1449" s="22">
        <v>13549.56</v>
      </c>
      <c r="I1449" s="22">
        <f t="shared" si="23"/>
        <v>16317.56</v>
      </c>
      <c r="J1449" s="18" t="s">
        <v>1085</v>
      </c>
      <c r="K1449" s="18">
        <v>9852636</v>
      </c>
      <c r="L1449" s="18">
        <v>921329</v>
      </c>
      <c r="M1449" s="18" t="s">
        <v>3364</v>
      </c>
      <c r="N1449" s="16" t="s">
        <v>2676</v>
      </c>
      <c r="O1449" s="18" t="s">
        <v>3365</v>
      </c>
      <c r="P1449" s="18" t="s">
        <v>3366</v>
      </c>
      <c r="Q1449" s="29" t="str" cm="1">
        <f t="array" ref="Q1449">_xlfn.IFS(
A1449="","",
AND(A1449&lt;&gt;"",B1449=""),"FALTA LANÇAMENTO",
AND(B1449&lt;&gt;"",M1449=""),"FALTA O PEDIDO",
AND(M1449&lt;&gt;"",O1449=""),"FALTA NF",
O1449&lt;&gt;"","CONCLUÍDO")</f>
        <v>CONCLUÍDO</v>
      </c>
      <c r="R1449" s="36"/>
    </row>
    <row r="1450" spans="1:18" hidden="1">
      <c r="A1450" s="16">
        <v>46144</v>
      </c>
      <c r="B1450" s="16">
        <v>46144</v>
      </c>
      <c r="C1450" s="21">
        <v>61521051</v>
      </c>
      <c r="D1450" s="16" t="str">
        <f>IFERROR(VLOOKUP(Tabela5[[#This Row],[PREFIXO ]],Tabela4[#All],2,0),"CENTRO DE CUSTO")</f>
        <v>CENTRO DE CUSTO</v>
      </c>
      <c r="E1450" s="18" t="s">
        <v>29</v>
      </c>
      <c r="F1450" s="21">
        <v>55338</v>
      </c>
      <c r="G1450" s="22">
        <v>331</v>
      </c>
      <c r="H1450" s="22">
        <v>1001.1</v>
      </c>
      <c r="I1450" s="22">
        <f t="shared" si="23"/>
        <v>1332.1</v>
      </c>
      <c r="J1450" s="18" t="s">
        <v>1085</v>
      </c>
      <c r="K1450" s="18">
        <v>9852634</v>
      </c>
      <c r="L1450" s="18">
        <v>921327</v>
      </c>
      <c r="M1450" s="18" t="s">
        <v>3367</v>
      </c>
      <c r="N1450" s="16" t="s">
        <v>3356</v>
      </c>
      <c r="O1450" s="18" t="s">
        <v>3368</v>
      </c>
      <c r="P1450" s="18" t="s">
        <v>3369</v>
      </c>
      <c r="Q1450" s="29" t="str" cm="1">
        <f t="array" ref="Q1450">_xlfn.IFS(
A1450="","",
AND(A1450&lt;&gt;"",B1450=""),"FALTA LANÇAMENTO",
AND(B1450&lt;&gt;"",M1450=""),"FALTA O PEDIDO",
AND(M1450&lt;&gt;"",O1450=""),"FALTA NF",
O1450&lt;&gt;"","CONCLUÍDO")</f>
        <v>CONCLUÍDO</v>
      </c>
      <c r="R1450" s="36"/>
    </row>
    <row r="1451" spans="1:18" hidden="1">
      <c r="A1451" s="16">
        <v>46144</v>
      </c>
      <c r="B1451" s="16">
        <v>46144</v>
      </c>
      <c r="C1451" s="21">
        <v>61521061</v>
      </c>
      <c r="D1451" s="16" t="str">
        <f>IFERROR(VLOOKUP(Tabela5[[#This Row],[PREFIXO ]],Tabela4[#All],2,0),"CENTRO DE CUSTO")</f>
        <v>ONIB RODOVIÁRIO MERC BENZ MARCOPOLO TORI</v>
      </c>
      <c r="E1451" s="18" t="s">
        <v>29</v>
      </c>
      <c r="F1451" s="21">
        <v>55616</v>
      </c>
      <c r="G1451" s="22">
        <v>146</v>
      </c>
      <c r="H1451" s="22">
        <v>1148.1199999999999</v>
      </c>
      <c r="I1451" s="22">
        <f t="shared" si="23"/>
        <v>1294.1199999999999</v>
      </c>
      <c r="J1451" s="18" t="s">
        <v>1085</v>
      </c>
      <c r="K1451" s="18">
        <v>9852703</v>
      </c>
      <c r="L1451" s="18">
        <v>921324</v>
      </c>
      <c r="M1451" s="18" t="s">
        <v>3370</v>
      </c>
      <c r="N1451" s="16" t="s">
        <v>3356</v>
      </c>
      <c r="O1451" s="18" t="s">
        <v>3371</v>
      </c>
      <c r="P1451" s="18" t="s">
        <v>3372</v>
      </c>
      <c r="Q1451" s="29" t="str" cm="1">
        <f t="array" ref="Q1451">_xlfn.IFS(
A1451="","",
AND(A1451&lt;&gt;"",B1451=""),"FALTA LANÇAMENTO",
AND(B1451&lt;&gt;"",M1451=""),"FALTA O PEDIDO",
AND(M1451&lt;&gt;"",O1451=""),"FALTA NF",
O1451&lt;&gt;"","CONCLUÍDO")</f>
        <v>CONCLUÍDO</v>
      </c>
      <c r="R1451" s="36"/>
    </row>
    <row r="1452" spans="1:18" hidden="1">
      <c r="A1452" s="16">
        <v>46144</v>
      </c>
      <c r="B1452" s="16">
        <v>46144</v>
      </c>
      <c r="C1452" s="21">
        <v>85014034</v>
      </c>
      <c r="D1452" s="16" t="str">
        <f>IFERROR(VLOOKUP(Tabela5[[#This Row],[PREFIXO ]],Tabela4[#All],2,0),"CENTRO DE CUSTO")</f>
        <v>CENTRO DE CUSTO</v>
      </c>
      <c r="E1452" s="18" t="s">
        <v>67</v>
      </c>
      <c r="F1452" s="21">
        <v>156</v>
      </c>
      <c r="G1452" s="22">
        <v>1500</v>
      </c>
      <c r="H1452" s="22"/>
      <c r="I1452" s="22">
        <f t="shared" si="23"/>
        <v>1500</v>
      </c>
      <c r="J1452" s="18" t="s">
        <v>1199</v>
      </c>
      <c r="K1452" s="18">
        <v>9853299</v>
      </c>
      <c r="L1452" s="18">
        <v>921167</v>
      </c>
      <c r="M1452" s="18" t="s">
        <v>3314</v>
      </c>
      <c r="N1452" s="16" t="s">
        <v>2969</v>
      </c>
      <c r="O1452" s="18" t="s">
        <v>3315</v>
      </c>
      <c r="P1452" s="18" t="s">
        <v>3004</v>
      </c>
      <c r="Q1452" s="29" t="str" cm="1">
        <f t="array" ref="Q1452">_xlfn.IFS(
A1452="","",
AND(A1452&lt;&gt;"",B1452=""),"FALTA LANÇAMENTO",
AND(B1452&lt;&gt;"",M1452=""),"FALTA O PEDIDO",
AND(M1452&lt;&gt;"",O1452=""),"FALTA NF",
O1452&lt;&gt;"","CONCLUÍDO")</f>
        <v>CONCLUÍDO</v>
      </c>
      <c r="R1452" s="36"/>
    </row>
    <row r="1453" spans="1:18" hidden="1">
      <c r="A1453" s="16">
        <v>46144</v>
      </c>
      <c r="B1453" s="16">
        <v>46146</v>
      </c>
      <c r="C1453" s="21">
        <v>41521042</v>
      </c>
      <c r="D1453" s="16" t="str">
        <f>IFERROR(VLOOKUP(Tabela5[[#This Row],[PREFIXO ]],Tabela4[#All],2,0),"CENTRO DE CUSTO")</f>
        <v>UTILITARIO CITROEN JUMPY AMB</v>
      </c>
      <c r="E1453" s="18" t="s">
        <v>328</v>
      </c>
      <c r="F1453" s="21">
        <v>7535</v>
      </c>
      <c r="G1453" s="22">
        <v>1480</v>
      </c>
      <c r="H1453" s="22">
        <v>15</v>
      </c>
      <c r="I1453" s="22">
        <f t="shared" si="23"/>
        <v>1495</v>
      </c>
      <c r="J1453" s="18" t="s">
        <v>1085</v>
      </c>
      <c r="K1453" s="18">
        <v>5020623</v>
      </c>
      <c r="L1453" s="18">
        <v>922775</v>
      </c>
      <c r="M1453" s="18" t="s">
        <v>3373</v>
      </c>
      <c r="N1453" s="16" t="s">
        <v>2676</v>
      </c>
      <c r="O1453" s="18" t="s">
        <v>3374</v>
      </c>
      <c r="P1453" s="18" t="s">
        <v>3375</v>
      </c>
      <c r="Q1453" s="29" t="str" cm="1">
        <f t="array" ref="Q1453">_xlfn.IFS(
A1453="","",
AND(A1453&lt;&gt;"",B1453=""),"FALTA LANÇAMENTO",
AND(B1453&lt;&gt;"",M1453=""),"FALTA O PEDIDO",
AND(M1453&lt;&gt;"",O1453=""),"FALTA NF",
O1453&lt;&gt;"","CONCLUÍDO")</f>
        <v>CONCLUÍDO</v>
      </c>
      <c r="R1453" s="36"/>
    </row>
    <row r="1454" spans="1:18" hidden="1">
      <c r="A1454" s="16">
        <v>46144</v>
      </c>
      <c r="B1454" s="16">
        <v>46144</v>
      </c>
      <c r="C1454" s="21">
        <v>15048015</v>
      </c>
      <c r="D1454" s="16" t="str">
        <f>IFERROR(VLOOKUP(Tabela5[[#This Row],[PREFIXO ]],Tabela4[#All],2,0),"CENTRO DE CUSTO")</f>
        <v>TRAT PN EXT PES FENDT VARIO 1050</v>
      </c>
      <c r="E1454" s="18" t="s">
        <v>259</v>
      </c>
      <c r="F1454" s="21" t="s">
        <v>3376</v>
      </c>
      <c r="G1454" s="22">
        <v>231.97</v>
      </c>
      <c r="H1454" s="22">
        <v>6249.71</v>
      </c>
      <c r="I1454" s="22">
        <f t="shared" si="23"/>
        <v>6481.68</v>
      </c>
      <c r="J1454" s="18" t="s">
        <v>1199</v>
      </c>
      <c r="K1454" s="18">
        <v>9852407</v>
      </c>
      <c r="L1454" s="18">
        <v>921267</v>
      </c>
      <c r="M1454" s="18" t="s">
        <v>3377</v>
      </c>
      <c r="N1454" s="16" t="s">
        <v>2969</v>
      </c>
      <c r="O1454" s="18" t="s">
        <v>3378</v>
      </c>
      <c r="P1454" s="18" t="s">
        <v>3379</v>
      </c>
      <c r="Q1454" s="29" t="str" cm="1">
        <f t="array" ref="Q1454">_xlfn.IFS(
A1454="","",
AND(A1454&lt;&gt;"",B1454=""),"FALTA LANÇAMENTO",
AND(B1454&lt;&gt;"",M1454=""),"FALTA O PEDIDO",
AND(M1454&lt;&gt;"",O1454=""),"FALTA NF",
O1454&lt;&gt;"","CONCLUÍDO")</f>
        <v>CONCLUÍDO</v>
      </c>
      <c r="R1454" s="36"/>
    </row>
    <row r="1455" spans="1:18" hidden="1">
      <c r="A1455" s="16">
        <v>46144</v>
      </c>
      <c r="B1455" s="16">
        <v>46212</v>
      </c>
      <c r="C1455" s="21"/>
      <c r="D1455" s="16" t="str">
        <f>IFERROR(VLOOKUP(Tabela5[[#This Row],[PREFIXO ]],Tabela4[#All],2,0),"CENTRO DE CUSTO")</f>
        <v>CENTRO DE CUSTO</v>
      </c>
      <c r="E1455" s="18" t="s">
        <v>33</v>
      </c>
      <c r="F1455" s="21">
        <v>6</v>
      </c>
      <c r="G1455" s="22">
        <v>6650</v>
      </c>
      <c r="H1455" s="22"/>
      <c r="I1455" s="22">
        <f t="shared" si="23"/>
        <v>6650</v>
      </c>
      <c r="J1455" s="18" t="s">
        <v>1199</v>
      </c>
      <c r="K1455" s="18" t="s">
        <v>3380</v>
      </c>
      <c r="L1455" s="18" t="s">
        <v>3381</v>
      </c>
      <c r="M1455" s="18" t="s">
        <v>3382</v>
      </c>
      <c r="N1455" s="29">
        <v>46213</v>
      </c>
      <c r="O1455" s="18"/>
      <c r="P1455" s="18"/>
      <c r="Q1455" s="16" t="str" cm="1">
        <f t="array" ref="Q1455">_xlfn.IFS(
A1455="","",
AND(A1455&lt;&gt;"",B1455=""),"FALTA LANÇAMENTO",
AND(B1455&lt;&gt;"",M1455=""),"FALTA O PEDIDO",
AND(M1455&lt;&gt;"",O1455=""),"FALTA NF",
O1455&lt;&gt;"","CONCLUÍDO")</f>
        <v>FALTA NF</v>
      </c>
      <c r="R1455" s="36"/>
    </row>
    <row r="1456" spans="1:18" hidden="1">
      <c r="A1456" s="16">
        <v>46147</v>
      </c>
      <c r="B1456" s="16">
        <v>46147</v>
      </c>
      <c r="C1456" s="21">
        <v>61521043</v>
      </c>
      <c r="D1456" s="16" t="str">
        <f>IFERROR(VLOOKUP(Tabela5[[#This Row],[PREFIXO ]],Tabela4[#All],2,0),"CENTRO DE CUSTO")</f>
        <v>ONIB RODOVIÁRIO MASCARELLO GRAN MIDI</v>
      </c>
      <c r="E1456" s="18" t="s">
        <v>252</v>
      </c>
      <c r="F1456" s="21">
        <v>202614</v>
      </c>
      <c r="G1456" s="22">
        <v>570</v>
      </c>
      <c r="H1456" s="22"/>
      <c r="I1456" s="22">
        <f t="shared" si="23"/>
        <v>570</v>
      </c>
      <c r="J1456" s="18" t="s">
        <v>1085</v>
      </c>
      <c r="K1456" s="18">
        <v>9851789</v>
      </c>
      <c r="L1456" s="18">
        <v>922787</v>
      </c>
      <c r="M1456" s="18" t="s">
        <v>3383</v>
      </c>
      <c r="N1456" s="16" t="s">
        <v>2676</v>
      </c>
      <c r="O1456" s="18" t="s">
        <v>3384</v>
      </c>
      <c r="P1456" s="18" t="s">
        <v>3246</v>
      </c>
      <c r="Q1456" s="29" t="str" cm="1">
        <f t="array" ref="Q1456">_xlfn.IFS(
A1456="","",
AND(A1456&lt;&gt;"",B1456=""),"FALTA LANÇAMENTO",
AND(B1456&lt;&gt;"",M1456=""),"FALTA O PEDIDO",
AND(M1456&lt;&gt;"",O1456=""),"FALTA NF",
O1456&lt;&gt;"","CONCLUÍDO")</f>
        <v>CONCLUÍDO</v>
      </c>
      <c r="R1456" s="36"/>
    </row>
    <row r="1457" spans="1:18" hidden="1">
      <c r="A1457" s="16">
        <v>46148</v>
      </c>
      <c r="B1457" s="16">
        <v>46149</v>
      </c>
      <c r="C1457" s="21">
        <v>41521070</v>
      </c>
      <c r="D1457" s="16" t="str">
        <f>IFERROR(VLOOKUP(Tabela5[[#This Row],[PREFIXO ]],Tabela4[#All],2,0),"CENTRO DE CUSTO")</f>
        <v>MICROONIBUS SPRINTER 417 CDI K42B</v>
      </c>
      <c r="E1457" s="18" t="s">
        <v>110</v>
      </c>
      <c r="F1457" s="21">
        <v>8765</v>
      </c>
      <c r="G1457" s="22">
        <v>780</v>
      </c>
      <c r="H1457" s="22">
        <v>1838.89</v>
      </c>
      <c r="I1457" s="22">
        <f t="shared" si="23"/>
        <v>2618.8900000000003</v>
      </c>
      <c r="J1457" s="18" t="s">
        <v>1085</v>
      </c>
      <c r="K1457" s="18">
        <v>9855395</v>
      </c>
      <c r="L1457" s="18">
        <v>924930</v>
      </c>
      <c r="M1457" s="18" t="s">
        <v>3385</v>
      </c>
      <c r="N1457" s="16" t="s">
        <v>3246</v>
      </c>
      <c r="O1457" s="18"/>
      <c r="P1457" s="18"/>
      <c r="Q1457" s="29" t="str" cm="1">
        <f t="array" ref="Q1457">_xlfn.IFS(
A1457="","",
AND(A1457&lt;&gt;"",B1457=""),"FALTA LANÇAMENTO",
AND(B1457&lt;&gt;"",M1457=""),"FALTA O PEDIDO",
AND(M1457&lt;&gt;"",O1457=""),"FALTA NF",
O1457&lt;&gt;"","CONCLUÍDO")</f>
        <v>FALTA NF</v>
      </c>
      <c r="R1457" s="36"/>
    </row>
    <row r="1458" spans="1:18" hidden="1">
      <c r="A1458" s="16">
        <v>46148</v>
      </c>
      <c r="B1458" s="16">
        <v>46149</v>
      </c>
      <c r="C1458" s="21">
        <v>11040015</v>
      </c>
      <c r="D1458" s="16" t="str">
        <f>IFERROR(VLOOKUP(Tabela5[[#This Row],[PREFIXO ]],Tabela4[#All],2,0),"CENTRO DE CUSTO")</f>
        <v>CAV MEC EXT PES SCANIA R500</v>
      </c>
      <c r="E1458" s="18" t="s">
        <v>24</v>
      </c>
      <c r="F1458" s="21" t="s">
        <v>3386</v>
      </c>
      <c r="G1458" s="22">
        <v>643.5</v>
      </c>
      <c r="H1458" s="22">
        <v>12158.55</v>
      </c>
      <c r="I1458" s="22">
        <f t="shared" si="23"/>
        <v>12802.05</v>
      </c>
      <c r="J1458" s="18" t="s">
        <v>1085</v>
      </c>
      <c r="K1458" s="18">
        <v>9855939</v>
      </c>
      <c r="L1458" s="18">
        <v>924362</v>
      </c>
      <c r="M1458" s="18" t="s">
        <v>3387</v>
      </c>
      <c r="N1458" s="16" t="s">
        <v>3388</v>
      </c>
      <c r="O1458" s="18" t="s">
        <v>3389</v>
      </c>
      <c r="P1458" s="18" t="s">
        <v>3390</v>
      </c>
      <c r="Q1458" s="29" t="str" cm="1">
        <f t="array" ref="Q1458">_xlfn.IFS(
A1458="","",
AND(A1458&lt;&gt;"",B1458=""),"FALTA LANÇAMENTO",
AND(B1458&lt;&gt;"",M1458=""),"FALTA O PEDIDO",
AND(M1458&lt;&gt;"",O1458=""),"FALTA NF",
O1458&lt;&gt;"","CONCLUÍDO")</f>
        <v>CONCLUÍDO</v>
      </c>
      <c r="R1458" s="36"/>
    </row>
    <row r="1459" spans="1:18" hidden="1">
      <c r="A1459" s="16">
        <v>46148</v>
      </c>
      <c r="B1459" s="16">
        <v>46149</v>
      </c>
      <c r="C1459" s="21">
        <v>15110008</v>
      </c>
      <c r="D1459" s="16" t="str">
        <f>IFERROR(VLOOKUP(Tabela5[[#This Row],[PREFIXO ]],Tabela4[#All],2,0),"CENTRO DE CUSTO")</f>
        <v>DISTRIB CORRET STARA BRUTTUS 25000</v>
      </c>
      <c r="E1459" s="18" t="s">
        <v>48</v>
      </c>
      <c r="F1459" s="21">
        <v>20796</v>
      </c>
      <c r="G1459" s="22">
        <v>100</v>
      </c>
      <c r="H1459" s="22">
        <v>7650.45</v>
      </c>
      <c r="I1459" s="22">
        <f t="shared" si="23"/>
        <v>7750.45</v>
      </c>
      <c r="J1459" s="18" t="s">
        <v>1265</v>
      </c>
      <c r="K1459" s="18">
        <v>9855775</v>
      </c>
      <c r="L1459" s="18">
        <v>924352</v>
      </c>
      <c r="M1459" s="18" t="s">
        <v>3391</v>
      </c>
      <c r="N1459" s="16" t="s">
        <v>2677</v>
      </c>
      <c r="O1459" s="18" t="s">
        <v>3392</v>
      </c>
      <c r="P1459" s="18" t="s">
        <v>3361</v>
      </c>
      <c r="Q1459" s="29" t="str" cm="1">
        <f t="array" ref="Q1459">_xlfn.IFS(
A1459="","",
AND(A1459&lt;&gt;"",B1459=""),"FALTA LANÇAMENTO",
AND(B1459&lt;&gt;"",M1459=""),"FALTA O PEDIDO",
AND(M1459&lt;&gt;"",O1459=""),"FALTA NF",
O1459&lt;&gt;"","CONCLUÍDO")</f>
        <v>CONCLUÍDO</v>
      </c>
      <c r="R1459" s="36"/>
    </row>
    <row r="1460" spans="1:18" hidden="1">
      <c r="A1460" s="16">
        <v>46148</v>
      </c>
      <c r="B1460" s="16">
        <v>46149</v>
      </c>
      <c r="C1460" s="21">
        <v>61521052</v>
      </c>
      <c r="D1460" s="16" t="str">
        <f>IFERROR(VLOOKUP(Tabela5[[#This Row],[PREFIXO ]],Tabela4[#All],2,0),"CENTRO DE CUSTO")</f>
        <v>CAM CARGA SECA MERC BENZ ATEGO 1719</v>
      </c>
      <c r="E1460" s="18" t="s">
        <v>131</v>
      </c>
      <c r="F1460" s="21">
        <v>224</v>
      </c>
      <c r="G1460" s="22">
        <v>860</v>
      </c>
      <c r="H1460" s="22"/>
      <c r="I1460" s="22">
        <f t="shared" si="23"/>
        <v>860</v>
      </c>
      <c r="J1460" s="18" t="s">
        <v>1199</v>
      </c>
      <c r="K1460" s="18">
        <v>9855632</v>
      </c>
      <c r="L1460" s="18">
        <v>924256</v>
      </c>
      <c r="M1460" s="18" t="s">
        <v>3393</v>
      </c>
      <c r="N1460" s="16" t="s">
        <v>2677</v>
      </c>
      <c r="O1460" s="18" t="s">
        <v>3394</v>
      </c>
      <c r="P1460" s="18" t="s">
        <v>3031</v>
      </c>
      <c r="Q1460" s="29" t="str" cm="1">
        <f t="array" ref="Q1460">_xlfn.IFS(
A1460="","",
AND(A1460&lt;&gt;"",B1460=""),"FALTA LANÇAMENTO",
AND(B1460&lt;&gt;"",M1460=""),"FALTA O PEDIDO",
AND(M1460&lt;&gt;"",O1460=""),"FALTA NF",
O1460&lt;&gt;"","CONCLUÍDO")</f>
        <v>CONCLUÍDO</v>
      </c>
      <c r="R1460" s="36"/>
    </row>
    <row r="1461" spans="1:18" hidden="1">
      <c r="A1461" s="16">
        <v>46148</v>
      </c>
      <c r="B1461" s="16">
        <v>46149</v>
      </c>
      <c r="C1461" s="21">
        <v>51519061</v>
      </c>
      <c r="D1461" s="16" t="str">
        <f>IFERROR(VLOOKUP(Tabela5[[#This Row],[PREFIXO ]],Tabela4[#All],2,0),"CENTRO DE CUSTO")</f>
        <v>CENTRO DE CUSTO</v>
      </c>
      <c r="E1461" s="18" t="s">
        <v>67</v>
      </c>
      <c r="F1461" s="21">
        <v>161</v>
      </c>
      <c r="G1461" s="22">
        <v>1150</v>
      </c>
      <c r="H1461" s="22">
        <v>3840</v>
      </c>
      <c r="I1461" s="22">
        <f t="shared" si="23"/>
        <v>4990</v>
      </c>
      <c r="J1461" s="18" t="s">
        <v>1123</v>
      </c>
      <c r="K1461" s="18">
        <v>9856939</v>
      </c>
      <c r="L1461" s="18">
        <v>925408</v>
      </c>
      <c r="M1461" s="18" t="s">
        <v>3395</v>
      </c>
      <c r="N1461" s="16" t="s">
        <v>3246</v>
      </c>
      <c r="O1461" s="18" t="s">
        <v>3396</v>
      </c>
      <c r="P1461" s="18" t="s">
        <v>3397</v>
      </c>
      <c r="Q1461" s="29" t="str" cm="1">
        <f t="array" ref="Q1461">_xlfn.IFS(
A1461="","",
AND(A1461&lt;&gt;"",B1461=""),"FALTA LANÇAMENTO",
AND(B1461&lt;&gt;"",M1461=""),"FALTA O PEDIDO",
AND(M1461&lt;&gt;"",O1461=""),"FALTA NF",
O1461&lt;&gt;"","CONCLUÍDO")</f>
        <v>CONCLUÍDO</v>
      </c>
      <c r="R1461" s="36"/>
    </row>
    <row r="1462" spans="1:18" hidden="1">
      <c r="A1462" s="16">
        <v>46148</v>
      </c>
      <c r="B1462" s="16">
        <v>46149</v>
      </c>
      <c r="C1462" s="21">
        <v>5173120</v>
      </c>
      <c r="D1462" s="16" t="str">
        <f>IFERROR(VLOOKUP(Tabela5[[#This Row],[PREFIXO ]],Tabela4[#All],2,0),"CENTRO DE CUSTO")</f>
        <v>COLHED ALGODÃO JOHN DEERE 7760</v>
      </c>
      <c r="E1462" s="18" t="s">
        <v>67</v>
      </c>
      <c r="F1462" s="21">
        <v>160</v>
      </c>
      <c r="G1462" s="22">
        <v>1150</v>
      </c>
      <c r="H1462" s="22">
        <v>3545.5</v>
      </c>
      <c r="I1462" s="22">
        <f t="shared" si="23"/>
        <v>4695.5</v>
      </c>
      <c r="J1462" s="18" t="s">
        <v>1123</v>
      </c>
      <c r="K1462" s="18">
        <v>9856964</v>
      </c>
      <c r="L1462" s="18">
        <v>925003</v>
      </c>
      <c r="M1462" s="18" t="s">
        <v>3398</v>
      </c>
      <c r="N1462" s="16" t="s">
        <v>3246</v>
      </c>
      <c r="O1462" s="18" t="s">
        <v>3399</v>
      </c>
      <c r="P1462" s="18" t="s">
        <v>3400</v>
      </c>
      <c r="Q1462" s="29" t="str" cm="1">
        <f t="array" ref="Q1462">_xlfn.IFS(
A1462="","",
AND(A1462&lt;&gt;"",B1462=""),"FALTA LANÇAMENTO",
AND(B1462&lt;&gt;"",M1462=""),"FALTA O PEDIDO",
AND(M1462&lt;&gt;"",O1462=""),"FALTA NF",
O1462&lt;&gt;"","CONCLUÍDO")</f>
        <v>CONCLUÍDO</v>
      </c>
      <c r="R1462" s="36"/>
    </row>
    <row r="1463" spans="1:18" hidden="1">
      <c r="A1463" s="16">
        <v>46148</v>
      </c>
      <c r="B1463" s="16">
        <v>46149</v>
      </c>
      <c r="C1463" s="21">
        <v>13150003</v>
      </c>
      <c r="D1463" s="16" t="str">
        <f>IFERROR(VLOOKUP(Tabela5[[#This Row],[PREFIXO ]],Tabela4[#All],2,0),"CENTRO DE CUSTO")</f>
        <v>CENTRO DE CUSTO</v>
      </c>
      <c r="E1463" s="18" t="s">
        <v>67</v>
      </c>
      <c r="F1463" s="21">
        <v>157</v>
      </c>
      <c r="G1463" s="22">
        <v>4500</v>
      </c>
      <c r="H1463" s="22"/>
      <c r="I1463" s="22">
        <f t="shared" si="23"/>
        <v>4500</v>
      </c>
      <c r="J1463" s="18" t="s">
        <v>1265</v>
      </c>
      <c r="K1463" s="18">
        <v>9855476</v>
      </c>
      <c r="L1463" s="18">
        <v>924149</v>
      </c>
      <c r="M1463" s="18" t="s">
        <v>3401</v>
      </c>
      <c r="N1463" s="16" t="s">
        <v>2677</v>
      </c>
      <c r="O1463" s="18" t="s">
        <v>2974</v>
      </c>
      <c r="P1463" s="18" t="s">
        <v>3007</v>
      </c>
      <c r="Q1463" s="29" t="str" cm="1">
        <f t="array" ref="Q1463">_xlfn.IFS(
A1463="","",
AND(A1463&lt;&gt;"",B1463=""),"FALTA LANÇAMENTO",
AND(B1463&lt;&gt;"",M1463=""),"FALTA O PEDIDO",
AND(M1463&lt;&gt;"",O1463=""),"FALTA NF",
O1463&lt;&gt;"","CONCLUÍDO")</f>
        <v>CONCLUÍDO</v>
      </c>
      <c r="R1463" s="36"/>
    </row>
    <row r="1464" spans="1:18" hidden="1">
      <c r="A1464" s="16">
        <v>46148</v>
      </c>
      <c r="B1464" s="16">
        <v>46149</v>
      </c>
      <c r="C1464" s="21">
        <v>51521051</v>
      </c>
      <c r="D1464" s="16" t="str">
        <f>IFERROR(VLOOKUP(Tabela5[[#This Row],[PREFIXO ]],Tabela4[#All],2,0),"CENTRO DE CUSTO")</f>
        <v>COLHED ALGODÃO JOHN DEERE CP 690</v>
      </c>
      <c r="E1464" s="18" t="s">
        <v>67</v>
      </c>
      <c r="F1464" s="21">
        <v>154</v>
      </c>
      <c r="G1464" s="22">
        <v>1380</v>
      </c>
      <c r="H1464" s="22">
        <v>1380</v>
      </c>
      <c r="I1464" s="22">
        <f t="shared" si="23"/>
        <v>2760</v>
      </c>
      <c r="J1464" s="18" t="s">
        <v>1123</v>
      </c>
      <c r="K1464" s="18">
        <v>9856929</v>
      </c>
      <c r="L1464" s="18">
        <v>925003</v>
      </c>
      <c r="M1464" s="18" t="s">
        <v>3398</v>
      </c>
      <c r="N1464" s="16" t="s">
        <v>3246</v>
      </c>
      <c r="O1464" s="18" t="s">
        <v>3399</v>
      </c>
      <c r="P1464" s="18" t="s">
        <v>3400</v>
      </c>
      <c r="Q1464" s="29" t="str" cm="1">
        <f t="array" ref="Q1464">_xlfn.IFS(
A1464="","",
AND(A1464&lt;&gt;"",B1464=""),"FALTA LANÇAMENTO",
AND(B1464&lt;&gt;"",M1464=""),"FALTA O PEDIDO",
AND(M1464&lt;&gt;"",O1464=""),"FALTA NF",
O1464&lt;&gt;"","CONCLUÍDO")</f>
        <v>CONCLUÍDO</v>
      </c>
      <c r="R1464" s="36"/>
    </row>
    <row r="1465" spans="1:18" hidden="1">
      <c r="A1465" s="16">
        <v>46148</v>
      </c>
      <c r="B1465" s="16">
        <v>46149</v>
      </c>
      <c r="C1465" s="21">
        <v>51519062</v>
      </c>
      <c r="D1465" s="16" t="str">
        <f>IFERROR(VLOOKUP(Tabela5[[#This Row],[PREFIXO ]],Tabela4[#All],2,0),"CENTRO DE CUSTO")</f>
        <v>CENTRO DE CUSTO</v>
      </c>
      <c r="E1465" s="18" t="s">
        <v>67</v>
      </c>
      <c r="F1465" s="21">
        <v>149</v>
      </c>
      <c r="G1465" s="22">
        <v>2250</v>
      </c>
      <c r="H1465" s="22">
        <v>489.8</v>
      </c>
      <c r="I1465" s="22">
        <f t="shared" si="23"/>
        <v>2739.8</v>
      </c>
      <c r="J1465" s="18" t="s">
        <v>1123</v>
      </c>
      <c r="K1465" s="18">
        <v>9856908</v>
      </c>
      <c r="L1465" s="18">
        <v>925408</v>
      </c>
      <c r="M1465" s="18" t="s">
        <v>3395</v>
      </c>
      <c r="N1465" s="16" t="s">
        <v>3246</v>
      </c>
      <c r="O1465" s="18" t="s">
        <v>3396</v>
      </c>
      <c r="P1465" s="18" t="s">
        <v>3397</v>
      </c>
      <c r="Q1465" s="29" t="str" cm="1">
        <f t="array" ref="Q1465">_xlfn.IFS(
A1465="","",
AND(A1465&lt;&gt;"",B1465=""),"FALTA LANÇAMENTO",
AND(B1465&lt;&gt;"",M1465=""),"FALTA O PEDIDO",
AND(M1465&lt;&gt;"",O1465=""),"FALTA NF",
O1465&lt;&gt;"","CONCLUÍDO")</f>
        <v>CONCLUÍDO</v>
      </c>
      <c r="R1465" s="36"/>
    </row>
    <row r="1466" spans="1:18" hidden="1">
      <c r="A1466" s="16">
        <v>46148</v>
      </c>
      <c r="B1466" s="16">
        <v>46149</v>
      </c>
      <c r="C1466" s="21">
        <v>51521063</v>
      </c>
      <c r="D1466" s="16" t="str">
        <f>IFERROR(VLOOKUP(Tabela5[[#This Row],[PREFIXO ]],Tabela4[#All],2,0),"CENTRO DE CUSTO")</f>
        <v>COLHED ALGODÃO JOHN DEERE CP 690</v>
      </c>
      <c r="E1466" s="18" t="s">
        <v>67</v>
      </c>
      <c r="F1466" s="21">
        <v>148</v>
      </c>
      <c r="G1466" s="22">
        <v>1380</v>
      </c>
      <c r="H1466" s="22"/>
      <c r="I1466" s="22">
        <f t="shared" si="23"/>
        <v>1380</v>
      </c>
      <c r="J1466" s="18" t="s">
        <v>1123</v>
      </c>
      <c r="K1466" s="18">
        <v>9856879</v>
      </c>
      <c r="L1466" s="18">
        <v>925408</v>
      </c>
      <c r="M1466" s="18" t="s">
        <v>3395</v>
      </c>
      <c r="N1466" s="16" t="s">
        <v>3246</v>
      </c>
      <c r="O1466" s="18" t="s">
        <v>3396</v>
      </c>
      <c r="P1466" s="18" t="s">
        <v>3397</v>
      </c>
      <c r="Q1466" s="29" t="str" cm="1">
        <f t="array" ref="Q1466">_xlfn.IFS(
A1466="","",
AND(A1466&lt;&gt;"",B1466=""),"FALTA LANÇAMENTO",
AND(B1466&lt;&gt;"",M1466=""),"FALTA O PEDIDO",
AND(M1466&lt;&gt;"",O1466=""),"FALTA NF",
O1466&lt;&gt;"","CONCLUÍDO")</f>
        <v>CONCLUÍDO</v>
      </c>
      <c r="R1466" s="36"/>
    </row>
    <row r="1467" spans="1:18" hidden="1">
      <c r="A1467" s="16">
        <v>46148</v>
      </c>
      <c r="B1467" s="16">
        <v>46149</v>
      </c>
      <c r="C1467" s="21">
        <v>13130044</v>
      </c>
      <c r="D1467" s="16" t="str">
        <f>IFERROR(VLOOKUP(Tabela5[[#This Row],[PREFIXO ]],Tabela4[#All],2,0),"CENTRO DE CUSTO")</f>
        <v>PULV AUTOPROP JOHN DEERE M4030</v>
      </c>
      <c r="E1467" s="18" t="s">
        <v>67</v>
      </c>
      <c r="F1467" s="21">
        <v>152</v>
      </c>
      <c r="G1467" s="22">
        <v>1192.32</v>
      </c>
      <c r="H1467" s="22"/>
      <c r="I1467" s="22">
        <f t="shared" si="23"/>
        <v>1192.32</v>
      </c>
      <c r="J1467" s="18" t="s">
        <v>1265</v>
      </c>
      <c r="K1467" s="18">
        <v>9855534</v>
      </c>
      <c r="L1467" s="18">
        <v>924105</v>
      </c>
      <c r="M1467" s="18" t="s">
        <v>3402</v>
      </c>
      <c r="N1467" s="16" t="s">
        <v>2677</v>
      </c>
      <c r="O1467" s="18" t="s">
        <v>3403</v>
      </c>
      <c r="P1467" s="18" t="s">
        <v>3007</v>
      </c>
      <c r="Q1467" s="29" t="str" cm="1">
        <f t="array" ref="Q1467">_xlfn.IFS(
A1467="","",
AND(A1467&lt;&gt;"",B1467=""),"FALTA LANÇAMENTO",
AND(B1467&lt;&gt;"",M1467=""),"FALTA O PEDIDO",
AND(M1467&lt;&gt;"",O1467=""),"FALTA NF",
O1467&lt;&gt;"","CONCLUÍDO")</f>
        <v>CONCLUÍDO</v>
      </c>
      <c r="R1467" s="36"/>
    </row>
    <row r="1468" spans="1:18" hidden="1">
      <c r="A1468" s="16">
        <v>46148</v>
      </c>
      <c r="B1468" s="16">
        <v>46149</v>
      </c>
      <c r="C1468" s="21">
        <v>51521065</v>
      </c>
      <c r="D1468" s="16" t="str">
        <f>IFERROR(VLOOKUP(Tabela5[[#This Row],[PREFIXO ]],Tabela4[#All],2,0),"CENTRO DE CUSTO")</f>
        <v>COLHED ALGODÃO JOHN DEERE CP 690</v>
      </c>
      <c r="E1468" s="18" t="s">
        <v>67</v>
      </c>
      <c r="F1468" s="21">
        <v>155</v>
      </c>
      <c r="G1468" s="22">
        <v>1150</v>
      </c>
      <c r="H1468" s="22"/>
      <c r="I1468" s="22">
        <f t="shared" si="23"/>
        <v>1150</v>
      </c>
      <c r="J1468" s="18" t="s">
        <v>1123</v>
      </c>
      <c r="K1468" s="18">
        <v>9856972</v>
      </c>
      <c r="L1468" s="18">
        <v>925003</v>
      </c>
      <c r="M1468" s="18" t="s">
        <v>3398</v>
      </c>
      <c r="N1468" s="16" t="s">
        <v>3246</v>
      </c>
      <c r="O1468" s="18" t="s">
        <v>3399</v>
      </c>
      <c r="P1468" s="18" t="s">
        <v>3400</v>
      </c>
      <c r="Q1468" s="29" t="str" cm="1">
        <f t="array" ref="Q1468">_xlfn.IFS(
A1468="","",
AND(A1468&lt;&gt;"",B1468=""),"FALTA LANÇAMENTO",
AND(B1468&lt;&gt;"",M1468=""),"FALTA O PEDIDO",
AND(M1468&lt;&gt;"",O1468=""),"FALTA NF",
O1468&lt;&gt;"","CONCLUÍDO")</f>
        <v>CONCLUÍDO</v>
      </c>
      <c r="R1468" s="36"/>
    </row>
    <row r="1469" spans="1:18" hidden="1">
      <c r="A1469" s="16">
        <v>46148</v>
      </c>
      <c r="B1469" s="16">
        <v>46149</v>
      </c>
      <c r="C1469" s="21">
        <v>51521095</v>
      </c>
      <c r="D1469" s="16" t="str">
        <f>IFERROR(VLOOKUP(Tabela5[[#This Row],[PREFIXO ]],Tabela4[#All],2,0),"CENTRO DE CUSTO")</f>
        <v>COLHEIT DE GRÃOS N.HOLLAND CR 8.90</v>
      </c>
      <c r="E1469" s="18" t="s">
        <v>67</v>
      </c>
      <c r="F1469" s="21">
        <v>162</v>
      </c>
      <c r="G1469" s="22">
        <v>750</v>
      </c>
      <c r="H1469" s="22"/>
      <c r="I1469" s="22">
        <f t="shared" si="23"/>
        <v>750</v>
      </c>
      <c r="J1469" s="18" t="s">
        <v>1123</v>
      </c>
      <c r="K1469" s="18">
        <v>9856935</v>
      </c>
      <c r="L1469" s="18">
        <v>925408</v>
      </c>
      <c r="M1469" s="18" t="s">
        <v>3395</v>
      </c>
      <c r="N1469" s="16" t="s">
        <v>3246</v>
      </c>
      <c r="O1469" s="18" t="s">
        <v>3396</v>
      </c>
      <c r="P1469" s="18" t="s">
        <v>3397</v>
      </c>
      <c r="Q1469" s="29" t="str" cm="1">
        <f t="array" ref="Q1469">_xlfn.IFS(
A1469="","",
AND(A1469&lt;&gt;"",B1469=""),"FALTA LANÇAMENTO",
AND(B1469&lt;&gt;"",M1469=""),"FALTA O PEDIDO",
AND(M1469&lt;&gt;"",O1469=""),"FALTA NF",
O1469&lt;&gt;"","CONCLUÍDO")</f>
        <v>CONCLUÍDO</v>
      </c>
      <c r="R1469" s="36"/>
    </row>
    <row r="1470" spans="1:18" hidden="1">
      <c r="A1470" s="16">
        <v>46148</v>
      </c>
      <c r="B1470" s="16">
        <v>46149</v>
      </c>
      <c r="C1470" s="21">
        <v>51521072</v>
      </c>
      <c r="D1470" s="16" t="str">
        <f>IFERROR(VLOOKUP(Tabela5[[#This Row],[PREFIXO ]],Tabela4[#All],2,0),"CENTRO DE CUSTO")</f>
        <v>COLHED ALGODÃO JOHN DEERE CP 690</v>
      </c>
      <c r="E1470" s="18" t="s">
        <v>173</v>
      </c>
      <c r="F1470" s="21">
        <v>749</v>
      </c>
      <c r="G1470" s="22">
        <v>1536.92</v>
      </c>
      <c r="H1470" s="22">
        <v>13326.6</v>
      </c>
      <c r="I1470" s="22">
        <f t="shared" si="23"/>
        <v>14863.52</v>
      </c>
      <c r="J1470" s="18" t="s">
        <v>1123</v>
      </c>
      <c r="K1470" s="18">
        <v>9856725</v>
      </c>
      <c r="L1470" s="18">
        <v>925264</v>
      </c>
      <c r="M1470" s="18" t="s">
        <v>3404</v>
      </c>
      <c r="N1470" s="16" t="s">
        <v>3031</v>
      </c>
      <c r="O1470" s="18" t="s">
        <v>3405</v>
      </c>
      <c r="P1470" s="18" t="s">
        <v>3390</v>
      </c>
      <c r="Q1470" s="29" t="str" cm="1">
        <f t="array" ref="Q1470">_xlfn.IFS(
A1470="","",
AND(A1470&lt;&gt;"",B1470=""),"FALTA LANÇAMENTO",
AND(B1470&lt;&gt;"",M1470=""),"FALTA O PEDIDO",
AND(M1470&lt;&gt;"",O1470=""),"FALTA NF",
O1470&lt;&gt;"","CONCLUÍDO")</f>
        <v>CONCLUÍDO</v>
      </c>
      <c r="R1470" s="36"/>
    </row>
    <row r="1471" spans="1:18" hidden="1">
      <c r="A1471" s="16">
        <v>46148</v>
      </c>
      <c r="B1471" s="16">
        <v>46149</v>
      </c>
      <c r="C1471" s="21">
        <v>51521069</v>
      </c>
      <c r="D1471" s="16" t="str">
        <f>IFERROR(VLOOKUP(Tabela5[[#This Row],[PREFIXO ]],Tabela4[#All],2,0),"CENTRO DE CUSTO")</f>
        <v>COLHED ALGODÃO JOHN DEERE CP 690</v>
      </c>
      <c r="E1471" s="18" t="s">
        <v>173</v>
      </c>
      <c r="F1471" s="21">
        <v>811</v>
      </c>
      <c r="G1471" s="22">
        <v>1510.92</v>
      </c>
      <c r="H1471" s="22">
        <v>6179.79</v>
      </c>
      <c r="I1471" s="22">
        <f t="shared" si="23"/>
        <v>7690.71</v>
      </c>
      <c r="J1471" s="18" t="s">
        <v>1123</v>
      </c>
      <c r="K1471" s="18">
        <v>9856794</v>
      </c>
      <c r="L1471" s="18">
        <v>925149</v>
      </c>
      <c r="M1471" s="18" t="s">
        <v>3406</v>
      </c>
      <c r="N1471" s="16" t="s">
        <v>3031</v>
      </c>
      <c r="O1471" s="18" t="s">
        <v>3407</v>
      </c>
      <c r="P1471" s="18" t="s">
        <v>3390</v>
      </c>
      <c r="Q1471" s="29" t="str" cm="1">
        <f t="array" ref="Q1471">_xlfn.IFS(
A1471="","",
AND(A1471&lt;&gt;"",B1471=""),"FALTA LANÇAMENTO",
AND(B1471&lt;&gt;"",M1471=""),"FALTA O PEDIDO",
AND(M1471&lt;&gt;"",O1471=""),"FALTA NF",
O1471&lt;&gt;"","CONCLUÍDO")</f>
        <v>CONCLUÍDO</v>
      </c>
      <c r="R1471" s="36"/>
    </row>
    <row r="1472" spans="1:18" hidden="1">
      <c r="A1472" s="16">
        <v>46148</v>
      </c>
      <c r="B1472" s="16">
        <v>46149</v>
      </c>
      <c r="C1472" s="21">
        <v>51521056</v>
      </c>
      <c r="D1472" s="16" t="str">
        <f>IFERROR(VLOOKUP(Tabela5[[#This Row],[PREFIXO ]],Tabela4[#All],2,0),"CENTRO DE CUSTO")</f>
        <v>COLHED ALGODÃO JOHN DEERE CP 690</v>
      </c>
      <c r="E1472" s="18" t="s">
        <v>173</v>
      </c>
      <c r="F1472" s="21">
        <v>754</v>
      </c>
      <c r="G1472" s="22">
        <v>1466.92</v>
      </c>
      <c r="H1472" s="22">
        <v>6179.79</v>
      </c>
      <c r="I1472" s="22">
        <f t="shared" ref="I1472:I1535" si="24">G1472+H1472</f>
        <v>7646.71</v>
      </c>
      <c r="J1472" s="18" t="s">
        <v>1123</v>
      </c>
      <c r="K1472" s="18">
        <v>9856699</v>
      </c>
      <c r="L1472" s="18">
        <v>925165</v>
      </c>
      <c r="M1472" s="18" t="s">
        <v>3408</v>
      </c>
      <c r="N1472" s="16" t="s">
        <v>3031</v>
      </c>
      <c r="O1472" s="18" t="s">
        <v>3409</v>
      </c>
      <c r="P1472" s="18" t="s">
        <v>3390</v>
      </c>
      <c r="Q1472" s="29" t="str" cm="1">
        <f t="array" ref="Q1472">_xlfn.IFS(
A1472="","",
AND(A1472&lt;&gt;"",B1472=""),"FALTA LANÇAMENTO",
AND(B1472&lt;&gt;"",M1472=""),"FALTA O PEDIDO",
AND(M1472&lt;&gt;"",O1472=""),"FALTA NF",
O1472&lt;&gt;"","CONCLUÍDO")</f>
        <v>CONCLUÍDO</v>
      </c>
      <c r="R1472" s="36"/>
    </row>
    <row r="1473" spans="1:18" hidden="1">
      <c r="A1473" s="16">
        <v>46148</v>
      </c>
      <c r="B1473" s="16">
        <v>46149</v>
      </c>
      <c r="C1473" s="21">
        <v>51521059</v>
      </c>
      <c r="D1473" s="16" t="str">
        <f>IFERROR(VLOOKUP(Tabela5[[#This Row],[PREFIXO ]],Tabela4[#All],2,0),"CENTRO DE CUSTO")</f>
        <v>COLHED ALGODÃO JOHN DEERE CP 690</v>
      </c>
      <c r="E1473" s="18" t="s">
        <v>173</v>
      </c>
      <c r="F1473" s="21">
        <v>760</v>
      </c>
      <c r="G1473" s="22">
        <v>4590.08</v>
      </c>
      <c r="H1473" s="22">
        <v>2139.9</v>
      </c>
      <c r="I1473" s="22">
        <f t="shared" si="24"/>
        <v>6729.98</v>
      </c>
      <c r="J1473" s="18" t="s">
        <v>1123</v>
      </c>
      <c r="K1473" s="18">
        <v>9856748</v>
      </c>
      <c r="L1473" s="18">
        <v>925235</v>
      </c>
      <c r="M1473" s="18" t="s">
        <v>3410</v>
      </c>
      <c r="N1473" s="16" t="s">
        <v>3031</v>
      </c>
      <c r="O1473" s="18" t="s">
        <v>3411</v>
      </c>
      <c r="P1473" s="18" t="s">
        <v>3390</v>
      </c>
      <c r="Q1473" s="29" t="str" cm="1">
        <f t="array" ref="Q1473">_xlfn.IFS(
A1473="","",
AND(A1473&lt;&gt;"",B1473=""),"FALTA LANÇAMENTO",
AND(B1473&lt;&gt;"",M1473=""),"FALTA O PEDIDO",
AND(M1473&lt;&gt;"",O1473=""),"FALTA NF",
O1473&lt;&gt;"","CONCLUÍDO")</f>
        <v>CONCLUÍDO</v>
      </c>
      <c r="R1473" s="36"/>
    </row>
    <row r="1474" spans="1:18" hidden="1">
      <c r="A1474" s="16">
        <v>46148</v>
      </c>
      <c r="B1474" s="16">
        <v>46149</v>
      </c>
      <c r="C1474" s="21">
        <v>51521047</v>
      </c>
      <c r="D1474" s="16" t="str">
        <f>IFERROR(VLOOKUP(Tabela5[[#This Row],[PREFIXO ]],Tabela4[#All],2,0),"CENTRO DE CUSTO")</f>
        <v>COLHED ALGODÃO JOHN DEERE CP 690</v>
      </c>
      <c r="E1474" s="18" t="s">
        <v>173</v>
      </c>
      <c r="F1474" s="21">
        <v>812</v>
      </c>
      <c r="G1474" s="22">
        <v>1510.92</v>
      </c>
      <c r="H1474" s="22">
        <v>4304.79</v>
      </c>
      <c r="I1474" s="22">
        <f t="shared" si="24"/>
        <v>5815.71</v>
      </c>
      <c r="J1474" s="18" t="s">
        <v>1123</v>
      </c>
      <c r="K1474" s="18">
        <v>9856782</v>
      </c>
      <c r="L1474" s="18">
        <v>925051</v>
      </c>
      <c r="M1474" s="18" t="s">
        <v>3412</v>
      </c>
      <c r="N1474" s="16" t="s">
        <v>3031</v>
      </c>
      <c r="O1474" s="18" t="s">
        <v>3413</v>
      </c>
      <c r="P1474" s="18" t="s">
        <v>3390</v>
      </c>
      <c r="Q1474" s="29" t="str" cm="1">
        <f t="array" ref="Q1474">_xlfn.IFS(
A1474="","",
AND(A1474&lt;&gt;"",B1474=""),"FALTA LANÇAMENTO",
AND(B1474&lt;&gt;"",M1474=""),"FALTA O PEDIDO",
AND(M1474&lt;&gt;"",O1474=""),"FALTA NF",
O1474&lt;&gt;"","CONCLUÍDO")</f>
        <v>CONCLUÍDO</v>
      </c>
      <c r="R1474" s="36"/>
    </row>
    <row r="1475" spans="1:18" hidden="1">
      <c r="A1475" s="16">
        <v>46148</v>
      </c>
      <c r="B1475" s="16">
        <v>46149</v>
      </c>
      <c r="C1475" s="21">
        <v>51521109</v>
      </c>
      <c r="D1475" s="16" t="str">
        <f>IFERROR(VLOOKUP(Tabela5[[#This Row],[PREFIXO ]],Tabela4[#All],2,0),"CENTRO DE CUSTO")</f>
        <v>COLHEIT DE GRÃOS N.HOLLAND CR 8.90</v>
      </c>
      <c r="E1475" s="18" t="s">
        <v>308</v>
      </c>
      <c r="F1475" s="21" t="s">
        <v>1752</v>
      </c>
      <c r="G1475" s="22">
        <v>2990</v>
      </c>
      <c r="H1475" s="22"/>
      <c r="I1475" s="22">
        <f t="shared" si="24"/>
        <v>2990</v>
      </c>
      <c r="J1475" s="18" t="s">
        <v>1123</v>
      </c>
      <c r="K1475" s="18">
        <v>9857010</v>
      </c>
      <c r="L1475" s="18">
        <v>925381</v>
      </c>
      <c r="M1475" s="18" t="s">
        <v>3414</v>
      </c>
      <c r="N1475" s="16" t="s">
        <v>2544</v>
      </c>
      <c r="O1475" s="18" t="s">
        <v>1859</v>
      </c>
      <c r="P1475" s="18" t="s">
        <v>3415</v>
      </c>
      <c r="Q1475" s="29" t="str" cm="1">
        <f t="array" ref="Q1475">_xlfn.IFS(
A1475="","",
AND(A1475&lt;&gt;"",B1475=""),"FALTA LANÇAMENTO",
AND(B1475&lt;&gt;"",M1475=""),"FALTA O PEDIDO",
AND(M1475&lt;&gt;"",O1475=""),"FALTA NF",
O1475&lt;&gt;"","CONCLUÍDO")</f>
        <v>CONCLUÍDO</v>
      </c>
      <c r="R1475" s="36"/>
    </row>
    <row r="1476" spans="1:18" hidden="1">
      <c r="A1476" s="16">
        <v>46148</v>
      </c>
      <c r="B1476" s="16">
        <v>46149</v>
      </c>
      <c r="C1476" s="21">
        <v>51519034</v>
      </c>
      <c r="D1476" s="16" t="str">
        <f>IFERROR(VLOOKUP(Tabela5[[#This Row],[PREFIXO ]],Tabela4[#All],2,0),"CENTRO DE CUSTO")</f>
        <v>COLHEIT DE GRÃOS N.HOLLAND CR 8.90</v>
      </c>
      <c r="E1476" s="18" t="s">
        <v>308</v>
      </c>
      <c r="F1476" s="21" t="s">
        <v>1558</v>
      </c>
      <c r="G1476" s="22">
        <v>879.3</v>
      </c>
      <c r="H1476" s="22"/>
      <c r="I1476" s="22">
        <f t="shared" si="24"/>
        <v>879.3</v>
      </c>
      <c r="J1476" s="18" t="s">
        <v>1123</v>
      </c>
      <c r="K1476" s="18">
        <v>9857004</v>
      </c>
      <c r="L1476" s="18">
        <v>925381</v>
      </c>
      <c r="M1476" s="18" t="s">
        <v>3414</v>
      </c>
      <c r="N1476" s="16" t="s">
        <v>2544</v>
      </c>
      <c r="O1476" s="18" t="s">
        <v>1859</v>
      </c>
      <c r="P1476" s="18" t="s">
        <v>3415</v>
      </c>
      <c r="Q1476" s="29" t="str" cm="1">
        <f t="array" ref="Q1476">_xlfn.IFS(
A1476="","",
AND(A1476&lt;&gt;"",B1476=""),"FALTA LANÇAMENTO",
AND(B1476&lt;&gt;"",M1476=""),"FALTA O PEDIDO",
AND(M1476&lt;&gt;"",O1476=""),"FALTA NF",
O1476&lt;&gt;"","CONCLUÍDO")</f>
        <v>CONCLUÍDO</v>
      </c>
      <c r="R1476" s="36"/>
    </row>
    <row r="1477" spans="1:18" hidden="1">
      <c r="A1477" s="16">
        <v>46148</v>
      </c>
      <c r="B1477" s="16">
        <v>46149</v>
      </c>
      <c r="C1477" s="21">
        <v>25530055</v>
      </c>
      <c r="D1477" s="16" t="str">
        <f>IFERROR(VLOOKUP(Tabela5[[#This Row],[PREFIXO ]],Tabela4[#All],2,0),"CENTRO DE CUSTO")</f>
        <v>PLATAF COLHEITA JOHN DEERE HYDRAFLEX 740</v>
      </c>
      <c r="E1477" s="18" t="s">
        <v>308</v>
      </c>
      <c r="F1477" s="21" t="s">
        <v>1555</v>
      </c>
      <c r="G1477" s="22">
        <v>586.79999999999995</v>
      </c>
      <c r="H1477" s="22"/>
      <c r="I1477" s="22">
        <f t="shared" si="24"/>
        <v>586.79999999999995</v>
      </c>
      <c r="J1477" s="18" t="s">
        <v>1123</v>
      </c>
      <c r="K1477" s="18">
        <v>9856977</v>
      </c>
      <c r="L1477" s="18">
        <v>925381</v>
      </c>
      <c r="M1477" s="18" t="s">
        <v>3414</v>
      </c>
      <c r="N1477" s="16" t="s">
        <v>2544</v>
      </c>
      <c r="O1477" s="18" t="s">
        <v>1859</v>
      </c>
      <c r="P1477" s="18" t="s">
        <v>3415</v>
      </c>
      <c r="Q1477" s="29" t="str" cm="1">
        <f t="array" ref="Q1477">_xlfn.IFS(
A1477="","",
AND(A1477&lt;&gt;"",B1477=""),"FALTA LANÇAMENTO",
AND(B1477&lt;&gt;"",M1477=""),"FALTA O PEDIDO",
AND(M1477&lt;&gt;"",O1477=""),"FALTA NF",
O1477&lt;&gt;"","CONCLUÍDO")</f>
        <v>CONCLUÍDO</v>
      </c>
      <c r="R1477" s="36"/>
    </row>
    <row r="1478" spans="1:18" hidden="1">
      <c r="A1478" s="16">
        <v>46148</v>
      </c>
      <c r="B1478" s="16">
        <v>46149</v>
      </c>
      <c r="C1478" s="21">
        <v>500580220</v>
      </c>
      <c r="D1478" s="16" t="str">
        <f>IFERROR(VLOOKUP(Tabela5[[#This Row],[PREFIXO ]],Tabela4[#All],2,0),"CENTRO DE CUSTO")</f>
        <v>Implementos</v>
      </c>
      <c r="E1478" s="18" t="s">
        <v>218</v>
      </c>
      <c r="F1478" s="21">
        <v>26694</v>
      </c>
      <c r="G1478" s="22">
        <v>1407</v>
      </c>
      <c r="H1478" s="22"/>
      <c r="I1478" s="22">
        <f t="shared" si="24"/>
        <v>1407</v>
      </c>
      <c r="J1478" s="18" t="s">
        <v>1199</v>
      </c>
      <c r="K1478" s="18">
        <v>5020665</v>
      </c>
      <c r="L1478" s="18">
        <v>924275</v>
      </c>
      <c r="M1478" s="18" t="s">
        <v>3416</v>
      </c>
      <c r="N1478" s="16" t="s">
        <v>2677</v>
      </c>
      <c r="O1478" s="18" t="s">
        <v>3417</v>
      </c>
      <c r="P1478" s="18" t="s">
        <v>3048</v>
      </c>
      <c r="Q1478" s="29" t="str" cm="1">
        <f t="array" ref="Q1478">_xlfn.IFS(
A1478="","",
AND(A1478&lt;&gt;"",B1478=""),"FALTA LANÇAMENTO",
AND(B1478&lt;&gt;"",M1478=""),"FALTA O PEDIDO",
AND(M1478&lt;&gt;"",O1478=""),"FALTA NF",
O1478&lt;&gt;"","CONCLUÍDO")</f>
        <v>CONCLUÍDO</v>
      </c>
      <c r="R1478" s="36"/>
    </row>
    <row r="1479" spans="1:18" hidden="1">
      <c r="A1479" s="16">
        <v>46148</v>
      </c>
      <c r="B1479" s="16">
        <v>46149</v>
      </c>
      <c r="C1479" s="21">
        <v>41521070</v>
      </c>
      <c r="D1479" s="16" t="str">
        <f>IFERROR(VLOOKUP(Tabela5[[#This Row],[PREFIXO ]],Tabela4[#All],2,0),"CENTRO DE CUSTO")</f>
        <v>MICROONIBUS SPRINTER 417 CDI K42B</v>
      </c>
      <c r="E1479" s="18" t="s">
        <v>110</v>
      </c>
      <c r="F1479" s="21">
        <v>8754</v>
      </c>
      <c r="G1479" s="22">
        <v>1352</v>
      </c>
      <c r="H1479" s="22">
        <v>4589.26</v>
      </c>
      <c r="I1479" s="22">
        <f t="shared" si="24"/>
        <v>5941.26</v>
      </c>
      <c r="J1479" s="18" t="s">
        <v>1085</v>
      </c>
      <c r="K1479" s="18">
        <v>9855451</v>
      </c>
      <c r="L1479" s="18">
        <v>924926</v>
      </c>
      <c r="M1479" s="18" t="s">
        <v>3418</v>
      </c>
      <c r="N1479" s="16" t="s">
        <v>3246</v>
      </c>
      <c r="O1479" s="18"/>
      <c r="P1479" s="18"/>
      <c r="Q1479" s="29" t="str" cm="1">
        <f t="array" ref="Q1479">_xlfn.IFS(
A1479="","",
AND(A1479&lt;&gt;"",B1479=""),"FALTA LANÇAMENTO",
AND(B1479&lt;&gt;"",M1479=""),"FALTA O PEDIDO",
AND(M1479&lt;&gt;"",O1479=""),"FALTA NF",
O1479&lt;&gt;"","CONCLUÍDO")</f>
        <v>FALTA NF</v>
      </c>
      <c r="R1479" s="36"/>
    </row>
    <row r="1480" spans="1:18" hidden="1">
      <c r="A1480" s="16">
        <v>46148</v>
      </c>
      <c r="B1480" s="16">
        <v>46149</v>
      </c>
      <c r="C1480" s="21">
        <v>41521070</v>
      </c>
      <c r="D1480" s="16" t="str">
        <f>IFERROR(VLOOKUP(Tabela5[[#This Row],[PREFIXO ]],Tabela4[#All],2,0),"CENTRO DE CUSTO")</f>
        <v>MICROONIBUS SPRINTER 417 CDI K42B</v>
      </c>
      <c r="E1480" s="18" t="s">
        <v>110</v>
      </c>
      <c r="F1480" s="21">
        <v>8712</v>
      </c>
      <c r="G1480" s="22">
        <v>915.2</v>
      </c>
      <c r="H1480" s="22">
        <v>1943.66</v>
      </c>
      <c r="I1480" s="22">
        <f t="shared" si="24"/>
        <v>2858.86</v>
      </c>
      <c r="J1480" s="18" t="s">
        <v>1085</v>
      </c>
      <c r="K1480" s="18">
        <v>9855455</v>
      </c>
      <c r="L1480" s="18">
        <v>924826</v>
      </c>
      <c r="M1480" s="18" t="s">
        <v>3419</v>
      </c>
      <c r="N1480" s="16" t="s">
        <v>3007</v>
      </c>
      <c r="O1480" s="18"/>
      <c r="P1480" s="18"/>
      <c r="Q1480" s="29" t="str" cm="1">
        <f t="array" ref="Q1480">_xlfn.IFS(
A1480="","",
AND(A1480&lt;&gt;"",B1480=""),"FALTA LANÇAMENTO",
AND(B1480&lt;&gt;"",M1480=""),"FALTA O PEDIDO",
AND(M1480&lt;&gt;"",O1480=""),"FALTA NF",
O1480&lt;&gt;"","CONCLUÍDO")</f>
        <v>FALTA NF</v>
      </c>
      <c r="R1480" s="36"/>
    </row>
    <row r="1481" spans="1:18" hidden="1">
      <c r="A1481" s="16">
        <v>46148</v>
      </c>
      <c r="B1481" s="16">
        <v>46149</v>
      </c>
      <c r="C1481" s="21">
        <v>41521066</v>
      </c>
      <c r="D1481" s="16" t="str">
        <f>IFERROR(VLOOKUP(Tabela5[[#This Row],[PREFIXO ]],Tabela4[#All],2,0),"CENTRO DE CUSTO")</f>
        <v>MICROONIBUS SPRINTER 417 CDI K42B</v>
      </c>
      <c r="E1481" s="18" t="s">
        <v>110</v>
      </c>
      <c r="F1481" s="21">
        <v>34155</v>
      </c>
      <c r="G1481" s="22">
        <v>624</v>
      </c>
      <c r="H1481" s="22">
        <v>2163.3000000000002</v>
      </c>
      <c r="I1481" s="22">
        <f t="shared" si="24"/>
        <v>2787.3</v>
      </c>
      <c r="J1481" s="18" t="s">
        <v>1085</v>
      </c>
      <c r="K1481" s="18">
        <v>9855459</v>
      </c>
      <c r="L1481" s="18">
        <v>924785</v>
      </c>
      <c r="M1481" s="18" t="s">
        <v>3420</v>
      </c>
      <c r="N1481" s="16" t="s">
        <v>3007</v>
      </c>
      <c r="O1481" s="18" t="s">
        <v>3421</v>
      </c>
      <c r="P1481" s="18" t="s">
        <v>3422</v>
      </c>
      <c r="Q1481" s="29" t="str" cm="1">
        <f t="array" ref="Q1481">_xlfn.IFS(
A1481="","",
AND(A1481&lt;&gt;"",B1481=""),"FALTA LANÇAMENTO",
AND(B1481&lt;&gt;"",M1481=""),"FALTA O PEDIDO",
AND(M1481&lt;&gt;"",O1481=""),"FALTA NF",
O1481&lt;&gt;"","CONCLUÍDO")</f>
        <v>CONCLUÍDO</v>
      </c>
      <c r="R1481" s="36"/>
    </row>
    <row r="1482" spans="1:18" hidden="1">
      <c r="A1482" s="16">
        <v>46148</v>
      </c>
      <c r="B1482" s="16">
        <v>46149</v>
      </c>
      <c r="C1482" s="21">
        <v>31521018</v>
      </c>
      <c r="D1482" s="16" t="str">
        <f>IFERROR(VLOOKUP(Tabela5[[#This Row],[PREFIXO ]],Tabela4[#All],2,0),"CENTRO DE CUSTO")</f>
        <v>PULV AUTOPROP JACTO UNIPORT 3030</v>
      </c>
      <c r="E1482" s="18" t="s">
        <v>68</v>
      </c>
      <c r="F1482" s="21">
        <v>2234</v>
      </c>
      <c r="G1482" s="22">
        <v>7500</v>
      </c>
      <c r="H1482" s="22"/>
      <c r="I1482" s="22">
        <f t="shared" si="24"/>
        <v>7500</v>
      </c>
      <c r="J1482" s="18" t="s">
        <v>1265</v>
      </c>
      <c r="K1482" s="18">
        <v>9856082</v>
      </c>
      <c r="L1482" s="18">
        <v>924301</v>
      </c>
      <c r="M1482" s="18" t="s">
        <v>3423</v>
      </c>
      <c r="N1482" s="16">
        <v>46183</v>
      </c>
      <c r="O1482" s="18" t="s">
        <v>3424</v>
      </c>
      <c r="P1482" s="18" t="s">
        <v>3425</v>
      </c>
      <c r="Q1482" s="29" t="str" cm="1">
        <f t="array" ref="Q1482">_xlfn.IFS(
A1482="","",
AND(A1482&lt;&gt;"",B1482=""),"FALTA LANÇAMENTO",
AND(B1482&lt;&gt;"",M1482=""),"FALTA O PEDIDO",
AND(M1482&lt;&gt;"",O1482=""),"FALTA NF",
O1482&lt;&gt;"","CONCLUÍDO")</f>
        <v>CONCLUÍDO</v>
      </c>
      <c r="R1482" s="36"/>
    </row>
    <row r="1483" spans="1:18" hidden="1">
      <c r="A1483" s="16">
        <v>46148</v>
      </c>
      <c r="B1483" s="16">
        <v>46149</v>
      </c>
      <c r="C1483" s="21">
        <v>61521090</v>
      </c>
      <c r="D1483" s="16" t="str">
        <f>IFERROR(VLOOKUP(Tabela5[[#This Row],[PREFIXO ]],Tabela4[#All],2,0),"CENTRO DE CUSTO")</f>
        <v>PA CARREGADEIRA JOHN DEERE 524 K II</v>
      </c>
      <c r="E1483" s="18" t="s">
        <v>68</v>
      </c>
      <c r="F1483" s="21">
        <v>2233</v>
      </c>
      <c r="G1483" s="22">
        <v>1340</v>
      </c>
      <c r="H1483" s="22">
        <v>272.8</v>
      </c>
      <c r="I1483" s="22">
        <f t="shared" si="24"/>
        <v>1612.8</v>
      </c>
      <c r="J1483" s="18" t="s">
        <v>1265</v>
      </c>
      <c r="K1483" s="18">
        <v>9856083</v>
      </c>
      <c r="L1483" s="18">
        <v>924301</v>
      </c>
      <c r="M1483" s="18" t="s">
        <v>3423</v>
      </c>
      <c r="N1483" s="16">
        <v>46183</v>
      </c>
      <c r="O1483" s="18" t="s">
        <v>3424</v>
      </c>
      <c r="P1483" s="18" t="s">
        <v>3425</v>
      </c>
      <c r="Q1483" s="29" t="str" cm="1">
        <f t="array" ref="Q1483">_xlfn.IFS(
A1483="","",
AND(A1483&lt;&gt;"",B1483=""),"FALTA LANÇAMENTO",
AND(B1483&lt;&gt;"",M1483=""),"FALTA O PEDIDO",
AND(M1483&lt;&gt;"",O1483=""),"FALTA NF",
O1483&lt;&gt;"","CONCLUÍDO")</f>
        <v>CONCLUÍDO</v>
      </c>
      <c r="R1483" s="36"/>
    </row>
    <row r="1484" spans="1:18" hidden="1">
      <c r="A1484" s="16">
        <v>46148</v>
      </c>
      <c r="B1484" s="16">
        <v>46149</v>
      </c>
      <c r="C1484" s="21" t="s">
        <v>3426</v>
      </c>
      <c r="D1484" s="16" t="str">
        <f>IFERROR(VLOOKUP(Tabela5[[#This Row],[PREFIXO ]],Tabela4[#All],2,0),"CENTRO DE CUSTO")</f>
        <v>CENTRO DE CUSTO</v>
      </c>
      <c r="E1484" s="18" t="s">
        <v>249</v>
      </c>
      <c r="F1484" s="21">
        <v>240</v>
      </c>
      <c r="G1484" s="22">
        <v>18200</v>
      </c>
      <c r="H1484" s="22"/>
      <c r="I1484" s="22">
        <f t="shared" si="24"/>
        <v>18200</v>
      </c>
      <c r="J1484" s="18" t="s">
        <v>1199</v>
      </c>
      <c r="K1484" s="18" t="s">
        <v>3427</v>
      </c>
      <c r="L1484" s="18">
        <v>924048</v>
      </c>
      <c r="M1484" s="18" t="s">
        <v>3428</v>
      </c>
      <c r="N1484" s="16" t="s">
        <v>3007</v>
      </c>
      <c r="O1484" s="18" t="s">
        <v>2110</v>
      </c>
      <c r="P1484" s="18" t="s">
        <v>3429</v>
      </c>
      <c r="Q1484" s="29" t="str" cm="1">
        <f t="array" ref="Q1484">_xlfn.IFS(
A1484="","",
AND(A1484&lt;&gt;"",B1484=""),"FALTA LANÇAMENTO",
AND(B1484&lt;&gt;"",M1484=""),"FALTA O PEDIDO",
AND(M1484&lt;&gt;"",O1484=""),"FALTA NF",
O1484&lt;&gt;"","CONCLUÍDO")</f>
        <v>CONCLUÍDO</v>
      </c>
      <c r="R1484" s="36"/>
    </row>
    <row r="1485" spans="1:18" hidden="1">
      <c r="A1485" s="16">
        <v>46148</v>
      </c>
      <c r="B1485" s="16">
        <v>46149</v>
      </c>
      <c r="C1485" s="21">
        <v>500580100</v>
      </c>
      <c r="D1485" s="16" t="str">
        <f>IFERROR(VLOOKUP(Tabela5[[#This Row],[PREFIXO ]],Tabela4[#All],2,0),"CENTRO DE CUSTO")</f>
        <v>Autopropelidos</v>
      </c>
      <c r="E1485" s="18" t="s">
        <v>249</v>
      </c>
      <c r="F1485" s="21">
        <v>237</v>
      </c>
      <c r="G1485" s="22">
        <v>12250</v>
      </c>
      <c r="H1485" s="22"/>
      <c r="I1485" s="22">
        <f t="shared" si="24"/>
        <v>12250</v>
      </c>
      <c r="J1485" s="18" t="s">
        <v>1265</v>
      </c>
      <c r="K1485" s="18">
        <v>5020680</v>
      </c>
      <c r="L1485" s="18">
        <v>923724</v>
      </c>
      <c r="M1485" s="18" t="s">
        <v>3430</v>
      </c>
      <c r="N1485" s="16" t="s">
        <v>2677</v>
      </c>
      <c r="O1485" s="18" t="s">
        <v>2112</v>
      </c>
      <c r="P1485" s="18" t="s">
        <v>3429</v>
      </c>
      <c r="Q1485" s="29" t="str" cm="1">
        <f t="array" ref="Q1485">_xlfn.IFS(
A1485="","",
AND(A1485&lt;&gt;"",B1485=""),"FALTA LANÇAMENTO",
AND(B1485&lt;&gt;"",M1485=""),"FALTA O PEDIDO",
AND(M1485&lt;&gt;"",O1485=""),"FALTA NF",
O1485&lt;&gt;"","CONCLUÍDO")</f>
        <v>CONCLUÍDO</v>
      </c>
      <c r="R1485" s="36"/>
    </row>
    <row r="1486" spans="1:18" hidden="1">
      <c r="A1486" s="16">
        <v>46148</v>
      </c>
      <c r="B1486" s="16">
        <v>46149</v>
      </c>
      <c r="C1486" s="21">
        <v>500580100</v>
      </c>
      <c r="D1486" s="16" t="str">
        <f>IFERROR(VLOOKUP(Tabela5[[#This Row],[PREFIXO ]],Tabela4[#All],2,0),"CENTRO DE CUSTO")</f>
        <v>Autopropelidos</v>
      </c>
      <c r="E1486" s="18" t="s">
        <v>249</v>
      </c>
      <c r="F1486" s="21">
        <v>239</v>
      </c>
      <c r="G1486" s="22">
        <v>9975</v>
      </c>
      <c r="H1486" s="22"/>
      <c r="I1486" s="22">
        <f t="shared" si="24"/>
        <v>9975</v>
      </c>
      <c r="J1486" s="18" t="s">
        <v>1080</v>
      </c>
      <c r="K1486" s="18">
        <v>5020684</v>
      </c>
      <c r="L1486" s="18">
        <v>923971</v>
      </c>
      <c r="M1486" s="18" t="s">
        <v>3431</v>
      </c>
      <c r="N1486" s="16" t="s">
        <v>2677</v>
      </c>
      <c r="O1486" s="18" t="s">
        <v>2055</v>
      </c>
      <c r="P1486" s="18" t="s">
        <v>3429</v>
      </c>
      <c r="Q1486" s="29" t="str" cm="1">
        <f t="array" ref="Q1486">_xlfn.IFS(
A1486="","",
AND(A1486&lt;&gt;"",B1486=""),"FALTA LANÇAMENTO",
AND(B1486&lt;&gt;"",M1486=""),"FALTA O PEDIDO",
AND(M1486&lt;&gt;"",O1486=""),"FALTA NF",
O1486&lt;&gt;"","CONCLUÍDO")</f>
        <v>CONCLUÍDO</v>
      </c>
      <c r="R1486" s="36"/>
    </row>
    <row r="1487" spans="1:18" hidden="1">
      <c r="A1487" s="16">
        <v>46148</v>
      </c>
      <c r="B1487" s="16">
        <v>46149</v>
      </c>
      <c r="C1487" s="21">
        <v>11521030</v>
      </c>
      <c r="D1487" s="16" t="str">
        <f>IFERROR(VLOOKUP(Tabela5[[#This Row],[PREFIXO ]],Tabela4[#All],2,0),"CENTRO DE CUSTO")</f>
        <v>TRAT PN EXT PES FENDT 1046 VARIO</v>
      </c>
      <c r="E1487" s="18" t="s">
        <v>259</v>
      </c>
      <c r="F1487" s="21" t="s">
        <v>3432</v>
      </c>
      <c r="G1487" s="22">
        <v>52.99</v>
      </c>
      <c r="H1487" s="22">
        <v>179.81</v>
      </c>
      <c r="I1487" s="22">
        <f t="shared" si="24"/>
        <v>232.8</v>
      </c>
      <c r="J1487" s="18" t="s">
        <v>1199</v>
      </c>
      <c r="K1487" s="18">
        <v>9856084</v>
      </c>
      <c r="L1487" s="18">
        <v>924172</v>
      </c>
      <c r="M1487" s="18" t="s">
        <v>3433</v>
      </c>
      <c r="N1487" s="16" t="s">
        <v>2677</v>
      </c>
      <c r="O1487" s="18" t="s">
        <v>3434</v>
      </c>
      <c r="P1487" s="18" t="s">
        <v>3435</v>
      </c>
      <c r="Q1487" s="29" t="str" cm="1">
        <f t="array" ref="Q1487">_xlfn.IFS(
A1487="","",
AND(A1487&lt;&gt;"",B1487=""),"FALTA LANÇAMENTO",
AND(B1487&lt;&gt;"",M1487=""),"FALTA O PEDIDO",
AND(M1487&lt;&gt;"",O1487=""),"FALTA NF",
O1487&lt;&gt;"","CONCLUÍDO")</f>
        <v>CONCLUÍDO</v>
      </c>
      <c r="R1487" s="36"/>
    </row>
    <row r="1488" spans="1:18" hidden="1">
      <c r="A1488" s="16">
        <v>46148</v>
      </c>
      <c r="B1488" s="16">
        <v>46149</v>
      </c>
      <c r="C1488" s="21">
        <v>81521205</v>
      </c>
      <c r="D1488" s="16" t="str">
        <f>IFERROR(VLOOKUP(Tabela5[[#This Row],[PREFIXO ]],Tabela4[#All],2,0),"CENTRO DE CUSTO")</f>
        <v>SEMI REBOQUE PRANCHA FACCHINI SRCT 4E</v>
      </c>
      <c r="E1488" s="18" t="s">
        <v>345</v>
      </c>
      <c r="F1488" s="21">
        <v>1228</v>
      </c>
      <c r="G1488" s="22">
        <v>107</v>
      </c>
      <c r="H1488" s="22">
        <v>594.22</v>
      </c>
      <c r="I1488" s="22">
        <f t="shared" si="24"/>
        <v>701.22</v>
      </c>
      <c r="J1488" s="18" t="s">
        <v>1199</v>
      </c>
      <c r="K1488" s="18">
        <v>9857116</v>
      </c>
      <c r="L1488" s="18">
        <v>924219</v>
      </c>
      <c r="M1488" s="18" t="s">
        <v>3436</v>
      </c>
      <c r="N1488" s="16" t="s">
        <v>3007</v>
      </c>
      <c r="O1488" s="18" t="s">
        <v>3437</v>
      </c>
      <c r="P1488" s="18" t="s">
        <v>3438</v>
      </c>
      <c r="Q1488" s="29" t="str" cm="1">
        <f t="array" ref="Q1488">_xlfn.IFS(
A1488="","",
AND(A1488&lt;&gt;"",B1488=""),"FALTA LANÇAMENTO",
AND(B1488&lt;&gt;"",M1488=""),"FALTA O PEDIDO",
AND(M1488&lt;&gt;"",O1488=""),"FALTA NF",
O1488&lt;&gt;"","CONCLUÍDO")</f>
        <v>CONCLUÍDO</v>
      </c>
      <c r="R1488" s="36"/>
    </row>
    <row r="1489" spans="1:18" hidden="1">
      <c r="A1489" s="16">
        <v>46148</v>
      </c>
      <c r="B1489" s="16">
        <v>46149</v>
      </c>
      <c r="C1489" s="21">
        <v>51521088</v>
      </c>
      <c r="D1489" s="16" t="str">
        <f>IFERROR(VLOOKUP(Tabela5[[#This Row],[PREFIXO ]],Tabela4[#All],2,0),"CENTRO DE CUSTO")</f>
        <v>COLHEIT DE GRÃOS N.HOLLAND CR 8.90</v>
      </c>
      <c r="E1489" s="18" t="s">
        <v>346</v>
      </c>
      <c r="F1489" s="21" t="s">
        <v>1311</v>
      </c>
      <c r="G1489" s="22">
        <v>15786</v>
      </c>
      <c r="H1489" s="22"/>
      <c r="I1489" s="22">
        <f t="shared" si="24"/>
        <v>15786</v>
      </c>
      <c r="J1489" s="18" t="s">
        <v>1123</v>
      </c>
      <c r="K1489" s="18">
        <v>9856798</v>
      </c>
      <c r="L1489" s="18">
        <v>925312</v>
      </c>
      <c r="M1489" s="18" t="s">
        <v>3439</v>
      </c>
      <c r="N1489" s="16" t="s">
        <v>3388</v>
      </c>
      <c r="O1489" s="18" t="s">
        <v>2489</v>
      </c>
      <c r="P1489" s="18" t="s">
        <v>3440</v>
      </c>
      <c r="Q1489" s="29" t="str" cm="1">
        <f t="array" ref="Q1489">_xlfn.IFS(
A1489="","",
AND(A1489&lt;&gt;"",B1489=""),"FALTA LANÇAMENTO",
AND(B1489&lt;&gt;"",M1489=""),"FALTA O PEDIDO",
AND(M1489&lt;&gt;"",O1489=""),"FALTA NF",
O1489&lt;&gt;"","CONCLUÍDO")</f>
        <v>CONCLUÍDO</v>
      </c>
      <c r="R1489" s="36"/>
    </row>
    <row r="1490" spans="1:18" hidden="1">
      <c r="A1490" s="16">
        <v>46148</v>
      </c>
      <c r="B1490" s="16">
        <v>46149</v>
      </c>
      <c r="C1490" s="21">
        <v>51521088</v>
      </c>
      <c r="D1490" s="16" t="str">
        <f>IFERROR(VLOOKUP(Tabela5[[#This Row],[PREFIXO ]],Tabela4[#All],2,0),"CENTRO DE CUSTO")</f>
        <v>COLHEIT DE GRÃOS N.HOLLAND CR 8.90</v>
      </c>
      <c r="E1490" s="18" t="s">
        <v>346</v>
      </c>
      <c r="F1490" s="21" t="s">
        <v>2175</v>
      </c>
      <c r="G1490" s="22">
        <v>15775</v>
      </c>
      <c r="H1490" s="22"/>
      <c r="I1490" s="22">
        <f t="shared" si="24"/>
        <v>15775</v>
      </c>
      <c r="J1490" s="18" t="s">
        <v>1123</v>
      </c>
      <c r="K1490" s="18">
        <v>9856825</v>
      </c>
      <c r="L1490" s="18">
        <v>925366</v>
      </c>
      <c r="M1490" s="18" t="s">
        <v>3441</v>
      </c>
      <c r="N1490" s="16" t="s">
        <v>3388</v>
      </c>
      <c r="O1490" s="18" t="s">
        <v>1372</v>
      </c>
      <c r="P1490" s="18" t="s">
        <v>3440</v>
      </c>
      <c r="Q1490" s="29" t="str" cm="1">
        <f t="array" ref="Q1490">_xlfn.IFS(
A1490="","",
AND(A1490&lt;&gt;"",B1490=""),"FALTA LANÇAMENTO",
AND(B1490&lt;&gt;"",M1490=""),"FALTA O PEDIDO",
AND(M1490&lt;&gt;"",O1490=""),"FALTA NF",
O1490&lt;&gt;"","CONCLUÍDO")</f>
        <v>CONCLUÍDO</v>
      </c>
      <c r="R1490" s="36"/>
    </row>
    <row r="1491" spans="1:18" hidden="1">
      <c r="A1491" s="16">
        <v>46148</v>
      </c>
      <c r="B1491" s="16">
        <v>46149</v>
      </c>
      <c r="C1491" s="21">
        <v>81521321</v>
      </c>
      <c r="D1491" s="16" t="str">
        <f>IFERROR(VLOOKUP(Tabela5[[#This Row],[PREFIXO ]],Tabela4[#All],2,0),"CENTRO DE CUSTO")</f>
        <v>PLATAF COLHEITA CASE 3020 25P</v>
      </c>
      <c r="E1491" s="18" t="s">
        <v>346</v>
      </c>
      <c r="F1491" s="21" t="s">
        <v>1309</v>
      </c>
      <c r="G1491" s="22">
        <v>1681.01</v>
      </c>
      <c r="H1491" s="22"/>
      <c r="I1491" s="22">
        <f t="shared" si="24"/>
        <v>1681.01</v>
      </c>
      <c r="J1491" s="18" t="s">
        <v>1123</v>
      </c>
      <c r="K1491" s="18">
        <v>9856796</v>
      </c>
      <c r="L1491" s="18">
        <v>925312</v>
      </c>
      <c r="M1491" s="18" t="s">
        <v>3439</v>
      </c>
      <c r="N1491" s="16" t="s">
        <v>3388</v>
      </c>
      <c r="O1491" s="18" t="s">
        <v>2489</v>
      </c>
      <c r="P1491" s="18" t="s">
        <v>3440</v>
      </c>
      <c r="Q1491" s="29" t="str" cm="1">
        <f t="array" ref="Q1491">_xlfn.IFS(
A1491="","",
AND(A1491&lt;&gt;"",B1491=""),"FALTA LANÇAMENTO",
AND(B1491&lt;&gt;"",M1491=""),"FALTA O PEDIDO",
AND(M1491&lt;&gt;"",O1491=""),"FALTA NF",
O1491&lt;&gt;"","CONCLUÍDO")</f>
        <v>CONCLUÍDO</v>
      </c>
      <c r="R1491" s="36"/>
    </row>
    <row r="1492" spans="1:18" hidden="1">
      <c r="A1492" s="16">
        <v>46153</v>
      </c>
      <c r="B1492" s="16">
        <v>46153</v>
      </c>
      <c r="C1492" s="21">
        <v>500580085</v>
      </c>
      <c r="D1492" s="16" t="str">
        <f>IFERROR(VLOOKUP(Tabela5[[#This Row],[PREFIXO ]],Tabela4[#All],2,0),"CENTRO DE CUSTO")</f>
        <v>Caminhões Tanque</v>
      </c>
      <c r="E1492" s="18" t="s">
        <v>345</v>
      </c>
      <c r="F1492" s="21">
        <v>4126</v>
      </c>
      <c r="G1492" s="22">
        <v>177.12</v>
      </c>
      <c r="H1492" s="22"/>
      <c r="I1492" s="22">
        <f t="shared" si="24"/>
        <v>177.12</v>
      </c>
      <c r="J1492" s="18" t="s">
        <v>1199</v>
      </c>
      <c r="K1492" s="18">
        <v>5020695</v>
      </c>
      <c r="L1492" s="18">
        <v>927437</v>
      </c>
      <c r="M1492" s="18" t="s">
        <v>3442</v>
      </c>
      <c r="N1492" s="16" t="s">
        <v>3246</v>
      </c>
      <c r="O1492" s="18"/>
      <c r="P1492" s="18"/>
      <c r="Q1492" s="29" t="str" cm="1">
        <f t="array" ref="Q1492">_xlfn.IFS(
A1492="","",
AND(A1492&lt;&gt;"",B1492=""),"FALTA LANÇAMENTO",
AND(B1492&lt;&gt;"",M1492=""),"FALTA O PEDIDO",
AND(M1492&lt;&gt;"",O1492=""),"FALTA NF",
O1492&lt;&gt;"","CONCLUÍDO")</f>
        <v>FALTA NF</v>
      </c>
      <c r="R1492" s="36"/>
    </row>
    <row r="1493" spans="1:18" hidden="1">
      <c r="A1493" s="16">
        <v>46153</v>
      </c>
      <c r="B1493" s="16">
        <v>46155</v>
      </c>
      <c r="C1493" s="21">
        <v>500580090</v>
      </c>
      <c r="D1493" s="16" t="str">
        <f>IFERROR(VLOOKUP(Tabela5[[#This Row],[PREFIXO ]],Tabela4[#All],2,0),"CENTRO DE CUSTO")</f>
        <v>Plantadeiras</v>
      </c>
      <c r="E1493" s="18" t="s">
        <v>9</v>
      </c>
      <c r="F1493" s="21">
        <v>2562</v>
      </c>
      <c r="G1493" s="22">
        <v>1933.4</v>
      </c>
      <c r="H1493" s="22"/>
      <c r="I1493" s="22">
        <f t="shared" si="24"/>
        <v>1933.4</v>
      </c>
      <c r="J1493" s="18" t="s">
        <v>1199</v>
      </c>
      <c r="K1493" s="18">
        <v>5020699</v>
      </c>
      <c r="L1493" s="18">
        <v>928420</v>
      </c>
      <c r="M1493" s="18" t="s">
        <v>3443</v>
      </c>
      <c r="N1493" s="16" t="s">
        <v>2544</v>
      </c>
      <c r="O1493" s="18" t="s">
        <v>3444</v>
      </c>
      <c r="P1493" s="18" t="s">
        <v>3445</v>
      </c>
      <c r="Q1493" s="29" t="str" cm="1">
        <f t="array" ref="Q1493">_xlfn.IFS(
A1493="","",
AND(A1493&lt;&gt;"",B1493=""),"FALTA LANÇAMENTO",
AND(B1493&lt;&gt;"",M1493=""),"FALTA O PEDIDO",
AND(M1493&lt;&gt;"",O1493=""),"FALTA NF",
O1493&lt;&gt;"","CONCLUÍDO")</f>
        <v>CONCLUÍDO</v>
      </c>
      <c r="R1493" s="36"/>
    </row>
    <row r="1494" spans="1:18" hidden="1">
      <c r="A1494" s="16">
        <v>46153</v>
      </c>
      <c r="B1494" s="16">
        <v>46154</v>
      </c>
      <c r="C1494" s="21">
        <v>13130077</v>
      </c>
      <c r="D1494" s="16" t="str">
        <f>IFERROR(VLOOKUP(Tabela5[[#This Row],[PREFIXO ]],Tabela4[#All],2,0),"CENTRO DE CUSTO")</f>
        <v>CENTRO DE CUSTO</v>
      </c>
      <c r="E1494" s="18" t="s">
        <v>370</v>
      </c>
      <c r="F1494" s="21">
        <v>2253</v>
      </c>
      <c r="G1494" s="22">
        <v>1061.83</v>
      </c>
      <c r="H1494" s="22">
        <v>992.96</v>
      </c>
      <c r="I1494" s="22">
        <f t="shared" si="24"/>
        <v>2054.79</v>
      </c>
      <c r="J1494" s="18" t="s">
        <v>1265</v>
      </c>
      <c r="K1494" s="18">
        <v>9859602</v>
      </c>
      <c r="L1494" s="18">
        <v>928048</v>
      </c>
      <c r="M1494" s="18" t="s">
        <v>3446</v>
      </c>
      <c r="N1494" s="16" t="s">
        <v>3447</v>
      </c>
      <c r="O1494" s="18" t="s">
        <v>3448</v>
      </c>
      <c r="P1494" s="18" t="s">
        <v>3449</v>
      </c>
      <c r="Q1494" s="29" t="str" cm="1">
        <f t="array" ref="Q1494">_xlfn.IFS(
A1494="","",
AND(A1494&lt;&gt;"",B1494=""),"FALTA LANÇAMENTO",
AND(B1494&lt;&gt;"",M1494=""),"FALTA O PEDIDO",
AND(M1494&lt;&gt;"",O1494=""),"FALTA NF",
O1494&lt;&gt;"","CONCLUÍDO")</f>
        <v>CONCLUÍDO</v>
      </c>
      <c r="R1494" s="36" t="s">
        <v>3307</v>
      </c>
    </row>
    <row r="1495" spans="1:18" hidden="1">
      <c r="A1495" s="16">
        <v>46153</v>
      </c>
      <c r="B1495" s="16">
        <v>46154</v>
      </c>
      <c r="C1495" s="21">
        <v>13130076</v>
      </c>
      <c r="D1495" s="16" t="str">
        <f>IFERROR(VLOOKUP(Tabela5[[#This Row],[PREFIXO ]],Tabela4[#All],2,0),"CENTRO DE CUSTO")</f>
        <v>CENTRO DE CUSTO</v>
      </c>
      <c r="E1495" s="18" t="s">
        <v>370</v>
      </c>
      <c r="F1495" s="21">
        <v>2254</v>
      </c>
      <c r="G1495" s="22">
        <v>305.14</v>
      </c>
      <c r="H1495" s="22">
        <v>992.96</v>
      </c>
      <c r="I1495" s="22">
        <f t="shared" si="24"/>
        <v>1298.0999999999999</v>
      </c>
      <c r="J1495" s="18" t="s">
        <v>1265</v>
      </c>
      <c r="K1495" s="18">
        <v>9859609</v>
      </c>
      <c r="L1495" s="18">
        <v>928048</v>
      </c>
      <c r="M1495" s="18" t="s">
        <v>3446</v>
      </c>
      <c r="N1495" s="16" t="s">
        <v>3447</v>
      </c>
      <c r="O1495" s="18" t="s">
        <v>3448</v>
      </c>
      <c r="P1495" s="18" t="s">
        <v>3449</v>
      </c>
      <c r="Q1495" s="29" t="str" cm="1">
        <f t="array" ref="Q1495">_xlfn.IFS(
A1495="","",
AND(A1495&lt;&gt;"",B1495=""),"FALTA LANÇAMENTO",
AND(B1495&lt;&gt;"",M1495=""),"FALTA O PEDIDO",
AND(M1495&lt;&gt;"",O1495=""),"FALTA NF",
O1495&lt;&gt;"","CONCLUÍDO")</f>
        <v>CONCLUÍDO</v>
      </c>
      <c r="R1495" s="36" t="s">
        <v>3307</v>
      </c>
    </row>
    <row r="1496" spans="1:18" hidden="1">
      <c r="A1496" s="16">
        <v>46153</v>
      </c>
      <c r="B1496" s="16">
        <v>46154</v>
      </c>
      <c r="C1496" s="21">
        <v>13130078</v>
      </c>
      <c r="D1496" s="16" t="str">
        <f>IFERROR(VLOOKUP(Tabela5[[#This Row],[PREFIXO ]],Tabela4[#All],2,0),"CENTRO DE CUSTO")</f>
        <v>CENTRO DE CUSTO</v>
      </c>
      <c r="E1496" s="18" t="s">
        <v>370</v>
      </c>
      <c r="F1496" s="21">
        <v>2255</v>
      </c>
      <c r="G1496" s="22">
        <v>402.56</v>
      </c>
      <c r="H1496" s="22"/>
      <c r="I1496" s="22">
        <f t="shared" si="24"/>
        <v>402.56</v>
      </c>
      <c r="J1496" s="18" t="s">
        <v>1265</v>
      </c>
      <c r="K1496" s="18">
        <v>9859607</v>
      </c>
      <c r="L1496" s="18">
        <v>928048</v>
      </c>
      <c r="M1496" s="18" t="s">
        <v>3446</v>
      </c>
      <c r="N1496" s="16" t="s">
        <v>3447</v>
      </c>
      <c r="O1496" s="18" t="s">
        <v>3448</v>
      </c>
      <c r="P1496" s="18" t="s">
        <v>3449</v>
      </c>
      <c r="Q1496" s="29" t="str" cm="1">
        <f t="array" ref="Q1496">_xlfn.IFS(
A1496="","",
AND(A1496&lt;&gt;"",B1496=""),"FALTA LANÇAMENTO",
AND(B1496&lt;&gt;"",M1496=""),"FALTA O PEDIDO",
AND(M1496&lt;&gt;"",O1496=""),"FALTA NF",
O1496&lt;&gt;"","CONCLUÍDO")</f>
        <v>CONCLUÍDO</v>
      </c>
      <c r="R1496" s="36" t="s">
        <v>3307</v>
      </c>
    </row>
    <row r="1497" spans="1:18" hidden="1">
      <c r="A1497" s="16">
        <v>46153</v>
      </c>
      <c r="B1497" s="16">
        <v>46153</v>
      </c>
      <c r="C1497" s="21">
        <v>31522011</v>
      </c>
      <c r="D1497" s="16" t="str">
        <f>IFERROR(VLOOKUP(Tabela5[[#This Row],[PREFIXO ]],Tabela4[#All],2,0),"CENTRO DE CUSTO")</f>
        <v>CENTRO DE CUSTO</v>
      </c>
      <c r="E1497" s="18" t="s">
        <v>34</v>
      </c>
      <c r="F1497" s="21">
        <v>71970</v>
      </c>
      <c r="G1497" s="22"/>
      <c r="H1497" s="22">
        <v>1520</v>
      </c>
      <c r="I1497" s="22">
        <f t="shared" si="24"/>
        <v>1520</v>
      </c>
      <c r="J1497" s="18" t="s">
        <v>1080</v>
      </c>
      <c r="K1497" s="18">
        <v>9859728</v>
      </c>
      <c r="L1497" s="18">
        <v>927035</v>
      </c>
      <c r="M1497" s="18" t="s">
        <v>3450</v>
      </c>
      <c r="N1497" s="16" t="s">
        <v>3031</v>
      </c>
      <c r="O1497" s="18" t="s">
        <v>3451</v>
      </c>
      <c r="P1497" s="18" t="s">
        <v>3438</v>
      </c>
      <c r="Q1497" s="29" t="str" cm="1">
        <f t="array" ref="Q1497">_xlfn.IFS(
A1497="","",
AND(A1497&lt;&gt;"",B1497=""),"FALTA LANÇAMENTO",
AND(B1497&lt;&gt;"",M1497=""),"FALTA O PEDIDO",
AND(M1497&lt;&gt;"",O1497=""),"FALTA NF",
O1497&lt;&gt;"","CONCLUÍDO")</f>
        <v>CONCLUÍDO</v>
      </c>
      <c r="R1497" s="36"/>
    </row>
    <row r="1498" spans="1:18" hidden="1">
      <c r="A1498" s="16">
        <v>46153</v>
      </c>
      <c r="B1498" s="16">
        <v>46153</v>
      </c>
      <c r="C1498" s="21">
        <v>31522011</v>
      </c>
      <c r="D1498" s="16" t="str">
        <f>IFERROR(VLOOKUP(Tabela5[[#This Row],[PREFIXO ]],Tabela4[#All],2,0),"CENTRO DE CUSTO")</f>
        <v>CENTRO DE CUSTO</v>
      </c>
      <c r="E1498" s="18" t="s">
        <v>34</v>
      </c>
      <c r="F1498" s="21">
        <v>41114</v>
      </c>
      <c r="G1498" s="22">
        <v>850</v>
      </c>
      <c r="H1498" s="22"/>
      <c r="I1498" s="22">
        <f t="shared" si="24"/>
        <v>850</v>
      </c>
      <c r="J1498" s="18" t="s">
        <v>1080</v>
      </c>
      <c r="K1498" s="18">
        <v>9859719</v>
      </c>
      <c r="L1498" s="18">
        <v>927035</v>
      </c>
      <c r="M1498" s="18" t="s">
        <v>3450</v>
      </c>
      <c r="N1498" s="16" t="s">
        <v>3031</v>
      </c>
      <c r="O1498" s="18" t="s">
        <v>3451</v>
      </c>
      <c r="P1498" s="18" t="s">
        <v>3438</v>
      </c>
      <c r="Q1498" s="29" t="str" cm="1">
        <f t="array" ref="Q1498">_xlfn.IFS(
A1498="","",
AND(A1498&lt;&gt;"",B1498=""),"FALTA LANÇAMENTO",
AND(B1498&lt;&gt;"",M1498=""),"FALTA O PEDIDO",
AND(M1498&lt;&gt;"",O1498=""),"FALTA NF",
O1498&lt;&gt;"","CONCLUÍDO")</f>
        <v>CONCLUÍDO</v>
      </c>
      <c r="R1498" s="36"/>
    </row>
    <row r="1499" spans="1:18" hidden="1">
      <c r="A1499" s="16">
        <v>46153</v>
      </c>
      <c r="B1499" s="16">
        <v>46153</v>
      </c>
      <c r="C1499" s="21">
        <v>31522011</v>
      </c>
      <c r="D1499" s="16" t="str">
        <f>IFERROR(VLOOKUP(Tabela5[[#This Row],[PREFIXO ]],Tabela4[#All],2,0),"CENTRO DE CUSTO")</f>
        <v>CENTRO DE CUSTO</v>
      </c>
      <c r="E1499" s="18" t="s">
        <v>34</v>
      </c>
      <c r="F1499" s="21">
        <v>41116</v>
      </c>
      <c r="G1499" s="22">
        <v>188</v>
      </c>
      <c r="H1499" s="22"/>
      <c r="I1499" s="22">
        <f t="shared" si="24"/>
        <v>188</v>
      </c>
      <c r="J1499" s="18" t="s">
        <v>1080</v>
      </c>
      <c r="K1499" s="18">
        <v>9859717</v>
      </c>
      <c r="L1499" s="18">
        <v>927035</v>
      </c>
      <c r="M1499" s="18" t="s">
        <v>3450</v>
      </c>
      <c r="N1499" s="16" t="s">
        <v>3031</v>
      </c>
      <c r="O1499" s="18" t="s">
        <v>3451</v>
      </c>
      <c r="P1499" s="18" t="s">
        <v>3438</v>
      </c>
      <c r="Q1499" s="29" t="str" cm="1">
        <f t="array" ref="Q1499">_xlfn.IFS(
A1499="","",
AND(A1499&lt;&gt;"",B1499=""),"FALTA LANÇAMENTO",
AND(B1499&lt;&gt;"",M1499=""),"FALTA O PEDIDO",
AND(M1499&lt;&gt;"",O1499=""),"FALTA NF",
O1499&lt;&gt;"","CONCLUÍDO")</f>
        <v>CONCLUÍDO</v>
      </c>
      <c r="R1499" s="36"/>
    </row>
    <row r="1500" spans="1:18" hidden="1">
      <c r="A1500" s="16">
        <v>46153</v>
      </c>
      <c r="B1500" s="16">
        <v>46155</v>
      </c>
      <c r="C1500" s="21">
        <v>12070008</v>
      </c>
      <c r="D1500" s="16" t="str">
        <f>IFERROR(VLOOKUP(Tabela5[[#This Row],[PREFIXO ]],Tabela4[#All],2,0),"CENTRO DE CUSTO")</f>
        <v>VAN MICROBUS FORD TRANSIT 410 B AUT</v>
      </c>
      <c r="E1500" s="18" t="s">
        <v>284</v>
      </c>
      <c r="F1500" s="21">
        <v>4589</v>
      </c>
      <c r="G1500" s="22">
        <v>364.13</v>
      </c>
      <c r="H1500" s="22">
        <v>2409.2139999999999</v>
      </c>
      <c r="I1500" s="22">
        <f t="shared" si="24"/>
        <v>2773.3440000000001</v>
      </c>
      <c r="J1500" s="18" t="s">
        <v>1085</v>
      </c>
      <c r="K1500" s="18">
        <v>9860294</v>
      </c>
      <c r="L1500" s="18">
        <v>928514</v>
      </c>
      <c r="M1500" s="18" t="s">
        <v>3452</v>
      </c>
      <c r="N1500" s="16" t="s">
        <v>2544</v>
      </c>
      <c r="O1500" s="18" t="s">
        <v>3453</v>
      </c>
      <c r="P1500" s="18" t="s">
        <v>3454</v>
      </c>
      <c r="Q1500" s="29" t="str" cm="1">
        <f t="array" ref="Q1500">_xlfn.IFS(
A1500="","",
AND(A1500&lt;&gt;"",B1500=""),"FALTA LANÇAMENTO",
AND(B1500&lt;&gt;"",M1500=""),"FALTA O PEDIDO",
AND(M1500&lt;&gt;"",O1500=""),"FALTA NF",
O1500&lt;&gt;"","CONCLUÍDO")</f>
        <v>CONCLUÍDO</v>
      </c>
      <c r="R1500" s="36"/>
    </row>
    <row r="1501" spans="1:18" hidden="1">
      <c r="A1501" s="16">
        <v>46153</v>
      </c>
      <c r="B1501" s="16">
        <v>46154</v>
      </c>
      <c r="C1501" s="21">
        <v>35005016</v>
      </c>
      <c r="D1501" s="16" t="str">
        <f>IFERROR(VLOOKUP(Tabela5[[#This Row],[PREFIXO ]],Tabela4[#All],2,0),"CENTRO DE CUSTO")</f>
        <v>PULV AUTOPROP JACTO UNIPORT 3030</v>
      </c>
      <c r="E1501" s="18" t="s">
        <v>49</v>
      </c>
      <c r="F1501" s="21" t="s">
        <v>3455</v>
      </c>
      <c r="G1501" s="22">
        <v>23886.400000000001</v>
      </c>
      <c r="H1501" s="22"/>
      <c r="I1501" s="22">
        <f t="shared" si="24"/>
        <v>23886.400000000001</v>
      </c>
      <c r="J1501" s="18" t="s">
        <v>1080</v>
      </c>
      <c r="K1501" s="18">
        <v>9859776</v>
      </c>
      <c r="L1501" s="18">
        <v>928280</v>
      </c>
      <c r="M1501" s="18" t="s">
        <v>3456</v>
      </c>
      <c r="N1501" s="16" t="s">
        <v>2684</v>
      </c>
      <c r="O1501" s="18" t="s">
        <v>3457</v>
      </c>
      <c r="P1501" s="18" t="s">
        <v>2684</v>
      </c>
      <c r="Q1501" s="29" t="str" cm="1">
        <f t="array" ref="Q1501">_xlfn.IFS(
A1501="","",
AND(A1501&lt;&gt;"",B1501=""),"FALTA LANÇAMENTO",
AND(B1501&lt;&gt;"",M1501=""),"FALTA O PEDIDO",
AND(M1501&lt;&gt;"",O1501=""),"FALTA NF",
O1501&lt;&gt;"","CONCLUÍDO")</f>
        <v>CONCLUÍDO</v>
      </c>
      <c r="R1501" s="36"/>
    </row>
    <row r="1502" spans="1:18" hidden="1">
      <c r="A1502" s="16">
        <v>46153</v>
      </c>
      <c r="B1502" s="16">
        <v>46155</v>
      </c>
      <c r="C1502" s="21">
        <v>35009001</v>
      </c>
      <c r="D1502" s="16" t="str">
        <f>IFERROR(VLOOKUP(Tabela5[[#This Row],[PREFIXO ]],Tabela4[#All],2,0),"CENTRO DE CUSTO")</f>
        <v>PULV AUTOPROP JACTO UNIPORT 3030</v>
      </c>
      <c r="E1502" s="18" t="s">
        <v>49</v>
      </c>
      <c r="F1502" s="21" t="s">
        <v>3458</v>
      </c>
      <c r="G1502" s="22">
        <v>9950</v>
      </c>
      <c r="H1502" s="22"/>
      <c r="I1502" s="22">
        <f t="shared" si="24"/>
        <v>9950</v>
      </c>
      <c r="J1502" s="18" t="s">
        <v>1265</v>
      </c>
      <c r="K1502" s="18">
        <v>9859766</v>
      </c>
      <c r="L1502" s="18">
        <v>928305</v>
      </c>
      <c r="M1502" s="18" t="s">
        <v>3459</v>
      </c>
      <c r="N1502" s="16" t="s">
        <v>2544</v>
      </c>
      <c r="O1502" s="18" t="s">
        <v>3460</v>
      </c>
      <c r="P1502" s="18" t="s">
        <v>2544</v>
      </c>
      <c r="Q1502" s="29" t="str" cm="1">
        <f t="array" ref="Q1502">_xlfn.IFS(
A1502="","",
AND(A1502&lt;&gt;"",B1502=""),"FALTA LANÇAMENTO",
AND(B1502&lt;&gt;"",M1502=""),"FALTA O PEDIDO",
AND(M1502&lt;&gt;"",O1502=""),"FALTA NF",
O1502&lt;&gt;"","CONCLUÍDO")</f>
        <v>CONCLUÍDO</v>
      </c>
      <c r="R1502" s="36"/>
    </row>
    <row r="1503" spans="1:18" hidden="1">
      <c r="A1503" s="16">
        <v>46153</v>
      </c>
      <c r="B1503" s="16">
        <v>46154</v>
      </c>
      <c r="C1503" s="21">
        <v>35005016</v>
      </c>
      <c r="D1503" s="16" t="str">
        <f>IFERROR(VLOOKUP(Tabela5[[#This Row],[PREFIXO ]],Tabela4[#All],2,0),"CENTRO DE CUSTO")</f>
        <v>PULV AUTOPROP JACTO UNIPORT 3030</v>
      </c>
      <c r="E1503" s="18" t="s">
        <v>49</v>
      </c>
      <c r="F1503" s="21" t="s">
        <v>1793</v>
      </c>
      <c r="G1503" s="22">
        <v>6080</v>
      </c>
      <c r="H1503" s="22"/>
      <c r="I1503" s="22">
        <f t="shared" si="24"/>
        <v>6080</v>
      </c>
      <c r="J1503" s="18" t="s">
        <v>1080</v>
      </c>
      <c r="K1503" s="18">
        <v>9859779</v>
      </c>
      <c r="L1503" s="18">
        <v>928264</v>
      </c>
      <c r="M1503" s="18" t="s">
        <v>3461</v>
      </c>
      <c r="N1503" s="16" t="s">
        <v>2544</v>
      </c>
      <c r="O1503" s="18" t="s">
        <v>3462</v>
      </c>
      <c r="P1503" s="18" t="s">
        <v>2544</v>
      </c>
      <c r="Q1503" s="29" t="str" cm="1">
        <f t="array" ref="Q1503">_xlfn.IFS(
A1503="","",
AND(A1503&lt;&gt;"",B1503=""),"FALTA LANÇAMENTO",
AND(B1503&lt;&gt;"",M1503=""),"FALTA O PEDIDO",
AND(M1503&lt;&gt;"",O1503=""),"FALTA NF",
O1503&lt;&gt;"","CONCLUÍDO")</f>
        <v>CONCLUÍDO</v>
      </c>
      <c r="R1503" s="36"/>
    </row>
    <row r="1504" spans="1:18" hidden="1">
      <c r="A1504" s="16">
        <v>46153</v>
      </c>
      <c r="B1504" s="16">
        <v>46155</v>
      </c>
      <c r="C1504" s="21">
        <v>35005016</v>
      </c>
      <c r="D1504" s="16" t="str">
        <f>IFERROR(VLOOKUP(Tabela5[[#This Row],[PREFIXO ]],Tabela4[#All],2,0),"CENTRO DE CUSTO")</f>
        <v>PULV AUTOPROP JACTO UNIPORT 3030</v>
      </c>
      <c r="E1504" s="18" t="s">
        <v>49</v>
      </c>
      <c r="F1504" s="21" t="s">
        <v>3463</v>
      </c>
      <c r="G1504" s="22">
        <v>5250</v>
      </c>
      <c r="H1504" s="22"/>
      <c r="I1504" s="22">
        <f t="shared" si="24"/>
        <v>5250</v>
      </c>
      <c r="J1504" s="18" t="s">
        <v>1265</v>
      </c>
      <c r="K1504" s="18">
        <v>9859849</v>
      </c>
      <c r="L1504" s="18">
        <v>928305</v>
      </c>
      <c r="M1504" s="18" t="s">
        <v>3459</v>
      </c>
      <c r="N1504" s="16" t="s">
        <v>2544</v>
      </c>
      <c r="O1504" s="18" t="s">
        <v>3460</v>
      </c>
      <c r="P1504" s="18" t="s">
        <v>2544</v>
      </c>
      <c r="Q1504" s="29" t="str" cm="1">
        <f t="array" ref="Q1504">_xlfn.IFS(
A1504="","",
AND(A1504&lt;&gt;"",B1504=""),"FALTA LANÇAMENTO",
AND(B1504&lt;&gt;"",M1504=""),"FALTA O PEDIDO",
AND(M1504&lt;&gt;"",O1504=""),"FALTA NF",
O1504&lt;&gt;"","CONCLUÍDO")</f>
        <v>CONCLUÍDO</v>
      </c>
      <c r="R1504" s="36"/>
    </row>
    <row r="1505" spans="1:18" hidden="1">
      <c r="A1505" s="16">
        <v>46153</v>
      </c>
      <c r="B1505" s="16">
        <v>46154</v>
      </c>
      <c r="C1505" s="21">
        <v>31521025</v>
      </c>
      <c r="D1505" s="16" t="str">
        <f>IFERROR(VLOOKUP(Tabela5[[#This Row],[PREFIXO ]],Tabela4[#All],2,0),"CENTRO DE CUSTO")</f>
        <v>PULV AUTOPROP JACTO UNIPORT 3030</v>
      </c>
      <c r="E1505" s="18" t="s">
        <v>49</v>
      </c>
      <c r="F1505" s="21" t="s">
        <v>3464</v>
      </c>
      <c r="G1505" s="22">
        <v>5250</v>
      </c>
      <c r="H1505" s="22"/>
      <c r="I1505" s="22">
        <f t="shared" si="24"/>
        <v>5250</v>
      </c>
      <c r="J1505" s="18" t="s">
        <v>1080</v>
      </c>
      <c r="K1505" s="18">
        <v>9859765</v>
      </c>
      <c r="L1505" s="18">
        <v>928264</v>
      </c>
      <c r="M1505" s="18" t="s">
        <v>3461</v>
      </c>
      <c r="N1505" s="16" t="s">
        <v>2544</v>
      </c>
      <c r="O1505" s="18" t="s">
        <v>3462</v>
      </c>
      <c r="P1505" s="18" t="s">
        <v>2544</v>
      </c>
      <c r="Q1505" s="29" t="str" cm="1">
        <f t="array" ref="Q1505">_xlfn.IFS(
A1505="","",
AND(A1505&lt;&gt;"",B1505=""),"FALTA LANÇAMENTO",
AND(B1505&lt;&gt;"",M1505=""),"FALTA O PEDIDO",
AND(M1505&lt;&gt;"",O1505=""),"FALTA NF",
O1505&lt;&gt;"","CONCLUÍDO")</f>
        <v>CONCLUÍDO</v>
      </c>
      <c r="R1505" s="36"/>
    </row>
    <row r="1506" spans="1:18" hidden="1">
      <c r="A1506" s="16">
        <v>46153</v>
      </c>
      <c r="B1506" s="16">
        <v>46154</v>
      </c>
      <c r="C1506" s="21">
        <v>31521016</v>
      </c>
      <c r="D1506" s="16" t="str">
        <f>IFERROR(VLOOKUP(Tabela5[[#This Row],[PREFIXO ]],Tabela4[#All],2,0),"CENTRO DE CUSTO")</f>
        <v>PULV AUTOPROP JACTO UNIPORT 3030</v>
      </c>
      <c r="E1506" s="18" t="s">
        <v>49</v>
      </c>
      <c r="F1506" s="21" t="s">
        <v>3465</v>
      </c>
      <c r="G1506" s="22">
        <v>2750</v>
      </c>
      <c r="H1506" s="22"/>
      <c r="I1506" s="22">
        <f t="shared" si="24"/>
        <v>2750</v>
      </c>
      <c r="J1506" s="18" t="s">
        <v>1080</v>
      </c>
      <c r="K1506" s="18">
        <v>9859768</v>
      </c>
      <c r="L1506" s="18">
        <v>928264</v>
      </c>
      <c r="M1506" s="18" t="s">
        <v>3461</v>
      </c>
      <c r="N1506" s="16" t="s">
        <v>2544</v>
      </c>
      <c r="O1506" s="18" t="s">
        <v>3462</v>
      </c>
      <c r="P1506" s="18" t="s">
        <v>2544</v>
      </c>
      <c r="Q1506" s="29" t="str" cm="1">
        <f t="array" ref="Q1506">_xlfn.IFS(
A1506="","",
AND(A1506&lt;&gt;"",B1506=""),"FALTA LANÇAMENTO",
AND(B1506&lt;&gt;"",M1506=""),"FALTA O PEDIDO",
AND(M1506&lt;&gt;"",O1506=""),"FALTA NF",
O1506&lt;&gt;"","CONCLUÍDO")</f>
        <v>CONCLUÍDO</v>
      </c>
      <c r="R1506" s="36"/>
    </row>
    <row r="1507" spans="1:18" hidden="1">
      <c r="A1507" s="16">
        <v>46153</v>
      </c>
      <c r="B1507" s="16">
        <v>46153</v>
      </c>
      <c r="C1507" s="21">
        <v>61521074</v>
      </c>
      <c r="D1507" s="16" t="str">
        <f>IFERROR(VLOOKUP(Tabela5[[#This Row],[PREFIXO ]],Tabela4[#All],2,0),"CENTRO DE CUSTO")</f>
        <v>CAV MEC PES VOLVO VM 220</v>
      </c>
      <c r="E1507" s="18" t="s">
        <v>49</v>
      </c>
      <c r="F1507" s="21" t="s">
        <v>3466</v>
      </c>
      <c r="G1507" s="22">
        <v>950</v>
      </c>
      <c r="H1507" s="22"/>
      <c r="I1507" s="22">
        <f t="shared" si="24"/>
        <v>950</v>
      </c>
      <c r="J1507" s="18" t="s">
        <v>1080</v>
      </c>
      <c r="K1507" s="18">
        <v>9859736</v>
      </c>
      <c r="L1507" s="18">
        <v>927095</v>
      </c>
      <c r="M1507" s="18" t="s">
        <v>3467</v>
      </c>
      <c r="N1507" s="16" t="s">
        <v>3031</v>
      </c>
      <c r="O1507" s="18" t="s">
        <v>3468</v>
      </c>
      <c r="P1507" s="18" t="s">
        <v>3031</v>
      </c>
      <c r="Q1507" s="29" t="str" cm="1">
        <f t="array" ref="Q1507">_xlfn.IFS(
A1507="","",
AND(A1507&lt;&gt;"",B1507=""),"FALTA LANÇAMENTO",
AND(B1507&lt;&gt;"",M1507=""),"FALTA O PEDIDO",
AND(M1507&lt;&gt;"",O1507=""),"FALTA NF",
O1507&lt;&gt;"","CONCLUÍDO")</f>
        <v>CONCLUÍDO</v>
      </c>
      <c r="R1507" s="36"/>
    </row>
    <row r="1508" spans="1:18" hidden="1">
      <c r="A1508" s="16">
        <v>46153</v>
      </c>
      <c r="B1508" s="16">
        <v>46153</v>
      </c>
      <c r="C1508" s="21">
        <v>13150004</v>
      </c>
      <c r="D1508" s="16" t="str">
        <f>IFERROR(VLOOKUP(Tabela5[[#This Row],[PREFIXO ]],Tabela4[#All],2,0),"CENTRO DE CUSTO")</f>
        <v>ADUB AUTOPROP JACTO UNIPORT 8030NPK</v>
      </c>
      <c r="E1508" s="18" t="s">
        <v>49</v>
      </c>
      <c r="F1508" s="21" t="s">
        <v>3469</v>
      </c>
      <c r="G1508" s="22">
        <v>870</v>
      </c>
      <c r="H1508" s="22"/>
      <c r="I1508" s="22">
        <f t="shared" si="24"/>
        <v>870</v>
      </c>
      <c r="J1508" s="18" t="s">
        <v>1080</v>
      </c>
      <c r="K1508" s="18">
        <v>9859739</v>
      </c>
      <c r="L1508" s="18">
        <v>927095</v>
      </c>
      <c r="M1508" s="18" t="s">
        <v>3467</v>
      </c>
      <c r="N1508" s="16" t="s">
        <v>3031</v>
      </c>
      <c r="O1508" s="18" t="s">
        <v>3468</v>
      </c>
      <c r="P1508" s="18" t="s">
        <v>3031</v>
      </c>
      <c r="Q1508" s="29" t="str" cm="1">
        <f t="array" ref="Q1508">_xlfn.IFS(
A1508="","",
AND(A1508&lt;&gt;"",B1508=""),"FALTA LANÇAMENTO",
AND(B1508&lt;&gt;"",M1508=""),"FALTA O PEDIDO",
AND(M1508&lt;&gt;"",O1508=""),"FALTA NF",
O1508&lt;&gt;"","CONCLUÍDO")</f>
        <v>CONCLUÍDO</v>
      </c>
      <c r="R1508" s="36"/>
    </row>
    <row r="1509" spans="1:18" hidden="1">
      <c r="A1509" s="16">
        <v>46153</v>
      </c>
      <c r="B1509" s="16">
        <v>46153</v>
      </c>
      <c r="C1509" s="21">
        <v>31521014</v>
      </c>
      <c r="D1509" s="16" t="str">
        <f>IFERROR(VLOOKUP(Tabela5[[#This Row],[PREFIXO ]],Tabela4[#All],2,0),"CENTRO DE CUSTO")</f>
        <v>PULV AUTOPROP JACTO UNIPORT 3030</v>
      </c>
      <c r="E1509" s="18" t="s">
        <v>49</v>
      </c>
      <c r="F1509" s="21" t="s">
        <v>3172</v>
      </c>
      <c r="G1509" s="22">
        <v>850</v>
      </c>
      <c r="H1509" s="22"/>
      <c r="I1509" s="22">
        <f t="shared" si="24"/>
        <v>850</v>
      </c>
      <c r="J1509" s="18" t="s">
        <v>1080</v>
      </c>
      <c r="K1509" s="18">
        <v>9859734</v>
      </c>
      <c r="L1509" s="18">
        <v>927095</v>
      </c>
      <c r="M1509" s="18" t="s">
        <v>3467</v>
      </c>
      <c r="N1509" s="16" t="s">
        <v>3031</v>
      </c>
      <c r="O1509" s="18" t="s">
        <v>3468</v>
      </c>
      <c r="P1509" s="18" t="s">
        <v>3031</v>
      </c>
      <c r="Q1509" s="29" t="str" cm="1">
        <f t="array" ref="Q1509">_xlfn.IFS(
A1509="","",
AND(A1509&lt;&gt;"",B1509=""),"FALTA LANÇAMENTO",
AND(B1509&lt;&gt;"",M1509=""),"FALTA O PEDIDO",
AND(M1509&lt;&gt;"",O1509=""),"FALTA NF",
O1509&lt;&gt;"","CONCLUÍDO")</f>
        <v>CONCLUÍDO</v>
      </c>
      <c r="R1509" s="36"/>
    </row>
    <row r="1510" spans="1:18" hidden="1">
      <c r="A1510" s="16">
        <v>46153</v>
      </c>
      <c r="B1510" s="16">
        <v>46153</v>
      </c>
      <c r="C1510" s="21">
        <v>31521046</v>
      </c>
      <c r="D1510" s="16" t="str">
        <f>IFERROR(VLOOKUP(Tabela5[[#This Row],[PREFIXO ]],Tabela4[#All],2,0),"CENTRO DE CUSTO")</f>
        <v>PULV AUTOPROP JACTO UNIPORT 3030</v>
      </c>
      <c r="E1510" s="18" t="s">
        <v>49</v>
      </c>
      <c r="F1510" s="21" t="s">
        <v>2820</v>
      </c>
      <c r="G1510" s="22">
        <v>824.8</v>
      </c>
      <c r="H1510" s="22"/>
      <c r="I1510" s="22">
        <f t="shared" si="24"/>
        <v>824.8</v>
      </c>
      <c r="J1510" s="18" t="s">
        <v>1080</v>
      </c>
      <c r="K1510" s="18">
        <v>9859733</v>
      </c>
      <c r="L1510" s="18">
        <v>927095</v>
      </c>
      <c r="M1510" s="18" t="s">
        <v>3467</v>
      </c>
      <c r="N1510" s="16" t="s">
        <v>3031</v>
      </c>
      <c r="O1510" s="18" t="s">
        <v>3468</v>
      </c>
      <c r="P1510" s="18" t="s">
        <v>3031</v>
      </c>
      <c r="Q1510" s="29" t="str" cm="1">
        <f t="array" ref="Q1510">_xlfn.IFS(
A1510="","",
AND(A1510&lt;&gt;"",B1510=""),"FALTA LANÇAMENTO",
AND(B1510&lt;&gt;"",M1510=""),"FALTA O PEDIDO",
AND(M1510&lt;&gt;"",O1510=""),"FALTA NF",
O1510&lt;&gt;"","CONCLUÍDO")</f>
        <v>CONCLUÍDO</v>
      </c>
      <c r="R1510" s="36"/>
    </row>
    <row r="1511" spans="1:18" hidden="1">
      <c r="A1511" s="16">
        <v>46153</v>
      </c>
      <c r="B1511" s="16">
        <v>46153</v>
      </c>
      <c r="C1511" s="21">
        <v>13130044</v>
      </c>
      <c r="D1511" s="16" t="str">
        <f>IFERROR(VLOOKUP(Tabela5[[#This Row],[PREFIXO ]],Tabela4[#All],2,0),"CENTRO DE CUSTO")</f>
        <v>PULV AUTOPROP JOHN DEERE M4030</v>
      </c>
      <c r="E1511" s="18" t="s">
        <v>49</v>
      </c>
      <c r="F1511" s="21" t="s">
        <v>3470</v>
      </c>
      <c r="G1511" s="22">
        <v>529.20000000000005</v>
      </c>
      <c r="H1511" s="22"/>
      <c r="I1511" s="22">
        <f t="shared" si="24"/>
        <v>529.20000000000005</v>
      </c>
      <c r="J1511" s="18" t="s">
        <v>1080</v>
      </c>
      <c r="K1511" s="18">
        <v>9859738</v>
      </c>
      <c r="L1511" s="18">
        <v>927095</v>
      </c>
      <c r="M1511" s="18" t="s">
        <v>3467</v>
      </c>
      <c r="N1511" s="16" t="s">
        <v>3031</v>
      </c>
      <c r="O1511" s="18" t="s">
        <v>3468</v>
      </c>
      <c r="P1511" s="18" t="s">
        <v>3031</v>
      </c>
      <c r="Q1511" s="29" t="str" cm="1">
        <f t="array" ref="Q1511">_xlfn.IFS(
A1511="","",
AND(A1511&lt;&gt;"",B1511=""),"FALTA LANÇAMENTO",
AND(B1511&lt;&gt;"",M1511=""),"FALTA O PEDIDO",
AND(M1511&lt;&gt;"",O1511=""),"FALTA NF",
O1511&lt;&gt;"","CONCLUÍDO")</f>
        <v>CONCLUÍDO</v>
      </c>
      <c r="R1511" s="36"/>
    </row>
    <row r="1512" spans="1:18" hidden="1">
      <c r="A1512" s="16">
        <v>46153</v>
      </c>
      <c r="B1512" s="16">
        <v>46153</v>
      </c>
      <c r="C1512" s="21">
        <v>31521031</v>
      </c>
      <c r="D1512" s="16" t="str">
        <f>IFERROR(VLOOKUP(Tabela5[[#This Row],[PREFIXO ]],Tabela4[#All],2,0),"CENTRO DE CUSTO")</f>
        <v>PULV AUTOPROP JACTO UNIPORT 3030</v>
      </c>
      <c r="E1512" s="18" t="s">
        <v>49</v>
      </c>
      <c r="F1512" s="21" t="s">
        <v>3471</v>
      </c>
      <c r="G1512" s="22">
        <v>450</v>
      </c>
      <c r="H1512" s="22"/>
      <c r="I1512" s="22">
        <f t="shared" si="24"/>
        <v>450</v>
      </c>
      <c r="J1512" s="18" t="s">
        <v>1080</v>
      </c>
      <c r="K1512" s="18">
        <v>9859760</v>
      </c>
      <c r="L1512" s="18">
        <v>927095</v>
      </c>
      <c r="M1512" s="18" t="s">
        <v>3467</v>
      </c>
      <c r="N1512" s="16" t="s">
        <v>3031</v>
      </c>
      <c r="O1512" s="18" t="s">
        <v>3468</v>
      </c>
      <c r="P1512" s="18" t="s">
        <v>3031</v>
      </c>
      <c r="Q1512" s="29" t="str" cm="1">
        <f t="array" ref="Q1512">_xlfn.IFS(
A1512="","",
AND(A1512&lt;&gt;"",B1512=""),"FALTA LANÇAMENTO",
AND(B1512&lt;&gt;"",M1512=""),"FALTA O PEDIDO",
AND(M1512&lt;&gt;"",O1512=""),"FALTA NF",
O1512&lt;&gt;"","CONCLUÍDO")</f>
        <v>CONCLUÍDO</v>
      </c>
      <c r="R1512" s="36"/>
    </row>
    <row r="1513" spans="1:18" hidden="1">
      <c r="A1513" s="16">
        <v>46153</v>
      </c>
      <c r="B1513" s="16">
        <v>46153</v>
      </c>
      <c r="C1513" s="21">
        <v>13150026</v>
      </c>
      <c r="D1513" s="16" t="str">
        <f>IFERROR(VLOOKUP(Tabela5[[#This Row],[PREFIXO ]],Tabela4[#All],2,0),"CENTRO DE CUSTO")</f>
        <v>CENTRO DE CUSTO</v>
      </c>
      <c r="E1513" s="18" t="s">
        <v>49</v>
      </c>
      <c r="F1513" s="21" t="s">
        <v>3472</v>
      </c>
      <c r="G1513" s="22">
        <v>373.2</v>
      </c>
      <c r="H1513" s="22"/>
      <c r="I1513" s="22">
        <f t="shared" si="24"/>
        <v>373.2</v>
      </c>
      <c r="J1513" s="18" t="s">
        <v>1080</v>
      </c>
      <c r="K1513" s="18">
        <v>9859732</v>
      </c>
      <c r="L1513" s="18">
        <v>927095</v>
      </c>
      <c r="M1513" s="18" t="s">
        <v>3467</v>
      </c>
      <c r="N1513" s="16" t="s">
        <v>3031</v>
      </c>
      <c r="O1513" s="18" t="s">
        <v>3468</v>
      </c>
      <c r="P1513" s="18" t="s">
        <v>3031</v>
      </c>
      <c r="Q1513" s="29" t="str" cm="1">
        <f t="array" ref="Q1513">_xlfn.IFS(
A1513="","",
AND(A1513&lt;&gt;"",B1513=""),"FALTA LANÇAMENTO",
AND(B1513&lt;&gt;"",M1513=""),"FALTA O PEDIDO",
AND(M1513&lt;&gt;"",O1513=""),"FALTA NF",
O1513&lt;&gt;"","CONCLUÍDO")</f>
        <v>CONCLUÍDO</v>
      </c>
      <c r="R1513" s="36"/>
    </row>
    <row r="1514" spans="1:18" hidden="1">
      <c r="A1514" s="16">
        <v>46153</v>
      </c>
      <c r="B1514" s="16">
        <v>46155</v>
      </c>
      <c r="C1514" s="21">
        <v>500580349</v>
      </c>
      <c r="D1514" s="16" t="str">
        <f>IFERROR(VLOOKUP(Tabela5[[#This Row],[PREFIXO ]],Tabela4[#All],2,0),"CENTRO DE CUSTO")</f>
        <v>ADUBADORES AUTOPROPE</v>
      </c>
      <c r="E1514" s="18" t="s">
        <v>51</v>
      </c>
      <c r="F1514" s="21">
        <v>341</v>
      </c>
      <c r="G1514" s="22">
        <v>30000</v>
      </c>
      <c r="H1514" s="22"/>
      <c r="I1514" s="22">
        <f t="shared" si="24"/>
        <v>30000</v>
      </c>
      <c r="J1514" s="18" t="s">
        <v>1265</v>
      </c>
      <c r="K1514" s="18">
        <v>5020760</v>
      </c>
      <c r="L1514" s="18">
        <v>928387</v>
      </c>
      <c r="M1514" s="18" t="s">
        <v>3473</v>
      </c>
      <c r="N1514" s="16" t="s">
        <v>2684</v>
      </c>
      <c r="O1514" s="18" t="s">
        <v>1310</v>
      </c>
      <c r="P1514" s="18" t="s">
        <v>2684</v>
      </c>
      <c r="Q1514" s="29" t="str" cm="1">
        <f t="array" ref="Q1514">_xlfn.IFS(
A1514="","",
AND(A1514&lt;&gt;"",B1514=""),"FALTA LANÇAMENTO",
AND(B1514&lt;&gt;"",M1514=""),"FALTA O PEDIDO",
AND(M1514&lt;&gt;"",O1514=""),"FALTA NF",
O1514&lt;&gt;"","CONCLUÍDO")</f>
        <v>CONCLUÍDO</v>
      </c>
      <c r="R1514" s="36"/>
    </row>
    <row r="1515" spans="1:18" hidden="1">
      <c r="A1515" s="16">
        <v>46153</v>
      </c>
      <c r="B1515" s="16">
        <v>46153</v>
      </c>
      <c r="C1515" s="21">
        <v>13050020</v>
      </c>
      <c r="D1515" s="16" t="str">
        <f>IFERROR(VLOOKUP(Tabela5[[#This Row],[PREFIXO ]],Tabela4[#All],2,0),"CENTRO DE CUSTO")</f>
        <v>PA CARREGADEIRA JOHN DEERE 524 K II</v>
      </c>
      <c r="E1515" s="18" t="s">
        <v>369</v>
      </c>
      <c r="F1515" s="21" t="s">
        <v>3474</v>
      </c>
      <c r="G1515" s="22">
        <v>205000</v>
      </c>
      <c r="H1515" s="22"/>
      <c r="I1515" s="22">
        <f t="shared" si="24"/>
        <v>205000</v>
      </c>
      <c r="J1515" s="18" t="s">
        <v>3475</v>
      </c>
      <c r="K1515" s="18" t="s">
        <v>3476</v>
      </c>
      <c r="L1515" s="18">
        <v>927334</v>
      </c>
      <c r="M1515" s="18" t="s">
        <v>3477</v>
      </c>
      <c r="N1515" s="16" t="s">
        <v>3031</v>
      </c>
      <c r="O1515" s="18" t="s">
        <v>1301</v>
      </c>
      <c r="P1515" s="18" t="s">
        <v>3415</v>
      </c>
      <c r="Q1515" s="29" t="str" cm="1">
        <f t="array" ref="Q1515">_xlfn.IFS(
A1515="","",
AND(A1515&lt;&gt;"",B1515=""),"FALTA LANÇAMENTO",
AND(B1515&lt;&gt;"",M1515=""),"FALTA O PEDIDO",
AND(M1515&lt;&gt;"",O1515=""),"FALTA NF",
O1515&lt;&gt;"","CONCLUÍDO")</f>
        <v>CONCLUÍDO</v>
      </c>
      <c r="R1515" s="36"/>
    </row>
    <row r="1516" spans="1:18" hidden="1">
      <c r="A1516" s="16">
        <v>46153</v>
      </c>
      <c r="B1516" s="16">
        <v>46155</v>
      </c>
      <c r="C1516" s="21">
        <v>12070008</v>
      </c>
      <c r="D1516" s="16" t="str">
        <f>IFERROR(VLOOKUP(Tabela5[[#This Row],[PREFIXO ]],Tabela4[#All],2,0),"CENTRO DE CUSTO")</f>
        <v>VAN MICROBUS FORD TRANSIT 410 B AUT</v>
      </c>
      <c r="E1516" s="18" t="s">
        <v>90</v>
      </c>
      <c r="F1516" s="21">
        <v>264</v>
      </c>
      <c r="G1516" s="22">
        <v>420</v>
      </c>
      <c r="H1516" s="22"/>
      <c r="I1516" s="22">
        <f t="shared" si="24"/>
        <v>420</v>
      </c>
      <c r="J1516" s="18" t="s">
        <v>1085</v>
      </c>
      <c r="K1516" s="18">
        <v>9861814</v>
      </c>
      <c r="L1516" s="18" t="s">
        <v>3478</v>
      </c>
      <c r="M1516" s="18" t="s">
        <v>3479</v>
      </c>
      <c r="N1516" s="16">
        <v>46155</v>
      </c>
      <c r="O1516" s="18" t="s">
        <v>3480</v>
      </c>
      <c r="P1516" s="18" t="s">
        <v>3280</v>
      </c>
      <c r="Q1516" s="29" t="str" cm="1">
        <f t="array" ref="Q1516">_xlfn.IFS(
A1516="","",
AND(A1516&lt;&gt;"",B1516=""),"FALTA LANÇAMENTO",
AND(B1516&lt;&gt;"",M1516=""),"FALTA O PEDIDO",
AND(M1516&lt;&gt;"",O1516=""),"FALTA NF",
O1516&lt;&gt;"","CONCLUÍDO")</f>
        <v>CONCLUÍDO</v>
      </c>
      <c r="R1516" s="36"/>
    </row>
    <row r="1517" spans="1:18" hidden="1">
      <c r="A1517" s="16">
        <v>46153</v>
      </c>
      <c r="B1517" s="16">
        <v>46153</v>
      </c>
      <c r="C1517" s="21">
        <v>8181121</v>
      </c>
      <c r="D1517" s="16" t="str">
        <f>IFERROR(VLOOKUP(Tabela5[[#This Row],[PREFIXO ]],Tabela4[#All],2,0),"CENTRO DE CUSTO")</f>
        <v>SULCADOR POWER 4,5 540RPM</v>
      </c>
      <c r="E1517" s="18" t="s">
        <v>96</v>
      </c>
      <c r="F1517" s="21" t="s">
        <v>3481</v>
      </c>
      <c r="G1517" s="22">
        <v>200</v>
      </c>
      <c r="H1517" s="22">
        <v>1500</v>
      </c>
      <c r="I1517" s="22">
        <f t="shared" si="24"/>
        <v>1700</v>
      </c>
      <c r="J1517" s="18" t="s">
        <v>1199</v>
      </c>
      <c r="K1517" s="18" t="s">
        <v>3482</v>
      </c>
      <c r="L1517" s="18">
        <v>927355</v>
      </c>
      <c r="M1517" s="18" t="s">
        <v>3483</v>
      </c>
      <c r="N1517" s="16" t="s">
        <v>3246</v>
      </c>
      <c r="O1517" s="18" t="s">
        <v>3484</v>
      </c>
      <c r="P1517" s="18" t="s">
        <v>3485</v>
      </c>
      <c r="Q1517" s="29" t="str" cm="1">
        <f t="array" ref="Q1517">_xlfn.IFS(
A1517="","",
AND(A1517&lt;&gt;"",B1517=""),"FALTA LANÇAMENTO",
AND(B1517&lt;&gt;"",M1517=""),"FALTA O PEDIDO",
AND(M1517&lt;&gt;"",O1517=""),"FALTA NF",
O1517&lt;&gt;"","CONCLUÍDO")</f>
        <v>CONCLUÍDO</v>
      </c>
      <c r="R1517" s="36"/>
    </row>
    <row r="1518" spans="1:18" hidden="1">
      <c r="A1518" s="16">
        <v>46153</v>
      </c>
      <c r="B1518" s="16">
        <v>46155</v>
      </c>
      <c r="C1518" s="21">
        <v>1732414</v>
      </c>
      <c r="D1518" s="16" t="str">
        <f>IFERROR(VLOOKUP(Tabela5[[#This Row],[PREFIXO ]],Tabela4[#All],2,0),"CENTRO DE CUSTO")</f>
        <v>MOTONIVELADORA JOHN DEERE 770 G</v>
      </c>
      <c r="E1518" s="18" t="s">
        <v>340</v>
      </c>
      <c r="F1518" s="21">
        <v>652</v>
      </c>
      <c r="G1518" s="22">
        <v>1780</v>
      </c>
      <c r="H1518" s="22"/>
      <c r="I1518" s="22">
        <f t="shared" si="24"/>
        <v>1780</v>
      </c>
      <c r="J1518" s="18" t="s">
        <v>1265</v>
      </c>
      <c r="K1518" s="18">
        <v>9859907</v>
      </c>
      <c r="L1518" s="18">
        <v>928371</v>
      </c>
      <c r="M1518" s="18" t="s">
        <v>3486</v>
      </c>
      <c r="N1518" s="16" t="s">
        <v>2544</v>
      </c>
      <c r="O1518" s="18" t="s">
        <v>3487</v>
      </c>
      <c r="P1518" s="18" t="s">
        <v>3048</v>
      </c>
      <c r="Q1518" s="29" t="str" cm="1">
        <f t="array" ref="Q1518">_xlfn.IFS(
A1518="","",
AND(A1518&lt;&gt;"",B1518=""),"FALTA LANÇAMENTO",
AND(B1518&lt;&gt;"",M1518=""),"FALTA O PEDIDO",
AND(M1518&lt;&gt;"",O1518=""),"FALTA NF",
O1518&lt;&gt;"","CONCLUÍDO")</f>
        <v>CONCLUÍDO</v>
      </c>
      <c r="R1518" s="36"/>
    </row>
    <row r="1519" spans="1:18" hidden="1">
      <c r="A1519" s="16">
        <v>46153</v>
      </c>
      <c r="B1519" s="16">
        <v>46155</v>
      </c>
      <c r="C1519" s="21">
        <v>41521069</v>
      </c>
      <c r="D1519" s="16" t="str">
        <f>IFERROR(VLOOKUP(Tabela5[[#This Row],[PREFIXO ]],Tabela4[#All],2,0),"CENTRO DE CUSTO")</f>
        <v>MICROONIBUS SPRINTER 417 CDI K42B</v>
      </c>
      <c r="E1519" s="18" t="s">
        <v>124</v>
      </c>
      <c r="F1519" s="21">
        <v>564</v>
      </c>
      <c r="G1519" s="22">
        <v>3385</v>
      </c>
      <c r="H1519" s="22">
        <v>7527.14</v>
      </c>
      <c r="I1519" s="22">
        <f t="shared" si="24"/>
        <v>10912.14</v>
      </c>
      <c r="J1519" s="18" t="s">
        <v>1085</v>
      </c>
      <c r="K1519" s="18">
        <v>9859911</v>
      </c>
      <c r="L1519" s="18">
        <v>928370</v>
      </c>
      <c r="M1519" s="18" t="s">
        <v>3488</v>
      </c>
      <c r="N1519" s="16" t="s">
        <v>2544</v>
      </c>
      <c r="O1519" s="18" t="s">
        <v>3489</v>
      </c>
      <c r="P1519" s="18" t="s">
        <v>3422</v>
      </c>
      <c r="Q1519" s="29" t="str" cm="1">
        <f t="array" ref="Q1519">_xlfn.IFS(
A1519="","",
AND(A1519&lt;&gt;"",B1519=""),"FALTA LANÇAMENTO",
AND(B1519&lt;&gt;"",M1519=""),"FALTA O PEDIDO",
AND(M1519&lt;&gt;"",O1519=""),"FALTA NF",
O1519&lt;&gt;"","CONCLUÍDO")</f>
        <v>CONCLUÍDO</v>
      </c>
      <c r="R1519" s="36"/>
    </row>
    <row r="1520" spans="1:18" hidden="1">
      <c r="A1520" s="16">
        <v>46153</v>
      </c>
      <c r="B1520" s="16">
        <v>46155</v>
      </c>
      <c r="C1520" s="21">
        <v>11040023</v>
      </c>
      <c r="D1520" s="16" t="str">
        <f>IFERROR(VLOOKUP(Tabela5[[#This Row],[PREFIXO ]],Tabela4[#All],2,0),"CENTRO DE CUSTO")</f>
        <v>CAV MEC EXT PES SCANIA R500</v>
      </c>
      <c r="E1520" s="18" t="s">
        <v>124</v>
      </c>
      <c r="F1520" s="21">
        <v>565</v>
      </c>
      <c r="G1520" s="22">
        <v>2270.4</v>
      </c>
      <c r="H1520" s="22"/>
      <c r="I1520" s="22">
        <f t="shared" si="24"/>
        <v>2270.4</v>
      </c>
      <c r="J1520" s="18" t="s">
        <v>1085</v>
      </c>
      <c r="K1520" s="18">
        <v>9860356</v>
      </c>
      <c r="L1520" s="18">
        <v>928392</v>
      </c>
      <c r="M1520" s="18" t="s">
        <v>3490</v>
      </c>
      <c r="N1520" s="16" t="s">
        <v>2544</v>
      </c>
      <c r="O1520" s="18" t="s">
        <v>3491</v>
      </c>
      <c r="P1520" s="18" t="s">
        <v>2544</v>
      </c>
      <c r="Q1520" s="29" t="str" cm="1">
        <f t="array" ref="Q1520">_xlfn.IFS(
A1520="","",
AND(A1520&lt;&gt;"",B1520=""),"FALTA LANÇAMENTO",
AND(B1520&lt;&gt;"",M1520=""),"FALTA O PEDIDO",
AND(M1520&lt;&gt;"",O1520=""),"FALTA NF",
O1520&lt;&gt;"","CONCLUÍDO")</f>
        <v>CONCLUÍDO</v>
      </c>
      <c r="R1520" s="36"/>
    </row>
    <row r="1521" spans="1:18" hidden="1">
      <c r="A1521" s="16">
        <v>46153</v>
      </c>
      <c r="B1521" s="16">
        <v>46155</v>
      </c>
      <c r="C1521" s="21">
        <v>61521107</v>
      </c>
      <c r="D1521" s="16" t="str">
        <f>IFERROR(VLOOKUP(Tabela5[[#This Row],[PREFIXO ]],Tabela4[#All],2,0),"CENTRO DE CUSTO")</f>
        <v>CAMINHAO COMBOIO MB AXOR 3131</v>
      </c>
      <c r="E1521" s="18" t="s">
        <v>371</v>
      </c>
      <c r="F1521" s="21">
        <v>61521107</v>
      </c>
      <c r="G1521" s="22">
        <v>18592</v>
      </c>
      <c r="H1521" s="22"/>
      <c r="I1521" s="22">
        <f t="shared" si="24"/>
        <v>18592</v>
      </c>
      <c r="J1521" s="18" t="s">
        <v>3492</v>
      </c>
      <c r="K1521" s="18">
        <v>9860423</v>
      </c>
      <c r="L1521" s="18">
        <v>931764</v>
      </c>
      <c r="M1521" s="18" t="s">
        <v>3493</v>
      </c>
      <c r="N1521" s="16" t="s">
        <v>2684</v>
      </c>
      <c r="O1521" s="18" t="s">
        <v>2747</v>
      </c>
      <c r="P1521" s="18" t="s">
        <v>3440</v>
      </c>
      <c r="Q1521" s="29" t="str" cm="1">
        <f t="array" ref="Q1521">_xlfn.IFS(
A1521="","",
AND(A1521&lt;&gt;"",B1521=""),"FALTA LANÇAMENTO",
AND(B1521&lt;&gt;"",M1521=""),"FALTA O PEDIDO",
AND(M1521&lt;&gt;"",O1521=""),"FALTA NF",
O1521&lt;&gt;"","CONCLUÍDO")</f>
        <v>CONCLUÍDO</v>
      </c>
      <c r="R1521" s="36"/>
    </row>
    <row r="1522" spans="1:18" hidden="1">
      <c r="A1522" s="16">
        <v>46153</v>
      </c>
      <c r="B1522" s="16">
        <v>46154</v>
      </c>
      <c r="C1522" s="21">
        <v>51521056</v>
      </c>
      <c r="D1522" s="16" t="str">
        <f>IFERROR(VLOOKUP(Tabela5[[#This Row],[PREFIXO ]],Tabela4[#All],2,0),"CENTRO DE CUSTO")</f>
        <v>COLHED ALGODÃO JOHN DEERE CP 690</v>
      </c>
      <c r="E1522" s="18" t="s">
        <v>71</v>
      </c>
      <c r="F1522" s="21">
        <v>7776</v>
      </c>
      <c r="G1522" s="22">
        <v>11600</v>
      </c>
      <c r="H1522" s="22">
        <v>3762.8</v>
      </c>
      <c r="I1522" s="22">
        <f t="shared" si="24"/>
        <v>15362.8</v>
      </c>
      <c r="J1522" s="18" t="s">
        <v>1123</v>
      </c>
      <c r="K1522" s="18">
        <v>9859857</v>
      </c>
      <c r="L1522" s="18">
        <v>927795</v>
      </c>
      <c r="M1522" s="18" t="s">
        <v>3494</v>
      </c>
      <c r="N1522" s="16" t="s">
        <v>3495</v>
      </c>
      <c r="O1522" s="18" t="s">
        <v>3496</v>
      </c>
      <c r="P1522" s="18" t="s">
        <v>3497</v>
      </c>
      <c r="Q1522" s="29" t="str" cm="1">
        <f t="array" ref="Q1522">_xlfn.IFS(
A1522="","",
AND(A1522&lt;&gt;"",B1522=""),"FALTA LANÇAMENTO",
AND(B1522&lt;&gt;"",M1522=""),"FALTA O PEDIDO",
AND(M1522&lt;&gt;"",O1522=""),"FALTA NF",
O1522&lt;&gt;"","CONCLUÍDO")</f>
        <v>CONCLUÍDO</v>
      </c>
      <c r="R1522" s="36"/>
    </row>
    <row r="1523" spans="1:18" hidden="1">
      <c r="A1523" s="16">
        <v>46153</v>
      </c>
      <c r="B1523" s="16">
        <v>46154</v>
      </c>
      <c r="C1523" s="21">
        <v>51521065</v>
      </c>
      <c r="D1523" s="16" t="str">
        <f>IFERROR(VLOOKUP(Tabela5[[#This Row],[PREFIXO ]],Tabela4[#All],2,0),"CENTRO DE CUSTO")</f>
        <v>COLHED ALGODÃO JOHN DEERE CP 690</v>
      </c>
      <c r="E1523" s="18" t="s">
        <v>71</v>
      </c>
      <c r="F1523" s="21">
        <v>7761</v>
      </c>
      <c r="G1523" s="22">
        <v>5100</v>
      </c>
      <c r="H1523" s="22">
        <v>10122.25</v>
      </c>
      <c r="I1523" s="22">
        <f t="shared" si="24"/>
        <v>15222.25</v>
      </c>
      <c r="J1523" s="18" t="s">
        <v>1123</v>
      </c>
      <c r="K1523" s="18">
        <v>9859902</v>
      </c>
      <c r="L1523" s="18">
        <v>927513</v>
      </c>
      <c r="M1523" s="18" t="s">
        <v>3498</v>
      </c>
      <c r="N1523" s="16" t="s">
        <v>2684</v>
      </c>
      <c r="O1523" s="18" t="s">
        <v>3499</v>
      </c>
      <c r="P1523" s="18" t="s">
        <v>3438</v>
      </c>
      <c r="Q1523" s="29" t="str" cm="1">
        <f t="array" ref="Q1523">_xlfn.IFS(
A1523="","",
AND(A1523&lt;&gt;"",B1523=""),"FALTA LANÇAMENTO",
AND(B1523&lt;&gt;"",M1523=""),"FALTA O PEDIDO",
AND(M1523&lt;&gt;"",O1523=""),"FALTA NF",
O1523&lt;&gt;"","CONCLUÍDO")</f>
        <v>CONCLUÍDO</v>
      </c>
      <c r="R1523" s="36"/>
    </row>
    <row r="1524" spans="1:18" hidden="1">
      <c r="A1524" s="16">
        <v>46153</v>
      </c>
      <c r="B1524" s="16">
        <v>46153</v>
      </c>
      <c r="C1524" s="21">
        <v>51521066</v>
      </c>
      <c r="D1524" s="16" t="str">
        <f>IFERROR(VLOOKUP(Tabela5[[#This Row],[PREFIXO ]],Tabela4[#All],2,0),"CENTRO DE CUSTO")</f>
        <v>COLHED ALGODÃO JOHN DEERE CP 690</v>
      </c>
      <c r="E1524" s="18" t="s">
        <v>71</v>
      </c>
      <c r="F1524" s="21">
        <v>7778</v>
      </c>
      <c r="G1524" s="22">
        <v>1120</v>
      </c>
      <c r="H1524" s="22"/>
      <c r="I1524" s="22">
        <f t="shared" si="24"/>
        <v>1120</v>
      </c>
      <c r="J1524" s="18" t="s">
        <v>1123</v>
      </c>
      <c r="K1524" s="18">
        <v>9859900</v>
      </c>
      <c r="L1524" s="18">
        <v>927455</v>
      </c>
      <c r="M1524" s="18" t="s">
        <v>3500</v>
      </c>
      <c r="N1524" s="16" t="s">
        <v>3048</v>
      </c>
      <c r="O1524" s="18" t="s">
        <v>3501</v>
      </c>
      <c r="P1524" s="18" t="s">
        <v>3397</v>
      </c>
      <c r="Q1524" s="29" t="str" cm="1">
        <f t="array" ref="Q1524">_xlfn.IFS(
A1524="","",
AND(A1524&lt;&gt;"",B1524=""),"FALTA LANÇAMENTO",
AND(B1524&lt;&gt;"",M1524=""),"FALTA O PEDIDO",
AND(M1524&lt;&gt;"",O1524=""),"FALTA NF",
O1524&lt;&gt;"","CONCLUÍDO")</f>
        <v>CONCLUÍDO</v>
      </c>
      <c r="R1524" s="36"/>
    </row>
    <row r="1525" spans="1:18" hidden="1">
      <c r="A1525" s="16">
        <v>46153</v>
      </c>
      <c r="B1525" s="16">
        <v>46153</v>
      </c>
      <c r="C1525" s="21">
        <v>85014034</v>
      </c>
      <c r="D1525" s="16" t="str">
        <f>IFERROR(VLOOKUP(Tabela5[[#This Row],[PREFIXO ]],Tabela4[#All],2,0),"CENTRO DE CUSTO")</f>
        <v>CENTRO DE CUSTO</v>
      </c>
      <c r="E1525" s="18" t="s">
        <v>71</v>
      </c>
      <c r="F1525" s="21">
        <v>7777</v>
      </c>
      <c r="G1525" s="22">
        <v>560</v>
      </c>
      <c r="H1525" s="22">
        <v>87.79</v>
      </c>
      <c r="I1525" s="22">
        <f t="shared" si="24"/>
        <v>647.79</v>
      </c>
      <c r="J1525" s="18" t="s">
        <v>1199</v>
      </c>
      <c r="K1525" s="18">
        <v>9859854</v>
      </c>
      <c r="L1525" s="18">
        <v>927455</v>
      </c>
      <c r="M1525" s="18" t="s">
        <v>3500</v>
      </c>
      <c r="N1525" s="16" t="s">
        <v>3048</v>
      </c>
      <c r="O1525" s="18" t="s">
        <v>3501</v>
      </c>
      <c r="P1525" s="18" t="s">
        <v>3397</v>
      </c>
      <c r="Q1525" s="29" t="str" cm="1">
        <f t="array" ref="Q1525">_xlfn.IFS(
A1525="","",
AND(A1525&lt;&gt;"",B1525=""),"FALTA LANÇAMENTO",
AND(B1525&lt;&gt;"",M1525=""),"FALTA O PEDIDO",
AND(M1525&lt;&gt;"",O1525=""),"FALTA NF",
O1525&lt;&gt;"","CONCLUÍDO")</f>
        <v>CONCLUÍDO</v>
      </c>
      <c r="R1525" s="36"/>
    </row>
    <row r="1526" spans="1:18" hidden="1">
      <c r="A1526" s="16">
        <v>46153</v>
      </c>
      <c r="B1526" s="16">
        <v>46155</v>
      </c>
      <c r="C1526" s="21">
        <v>500580579</v>
      </c>
      <c r="D1526" s="16" t="str">
        <f>IFERROR(VLOOKUP(Tabela5[[#This Row],[PREFIXO ]],Tabela4[#All],2,0),"CENTRO DE CUSTO")</f>
        <v>Pátio de Vendas</v>
      </c>
      <c r="E1526" s="18" t="s">
        <v>224</v>
      </c>
      <c r="F1526" s="21">
        <v>2668</v>
      </c>
      <c r="G1526" s="22">
        <v>4175</v>
      </c>
      <c r="H1526" s="22"/>
      <c r="I1526" s="22">
        <f t="shared" si="24"/>
        <v>4175</v>
      </c>
      <c r="J1526" s="18" t="s">
        <v>1123</v>
      </c>
      <c r="K1526" s="18">
        <v>5020762</v>
      </c>
      <c r="L1526" s="18" t="s">
        <v>3502</v>
      </c>
      <c r="M1526" s="18" t="s">
        <v>3503</v>
      </c>
      <c r="N1526" s="16">
        <v>46160</v>
      </c>
      <c r="O1526" s="18" t="s">
        <v>3504</v>
      </c>
      <c r="P1526" s="18" t="s">
        <v>3505</v>
      </c>
      <c r="Q1526" s="29" t="str" cm="1">
        <f t="array" ref="Q1526">_xlfn.IFS(
A1526="","",
AND(A1526&lt;&gt;"",B1526=""),"FALTA LANÇAMENTO",
AND(B1526&lt;&gt;"",M1526=""),"FALTA O PEDIDO",
AND(M1526&lt;&gt;"",O1526=""),"FALTA NF",
O1526&lt;&gt;"","CONCLUÍDO")</f>
        <v>CONCLUÍDO</v>
      </c>
      <c r="R1526" s="36"/>
    </row>
    <row r="1527" spans="1:18" hidden="1">
      <c r="A1527" s="16">
        <v>46153</v>
      </c>
      <c r="B1527" s="16">
        <v>46155</v>
      </c>
      <c r="C1527" s="21">
        <v>500580579</v>
      </c>
      <c r="D1527" s="16" t="str">
        <f>IFERROR(VLOOKUP(Tabela5[[#This Row],[PREFIXO ]],Tabela4[#All],2,0),"CENTRO DE CUSTO")</f>
        <v>Pátio de Vendas</v>
      </c>
      <c r="E1527" s="18" t="s">
        <v>224</v>
      </c>
      <c r="F1527" s="21">
        <v>2669</v>
      </c>
      <c r="G1527" s="22">
        <v>2025</v>
      </c>
      <c r="H1527" s="22"/>
      <c r="I1527" s="22">
        <f t="shared" si="24"/>
        <v>2025</v>
      </c>
      <c r="J1527" s="18" t="s">
        <v>1199</v>
      </c>
      <c r="K1527" s="18">
        <v>5020774</v>
      </c>
      <c r="L1527" s="18" t="s">
        <v>3502</v>
      </c>
      <c r="M1527" s="18" t="s">
        <v>3503</v>
      </c>
      <c r="N1527" s="16">
        <v>46160</v>
      </c>
      <c r="O1527" s="18" t="s">
        <v>3504</v>
      </c>
      <c r="P1527" s="18" t="s">
        <v>3505</v>
      </c>
      <c r="Q1527" s="29" t="str" cm="1">
        <f t="array" ref="Q1527">_xlfn.IFS(
A1527="","",
AND(A1527&lt;&gt;"",B1527=""),"FALTA LANÇAMENTO",
AND(B1527&lt;&gt;"",M1527=""),"FALTA O PEDIDO",
AND(M1527&lt;&gt;"",O1527=""),"FALTA NF",
O1527&lt;&gt;"","CONCLUÍDO")</f>
        <v>CONCLUÍDO</v>
      </c>
      <c r="R1527" s="36"/>
    </row>
    <row r="1528" spans="1:18" hidden="1">
      <c r="A1528" s="16">
        <v>46153</v>
      </c>
      <c r="B1528" s="16">
        <v>46155</v>
      </c>
      <c r="C1528" s="21">
        <v>500580579</v>
      </c>
      <c r="D1528" s="16" t="str">
        <f>IFERROR(VLOOKUP(Tabela5[[#This Row],[PREFIXO ]],Tabela4[#All],2,0),"CENTRO DE CUSTO")</f>
        <v>Pátio de Vendas</v>
      </c>
      <c r="E1528" s="18" t="s">
        <v>224</v>
      </c>
      <c r="F1528" s="21">
        <v>2595</v>
      </c>
      <c r="G1528" s="22">
        <v>1650</v>
      </c>
      <c r="H1528" s="22"/>
      <c r="I1528" s="22">
        <f t="shared" si="24"/>
        <v>1650</v>
      </c>
      <c r="J1528" s="18" t="s">
        <v>1123</v>
      </c>
      <c r="K1528" s="18">
        <v>5020761</v>
      </c>
      <c r="L1528" s="18" t="s">
        <v>3502</v>
      </c>
      <c r="M1528" s="18" t="s">
        <v>3503</v>
      </c>
      <c r="N1528" s="16">
        <v>46160</v>
      </c>
      <c r="O1528" s="18" t="s">
        <v>3504</v>
      </c>
      <c r="P1528" s="18" t="s">
        <v>3505</v>
      </c>
      <c r="Q1528" s="29" t="str" cm="1">
        <f t="array" ref="Q1528">_xlfn.IFS(
A1528="","",
AND(A1528&lt;&gt;"",B1528=""),"FALTA LANÇAMENTO",
AND(B1528&lt;&gt;"",M1528=""),"FALTA O PEDIDO",
AND(M1528&lt;&gt;"",O1528=""),"FALTA NF",
O1528&lt;&gt;"","CONCLUÍDO")</f>
        <v>CONCLUÍDO</v>
      </c>
      <c r="R1528" s="36"/>
    </row>
    <row r="1529" spans="1:18" hidden="1">
      <c r="A1529" s="16">
        <v>46153</v>
      </c>
      <c r="B1529" s="16">
        <v>46155</v>
      </c>
      <c r="C1529" s="21">
        <v>13150004</v>
      </c>
      <c r="D1529" s="16" t="str">
        <f>IFERROR(VLOOKUP(Tabela5[[#This Row],[PREFIXO ]],Tabela4[#All],2,0),"CENTRO DE CUSTO")</f>
        <v>ADUB AUTOPROP JACTO UNIPORT 8030NPK</v>
      </c>
      <c r="E1529" s="18" t="s">
        <v>363</v>
      </c>
      <c r="F1529" s="21" t="s">
        <v>3506</v>
      </c>
      <c r="G1529" s="22">
        <v>18000</v>
      </c>
      <c r="H1529" s="22"/>
      <c r="I1529" s="22">
        <f t="shared" si="24"/>
        <v>18000</v>
      </c>
      <c r="J1529" s="18" t="s">
        <v>1265</v>
      </c>
      <c r="K1529" s="18">
        <v>9860523</v>
      </c>
      <c r="L1529" s="18">
        <v>928379</v>
      </c>
      <c r="M1529" s="18" t="s">
        <v>3507</v>
      </c>
      <c r="N1529" s="16" t="s">
        <v>2544</v>
      </c>
      <c r="O1529" s="18" t="s">
        <v>2687</v>
      </c>
      <c r="P1529" s="18" t="s">
        <v>3429</v>
      </c>
      <c r="Q1529" s="29" t="str" cm="1">
        <f t="array" ref="Q1529">_xlfn.IFS(
A1529="","",
AND(A1529&lt;&gt;"",B1529=""),"FALTA LANÇAMENTO",
AND(B1529&lt;&gt;"",M1529=""),"FALTA O PEDIDO",
AND(M1529&lt;&gt;"",O1529=""),"FALTA NF",
O1529&lt;&gt;"","CONCLUÍDO")</f>
        <v>CONCLUÍDO</v>
      </c>
      <c r="R1529" s="36"/>
    </row>
    <row r="1530" spans="1:18" hidden="1">
      <c r="A1530" s="16">
        <v>46153</v>
      </c>
      <c r="B1530" s="16">
        <v>46153</v>
      </c>
      <c r="C1530" s="21">
        <v>500580100</v>
      </c>
      <c r="D1530" s="16" t="str">
        <f>IFERROR(VLOOKUP(Tabela5[[#This Row],[PREFIXO ]],Tabela4[#All],2,0),"CENTRO DE CUSTO")</f>
        <v>Autopropelidos</v>
      </c>
      <c r="E1530" s="18" t="s">
        <v>68</v>
      </c>
      <c r="F1530" s="21">
        <v>2268</v>
      </c>
      <c r="G1530" s="22">
        <v>1520</v>
      </c>
      <c r="H1530" s="22">
        <v>1502.23</v>
      </c>
      <c r="I1530" s="22">
        <f t="shared" si="24"/>
        <v>3022.23</v>
      </c>
      <c r="J1530" s="18" t="s">
        <v>1199</v>
      </c>
      <c r="K1530" s="18">
        <v>5020713</v>
      </c>
      <c r="L1530" s="18">
        <v>927391</v>
      </c>
      <c r="M1530" s="18" t="s">
        <v>3508</v>
      </c>
      <c r="N1530" s="16" t="s">
        <v>3048</v>
      </c>
      <c r="O1530" s="18" t="s">
        <v>3509</v>
      </c>
      <c r="P1530" s="18" t="s">
        <v>3510</v>
      </c>
      <c r="Q1530" s="29" t="str" cm="1">
        <f t="array" ref="Q1530">_xlfn.IFS(
A1530="","",
AND(A1530&lt;&gt;"",B1530=""),"FALTA LANÇAMENTO",
AND(B1530&lt;&gt;"",M1530=""),"FALTA O PEDIDO",
AND(M1530&lt;&gt;"",O1530=""),"FALTA NF",
O1530&lt;&gt;"","CONCLUÍDO")</f>
        <v>CONCLUÍDO</v>
      </c>
      <c r="R1530" s="36"/>
    </row>
    <row r="1531" spans="1:18" hidden="1">
      <c r="A1531" s="16">
        <v>46153</v>
      </c>
      <c r="B1531" s="16">
        <v>46153</v>
      </c>
      <c r="C1531" s="21">
        <v>16170048</v>
      </c>
      <c r="D1531" s="16" t="str">
        <f>IFERROR(VLOOKUP(Tabela5[[#This Row],[PREFIXO ]],Tabela4[#All],2,0),"CENTRO DE CUSTO")</f>
        <v>CENTRO DE CUSTO</v>
      </c>
      <c r="E1531" s="18" t="s">
        <v>68</v>
      </c>
      <c r="F1531" s="21">
        <v>2275</v>
      </c>
      <c r="G1531" s="22">
        <v>900</v>
      </c>
      <c r="H1531" s="22"/>
      <c r="I1531" s="22">
        <f t="shared" si="24"/>
        <v>900</v>
      </c>
      <c r="J1531" s="18" t="s">
        <v>1085</v>
      </c>
      <c r="K1531" s="18">
        <v>9859913</v>
      </c>
      <c r="L1531" s="18">
        <v>927391</v>
      </c>
      <c r="M1531" s="18" t="s">
        <v>3508</v>
      </c>
      <c r="N1531" s="16" t="s">
        <v>3048</v>
      </c>
      <c r="O1531" s="18" t="s">
        <v>3509</v>
      </c>
      <c r="P1531" s="18" t="s">
        <v>3510</v>
      </c>
      <c r="Q1531" s="29" t="str" cm="1">
        <f t="array" ref="Q1531">_xlfn.IFS(
A1531="","",
AND(A1531&lt;&gt;"",B1531=""),"FALTA LANÇAMENTO",
AND(B1531&lt;&gt;"",M1531=""),"FALTA O PEDIDO",
AND(M1531&lt;&gt;"",O1531=""),"FALTA NF",
O1531&lt;&gt;"","CONCLUÍDO")</f>
        <v>CONCLUÍDO</v>
      </c>
      <c r="R1531" s="36"/>
    </row>
    <row r="1532" spans="1:18" hidden="1">
      <c r="A1532" s="16">
        <v>46153</v>
      </c>
      <c r="B1532" s="16">
        <v>46154</v>
      </c>
      <c r="C1532" s="21">
        <v>61521083</v>
      </c>
      <c r="D1532" s="16" t="str">
        <f>IFERROR(VLOOKUP(Tabela5[[#This Row],[PREFIXO ]],Tabela4[#All],2,0),"CENTRO DE CUSTO")</f>
        <v>CAM COMBOIO VOLVO VM 330</v>
      </c>
      <c r="E1532" s="18" t="s">
        <v>247</v>
      </c>
      <c r="F1532" s="21">
        <v>135718</v>
      </c>
      <c r="G1532" s="22">
        <v>2175.5</v>
      </c>
      <c r="H1532" s="22">
        <v>997.68</v>
      </c>
      <c r="I1532" s="22">
        <f t="shared" si="24"/>
        <v>3173.18</v>
      </c>
      <c r="J1532" s="18" t="s">
        <v>1085</v>
      </c>
      <c r="K1532" s="18" t="s">
        <v>3511</v>
      </c>
      <c r="L1532" s="18">
        <v>928149</v>
      </c>
      <c r="M1532" s="18" t="s">
        <v>3512</v>
      </c>
      <c r="N1532" s="16" t="s">
        <v>2544</v>
      </c>
      <c r="O1532" s="18" t="s">
        <v>3513</v>
      </c>
      <c r="P1532" s="18" t="s">
        <v>3422</v>
      </c>
      <c r="Q1532" s="29" t="str" cm="1">
        <f t="array" ref="Q1532">_xlfn.IFS(
A1532="","",
AND(A1532&lt;&gt;"",B1532=""),"FALTA LANÇAMENTO",
AND(B1532&lt;&gt;"",M1532=""),"FALTA O PEDIDO",
AND(M1532&lt;&gt;"",O1532=""),"FALTA NF",
O1532&lt;&gt;"","CONCLUÍDO")</f>
        <v>CONCLUÍDO</v>
      </c>
      <c r="R1532" s="36"/>
    </row>
    <row r="1533" spans="1:18" hidden="1">
      <c r="A1533" s="16">
        <v>46153</v>
      </c>
      <c r="B1533" s="16">
        <v>46154</v>
      </c>
      <c r="C1533" s="21">
        <v>61521011</v>
      </c>
      <c r="D1533" s="16" t="str">
        <f>IFERROR(VLOOKUP(Tabela5[[#This Row],[PREFIXO ]],Tabela4[#All],2,0),"CENTRO DE CUSTO")</f>
        <v>CAM COMBOIO MERC BENZ ATRON 2729</v>
      </c>
      <c r="E1533" s="18" t="s">
        <v>247</v>
      </c>
      <c r="F1533" s="21">
        <v>135717</v>
      </c>
      <c r="G1533" s="22">
        <v>1311</v>
      </c>
      <c r="H1533" s="22">
        <v>727.61</v>
      </c>
      <c r="I1533" s="22">
        <f t="shared" si="24"/>
        <v>2038.6100000000001</v>
      </c>
      <c r="J1533" s="18" t="s">
        <v>1085</v>
      </c>
      <c r="K1533" s="18" t="s">
        <v>3514</v>
      </c>
      <c r="L1533" s="18">
        <v>928237</v>
      </c>
      <c r="M1533" s="18" t="s">
        <v>3515</v>
      </c>
      <c r="N1533" s="16" t="s">
        <v>2544</v>
      </c>
      <c r="O1533" s="18" t="s">
        <v>3516</v>
      </c>
      <c r="P1533" s="18" t="s">
        <v>3485</v>
      </c>
      <c r="Q1533" s="29" t="str" cm="1">
        <f t="array" ref="Q1533">_xlfn.IFS(
A1533="","",
AND(A1533&lt;&gt;"",B1533=""),"FALTA LANÇAMENTO",
AND(B1533&lt;&gt;"",M1533=""),"FALTA O PEDIDO",
AND(M1533&lt;&gt;"",O1533=""),"FALTA NF",
O1533&lt;&gt;"","CONCLUÍDO")</f>
        <v>CONCLUÍDO</v>
      </c>
      <c r="R1533" s="36"/>
    </row>
    <row r="1534" spans="1:18" hidden="1">
      <c r="A1534" s="16">
        <v>46153</v>
      </c>
      <c r="B1534" s="16">
        <v>46154</v>
      </c>
      <c r="C1534" s="21">
        <v>61521030</v>
      </c>
      <c r="D1534" s="16" t="str">
        <f>IFERROR(VLOOKUP(Tabela5[[#This Row],[PREFIXO ]],Tabela4[#All],2,0),"CENTRO DE CUSTO")</f>
        <v>CAV MEC PES MERC BENZ ACTRO 2651</v>
      </c>
      <c r="E1534" s="18" t="s">
        <v>247</v>
      </c>
      <c r="F1534" s="21">
        <v>135834</v>
      </c>
      <c r="G1534" s="22">
        <v>950</v>
      </c>
      <c r="H1534" s="22">
        <v>672.34</v>
      </c>
      <c r="I1534" s="22">
        <f t="shared" si="24"/>
        <v>1622.3400000000001</v>
      </c>
      <c r="J1534" s="18" t="s">
        <v>1085</v>
      </c>
      <c r="K1534" s="18">
        <v>98961800</v>
      </c>
      <c r="L1534" s="18">
        <v>928114</v>
      </c>
      <c r="M1534" s="18" t="s">
        <v>3517</v>
      </c>
      <c r="N1534" s="16" t="s">
        <v>2544</v>
      </c>
      <c r="O1534" s="18" t="s">
        <v>3518</v>
      </c>
      <c r="P1534" s="18" t="s">
        <v>3415</v>
      </c>
      <c r="Q1534" s="29" t="str" cm="1">
        <f t="array" ref="Q1534">_xlfn.IFS(
A1534="","",
AND(A1534&lt;&gt;"",B1534=""),"FALTA LANÇAMENTO",
AND(B1534&lt;&gt;"",M1534=""),"FALTA O PEDIDO",
AND(M1534&lt;&gt;"",O1534=""),"FALTA NF",
O1534&lt;&gt;"","CONCLUÍDO")</f>
        <v>CONCLUÍDO</v>
      </c>
      <c r="R1534" s="36"/>
    </row>
    <row r="1535" spans="1:18" hidden="1">
      <c r="A1535" s="16">
        <v>46153</v>
      </c>
      <c r="B1535" s="16">
        <v>46153</v>
      </c>
      <c r="C1535" s="21">
        <v>51521064</v>
      </c>
      <c r="D1535" s="16" t="str">
        <f>IFERROR(VLOOKUP(Tabela5[[#This Row],[PREFIXO ]],Tabela4[#All],2,0),"CENTRO DE CUSTO")</f>
        <v>COLHED ALGODÃO JOHN DEERE CP 690</v>
      </c>
      <c r="E1535" s="18" t="s">
        <v>255</v>
      </c>
      <c r="F1535" s="21">
        <v>963</v>
      </c>
      <c r="G1535" s="22">
        <v>1600</v>
      </c>
      <c r="H1535" s="22"/>
      <c r="I1535" s="22">
        <f t="shared" si="24"/>
        <v>1600</v>
      </c>
      <c r="J1535" s="18" t="s">
        <v>1123</v>
      </c>
      <c r="K1535" s="18">
        <v>9859546</v>
      </c>
      <c r="L1535" s="18">
        <v>926851</v>
      </c>
      <c r="M1535" s="18" t="s">
        <v>3519</v>
      </c>
      <c r="N1535" s="16" t="s">
        <v>3031</v>
      </c>
      <c r="O1535" s="18" t="s">
        <v>1863</v>
      </c>
      <c r="P1535" s="18" t="s">
        <v>2544</v>
      </c>
      <c r="Q1535" s="29" t="str" cm="1">
        <f t="array" ref="Q1535">_xlfn.IFS(
A1535="","",
AND(A1535&lt;&gt;"",B1535=""),"FALTA LANÇAMENTO",
AND(B1535&lt;&gt;"",M1535=""),"FALTA O PEDIDO",
AND(M1535&lt;&gt;"",O1535=""),"FALTA NF",
O1535&lt;&gt;"","CONCLUÍDO")</f>
        <v>CONCLUÍDO</v>
      </c>
      <c r="R1535" s="36"/>
    </row>
    <row r="1536" spans="1:18" hidden="1">
      <c r="A1536" s="16">
        <v>46153</v>
      </c>
      <c r="B1536" s="16">
        <v>46153</v>
      </c>
      <c r="C1536" s="21">
        <v>51519062</v>
      </c>
      <c r="D1536" s="16" t="str">
        <f>IFERROR(VLOOKUP(Tabela5[[#This Row],[PREFIXO ]],Tabela4[#All],2,0),"CENTRO DE CUSTO")</f>
        <v>CENTRO DE CUSTO</v>
      </c>
      <c r="E1536" s="18" t="s">
        <v>255</v>
      </c>
      <c r="F1536" s="21">
        <v>958</v>
      </c>
      <c r="G1536" s="22">
        <v>1600</v>
      </c>
      <c r="H1536" s="22"/>
      <c r="I1536" s="22">
        <f t="shared" ref="I1536:I1599" si="25">G1536+H1536</f>
        <v>1600</v>
      </c>
      <c r="J1536" s="18" t="s">
        <v>1123</v>
      </c>
      <c r="K1536" s="18">
        <v>9859540</v>
      </c>
      <c r="L1536" s="18">
        <v>926851</v>
      </c>
      <c r="M1536" s="18" t="s">
        <v>3519</v>
      </c>
      <c r="N1536" s="16" t="s">
        <v>3031</v>
      </c>
      <c r="O1536" s="18" t="s">
        <v>1863</v>
      </c>
      <c r="P1536" s="18" t="s">
        <v>2544</v>
      </c>
      <c r="Q1536" s="29" t="str" cm="1">
        <f t="array" ref="Q1536">_xlfn.IFS(
A1536="","",
AND(A1536&lt;&gt;"",B1536=""),"FALTA LANÇAMENTO",
AND(B1536&lt;&gt;"",M1536=""),"FALTA O PEDIDO",
AND(M1536&lt;&gt;"",O1536=""),"FALTA NF",
O1536&lt;&gt;"","CONCLUÍDO")</f>
        <v>CONCLUÍDO</v>
      </c>
      <c r="R1536" s="36"/>
    </row>
    <row r="1537" spans="1:18" hidden="1">
      <c r="A1537" s="16">
        <v>46153</v>
      </c>
      <c r="B1537" s="16">
        <v>46153</v>
      </c>
      <c r="C1537" s="21">
        <v>51521065</v>
      </c>
      <c r="D1537" s="16" t="str">
        <f>IFERROR(VLOOKUP(Tabela5[[#This Row],[PREFIXO ]],Tabela4[#All],2,0),"CENTRO DE CUSTO")</f>
        <v>COLHED ALGODÃO JOHN DEERE CP 690</v>
      </c>
      <c r="E1537" s="18" t="s">
        <v>255</v>
      </c>
      <c r="F1537" s="21">
        <v>962</v>
      </c>
      <c r="G1537" s="22">
        <v>1550</v>
      </c>
      <c r="H1537" s="22"/>
      <c r="I1537" s="22">
        <f t="shared" si="25"/>
        <v>1550</v>
      </c>
      <c r="J1537" s="18" t="s">
        <v>1123</v>
      </c>
      <c r="K1537" s="18">
        <v>9859549</v>
      </c>
      <c r="L1537" s="18">
        <v>926851</v>
      </c>
      <c r="M1537" s="18" t="s">
        <v>3519</v>
      </c>
      <c r="N1537" s="16" t="s">
        <v>3031</v>
      </c>
      <c r="O1537" s="18" t="s">
        <v>1863</v>
      </c>
      <c r="P1537" s="18" t="s">
        <v>2544</v>
      </c>
      <c r="Q1537" s="29" t="str" cm="1">
        <f t="array" ref="Q1537">_xlfn.IFS(
A1537="","",
AND(A1537&lt;&gt;"",B1537=""),"FALTA LANÇAMENTO",
AND(B1537&lt;&gt;"",M1537=""),"FALTA O PEDIDO",
AND(M1537&lt;&gt;"",O1537=""),"FALTA NF",
O1537&lt;&gt;"","CONCLUÍDO")</f>
        <v>CONCLUÍDO</v>
      </c>
      <c r="R1537" s="36"/>
    </row>
    <row r="1538" spans="1:18" hidden="1">
      <c r="A1538" s="16">
        <v>46153</v>
      </c>
      <c r="B1538" s="16">
        <v>46153</v>
      </c>
      <c r="C1538" s="21">
        <v>51519060</v>
      </c>
      <c r="D1538" s="16" t="str">
        <f>IFERROR(VLOOKUP(Tabela5[[#This Row],[PREFIXO ]],Tabela4[#All],2,0),"CENTRO DE CUSTO")</f>
        <v>CENTRO DE CUSTO</v>
      </c>
      <c r="E1538" s="18" t="s">
        <v>255</v>
      </c>
      <c r="F1538" s="21">
        <v>959</v>
      </c>
      <c r="G1538" s="22">
        <v>1550</v>
      </c>
      <c r="H1538" s="22"/>
      <c r="I1538" s="22">
        <f t="shared" si="25"/>
        <v>1550</v>
      </c>
      <c r="J1538" s="18" t="s">
        <v>1123</v>
      </c>
      <c r="K1538" s="18">
        <v>9859516</v>
      </c>
      <c r="L1538" s="18">
        <v>926851</v>
      </c>
      <c r="M1538" s="18" t="s">
        <v>3519</v>
      </c>
      <c r="N1538" s="16" t="s">
        <v>3031</v>
      </c>
      <c r="O1538" s="18" t="s">
        <v>1863</v>
      </c>
      <c r="P1538" s="18" t="s">
        <v>2544</v>
      </c>
      <c r="Q1538" s="29" t="str" cm="1">
        <f t="array" ref="Q1538">_xlfn.IFS(
A1538="","",
AND(A1538&lt;&gt;"",B1538=""),"FALTA LANÇAMENTO",
AND(B1538&lt;&gt;"",M1538=""),"FALTA O PEDIDO",
AND(M1538&lt;&gt;"",O1538=""),"FALTA NF",
O1538&lt;&gt;"","CONCLUÍDO")</f>
        <v>CONCLUÍDO</v>
      </c>
      <c r="R1538" s="36"/>
    </row>
    <row r="1539" spans="1:18" hidden="1">
      <c r="A1539" s="16">
        <v>46153</v>
      </c>
      <c r="B1539" s="16">
        <v>46153</v>
      </c>
      <c r="C1539" s="21" t="s">
        <v>3520</v>
      </c>
      <c r="D1539" s="16" t="str">
        <f>IFERROR(VLOOKUP(Tabela5[[#This Row],[PREFIXO ]],Tabela4[#All],2,0),"CENTRO DE CUSTO")</f>
        <v>CENTRO DE CUSTO</v>
      </c>
      <c r="E1539" s="18" t="s">
        <v>255</v>
      </c>
      <c r="F1539" s="21">
        <v>960</v>
      </c>
      <c r="G1539" s="22">
        <v>1350</v>
      </c>
      <c r="H1539" s="22"/>
      <c r="I1539" s="22">
        <f t="shared" si="25"/>
        <v>1350</v>
      </c>
      <c r="J1539" s="18" t="s">
        <v>1123</v>
      </c>
      <c r="K1539" s="18" t="s">
        <v>3521</v>
      </c>
      <c r="L1539" s="18">
        <v>926851</v>
      </c>
      <c r="M1539" s="18" t="s">
        <v>3519</v>
      </c>
      <c r="N1539" s="16" t="s">
        <v>3031</v>
      </c>
      <c r="O1539" s="18" t="s">
        <v>1863</v>
      </c>
      <c r="P1539" s="18" t="s">
        <v>2544</v>
      </c>
      <c r="Q1539" s="29" t="str" cm="1">
        <f t="array" ref="Q1539">_xlfn.IFS(
A1539="","",
AND(A1539&lt;&gt;"",B1539=""),"FALTA LANÇAMENTO",
AND(B1539&lt;&gt;"",M1539=""),"FALTA O PEDIDO",
AND(M1539&lt;&gt;"",O1539=""),"FALTA NF",
O1539&lt;&gt;"","CONCLUÍDO")</f>
        <v>CONCLUÍDO</v>
      </c>
      <c r="R1539" s="36"/>
    </row>
    <row r="1540" spans="1:18" hidden="1">
      <c r="A1540" s="16">
        <v>46153</v>
      </c>
      <c r="B1540" s="16">
        <v>46153</v>
      </c>
      <c r="C1540" s="21" t="s">
        <v>3522</v>
      </c>
      <c r="D1540" s="16" t="str">
        <f>IFERROR(VLOOKUP(Tabela5[[#This Row],[PREFIXO ]],Tabela4[#All],2,0),"CENTRO DE CUSTO")</f>
        <v>CENTRO DE CUSTO</v>
      </c>
      <c r="E1540" s="18" t="s">
        <v>255</v>
      </c>
      <c r="F1540" s="21">
        <v>964</v>
      </c>
      <c r="G1540" s="22">
        <v>1350</v>
      </c>
      <c r="H1540" s="22"/>
      <c r="I1540" s="22">
        <f t="shared" si="25"/>
        <v>1350</v>
      </c>
      <c r="J1540" s="18" t="s">
        <v>1123</v>
      </c>
      <c r="K1540" s="18" t="s">
        <v>3523</v>
      </c>
      <c r="L1540" s="18">
        <v>926851</v>
      </c>
      <c r="M1540" s="18" t="s">
        <v>3519</v>
      </c>
      <c r="N1540" s="16" t="s">
        <v>3031</v>
      </c>
      <c r="O1540" s="18" t="s">
        <v>1863</v>
      </c>
      <c r="P1540" s="18" t="s">
        <v>2544</v>
      </c>
      <c r="Q1540" s="29" t="str" cm="1">
        <f t="array" ref="Q1540">_xlfn.IFS(
A1540="","",
AND(A1540&lt;&gt;"",B1540=""),"FALTA LANÇAMENTO",
AND(B1540&lt;&gt;"",M1540=""),"FALTA O PEDIDO",
AND(M1540&lt;&gt;"",O1540=""),"FALTA NF",
O1540&lt;&gt;"","CONCLUÍDO")</f>
        <v>CONCLUÍDO</v>
      </c>
      <c r="R1540" s="36"/>
    </row>
    <row r="1541" spans="1:18" hidden="1">
      <c r="A1541" s="16">
        <v>46153</v>
      </c>
      <c r="B1541" s="16">
        <v>46153</v>
      </c>
      <c r="C1541" s="21">
        <v>500580325</v>
      </c>
      <c r="D1541" s="16" t="str">
        <f>IFERROR(VLOOKUP(Tabela5[[#This Row],[PREFIXO ]],Tabela4[#All],2,0),"CENTRO DE CUSTO")</f>
        <v>Colheitad. Alg Auto</v>
      </c>
      <c r="E1541" s="18" t="s">
        <v>255</v>
      </c>
      <c r="F1541" s="21">
        <v>961</v>
      </c>
      <c r="G1541" s="22">
        <v>1300</v>
      </c>
      <c r="H1541" s="22"/>
      <c r="I1541" s="22">
        <f t="shared" si="25"/>
        <v>1300</v>
      </c>
      <c r="J1541" s="18" t="s">
        <v>1123</v>
      </c>
      <c r="K1541" s="18">
        <v>5020712</v>
      </c>
      <c r="L1541" s="18">
        <v>926851</v>
      </c>
      <c r="M1541" s="18" t="s">
        <v>3519</v>
      </c>
      <c r="N1541" s="16" t="s">
        <v>3031</v>
      </c>
      <c r="O1541" s="18" t="s">
        <v>1863</v>
      </c>
      <c r="P1541" s="18" t="s">
        <v>2544</v>
      </c>
      <c r="Q1541" s="29" t="str" cm="1">
        <f t="array" ref="Q1541">_xlfn.IFS(
A1541="","",
AND(A1541&lt;&gt;"",B1541=""),"FALTA LANÇAMENTO",
AND(B1541&lt;&gt;"",M1541=""),"FALTA O PEDIDO",
AND(M1541&lt;&gt;"",O1541=""),"FALTA NF",
O1541&lt;&gt;"","CONCLUÍDO")</f>
        <v>CONCLUÍDO</v>
      </c>
      <c r="R1541" s="36"/>
    </row>
    <row r="1542" spans="1:18" hidden="1">
      <c r="A1542" s="16">
        <v>46153</v>
      </c>
      <c r="B1542" s="16">
        <v>46153</v>
      </c>
      <c r="C1542" s="21" t="s">
        <v>3524</v>
      </c>
      <c r="D1542" s="16" t="str">
        <f>IFERROR(VLOOKUP(Tabela5[[#This Row],[PREFIXO ]],Tabela4[#All],2,0),"CENTRO DE CUSTO")</f>
        <v>CENTRO DE CUSTO</v>
      </c>
      <c r="E1542" s="18" t="s">
        <v>255</v>
      </c>
      <c r="F1542" s="21">
        <v>965</v>
      </c>
      <c r="G1542" s="22">
        <v>600</v>
      </c>
      <c r="H1542" s="22"/>
      <c r="I1542" s="22">
        <f t="shared" si="25"/>
        <v>600</v>
      </c>
      <c r="J1542" s="18" t="s">
        <v>1080</v>
      </c>
      <c r="K1542" s="18" t="s">
        <v>3525</v>
      </c>
      <c r="L1542" s="18">
        <v>926851</v>
      </c>
      <c r="M1542" s="18" t="s">
        <v>3519</v>
      </c>
      <c r="N1542" s="16" t="s">
        <v>3031</v>
      </c>
      <c r="O1542" s="18" t="s">
        <v>1863</v>
      </c>
      <c r="P1542" s="18" t="s">
        <v>2544</v>
      </c>
      <c r="Q1542" s="29" t="str" cm="1">
        <f t="array" ref="Q1542">_xlfn.IFS(
A1542="","",
AND(A1542&lt;&gt;"",B1542=""),"FALTA LANÇAMENTO",
AND(B1542&lt;&gt;"",M1542=""),"FALTA O PEDIDO",
AND(M1542&lt;&gt;"",O1542=""),"FALTA NF",
O1542&lt;&gt;"","CONCLUÍDO")</f>
        <v>CONCLUÍDO</v>
      </c>
      <c r="R1542" s="36"/>
    </row>
    <row r="1543" spans="1:18" hidden="1">
      <c r="A1543" s="16">
        <v>46155</v>
      </c>
      <c r="B1543" s="16">
        <v>46156</v>
      </c>
      <c r="C1543" s="21">
        <v>11040015</v>
      </c>
      <c r="D1543" s="16" t="str">
        <f>IFERROR(VLOOKUP(Tabela5[[#This Row],[PREFIXO ]],Tabela4[#All],2,0),"CENTRO DE CUSTO")</f>
        <v>CAV MEC EXT PES SCANIA R500</v>
      </c>
      <c r="E1543" s="18" t="s">
        <v>366</v>
      </c>
      <c r="F1543" s="21">
        <v>196041</v>
      </c>
      <c r="G1543" s="22">
        <v>340</v>
      </c>
      <c r="H1543" s="22">
        <v>136</v>
      </c>
      <c r="I1543" s="22">
        <f t="shared" si="25"/>
        <v>476</v>
      </c>
      <c r="J1543" s="18" t="s">
        <v>1085</v>
      </c>
      <c r="K1543" s="18">
        <v>9861643</v>
      </c>
      <c r="L1543" s="18">
        <v>928869</v>
      </c>
      <c r="M1543" s="18" t="s">
        <v>3526</v>
      </c>
      <c r="N1543" s="16" t="s">
        <v>3415</v>
      </c>
      <c r="O1543" s="18"/>
      <c r="P1543" s="18"/>
      <c r="Q1543" s="29" t="str" cm="1">
        <f t="array" ref="Q1543">_xlfn.IFS(
A1543="","",
AND(A1543&lt;&gt;"",B1543=""),"FALTA LANÇAMENTO",
AND(B1543&lt;&gt;"",M1543=""),"FALTA O PEDIDO",
AND(M1543&lt;&gt;"",O1543=""),"FALTA NF",
O1543&lt;&gt;"","CONCLUÍDO")</f>
        <v>FALTA NF</v>
      </c>
      <c r="R1543" s="36"/>
    </row>
    <row r="1544" spans="1:18" hidden="1">
      <c r="A1544" s="16">
        <v>46155</v>
      </c>
      <c r="B1544" s="16">
        <v>46156</v>
      </c>
      <c r="C1544" s="21">
        <v>51519058</v>
      </c>
      <c r="D1544" s="16" t="str">
        <f>IFERROR(VLOOKUP(Tabela5[[#This Row],[PREFIXO ]],Tabela4[#All],2,0),"CENTRO DE CUSTO")</f>
        <v>CENTRO DE CUSTO</v>
      </c>
      <c r="E1544" s="18" t="s">
        <v>17</v>
      </c>
      <c r="F1544" s="21">
        <v>44345</v>
      </c>
      <c r="G1544" s="22">
        <v>2209.37</v>
      </c>
      <c r="H1544" s="22"/>
      <c r="I1544" s="22">
        <f t="shared" si="25"/>
        <v>2209.37</v>
      </c>
      <c r="J1544" s="18" t="s">
        <v>1123</v>
      </c>
      <c r="K1544" s="18">
        <v>9863174</v>
      </c>
      <c r="L1544" s="18">
        <v>929963</v>
      </c>
      <c r="M1544" s="18" t="s">
        <v>3527</v>
      </c>
      <c r="N1544" s="16" t="s">
        <v>3528</v>
      </c>
      <c r="O1544" s="18" t="s">
        <v>3529</v>
      </c>
      <c r="P1544" s="18" t="s">
        <v>3400</v>
      </c>
      <c r="Q1544" s="29" t="str" cm="1">
        <f t="array" ref="Q1544">_xlfn.IFS(
A1544="","",
AND(A1544&lt;&gt;"",B1544=""),"FALTA LANÇAMENTO",
AND(B1544&lt;&gt;"",M1544=""),"FALTA O PEDIDO",
AND(M1544&lt;&gt;"",O1544=""),"FALTA NF",
O1544&lt;&gt;"","CONCLUÍDO")</f>
        <v>CONCLUÍDO</v>
      </c>
      <c r="R1544" s="36"/>
    </row>
    <row r="1545" spans="1:18" hidden="1">
      <c r="A1545" s="16">
        <v>46155</v>
      </c>
      <c r="B1545" s="16">
        <v>46156</v>
      </c>
      <c r="C1545" s="21">
        <v>51519060</v>
      </c>
      <c r="D1545" s="16" t="str">
        <f>IFERROR(VLOOKUP(Tabela5[[#This Row],[PREFIXO ]],Tabela4[#All],2,0),"CENTRO DE CUSTO")</f>
        <v>CENTRO DE CUSTO</v>
      </c>
      <c r="E1545" s="18" t="s">
        <v>17</v>
      </c>
      <c r="F1545" s="21">
        <v>44302</v>
      </c>
      <c r="G1545" s="22">
        <v>1740</v>
      </c>
      <c r="H1545" s="22"/>
      <c r="I1545" s="22">
        <f t="shared" si="25"/>
        <v>1740</v>
      </c>
      <c r="J1545" s="18" t="s">
        <v>1123</v>
      </c>
      <c r="K1545" s="18">
        <v>9863176</v>
      </c>
      <c r="L1545" s="18">
        <v>929963</v>
      </c>
      <c r="M1545" s="18" t="s">
        <v>3527</v>
      </c>
      <c r="N1545" s="16" t="s">
        <v>3528</v>
      </c>
      <c r="O1545" s="18" t="s">
        <v>3529</v>
      </c>
      <c r="P1545" s="18" t="s">
        <v>3400</v>
      </c>
      <c r="Q1545" s="29" t="str" cm="1">
        <f t="array" ref="Q1545">_xlfn.IFS(
A1545="","",
AND(A1545&lt;&gt;"",B1545=""),"FALTA LANÇAMENTO",
AND(B1545&lt;&gt;"",M1545=""),"FALTA O PEDIDO",
AND(M1545&lt;&gt;"",O1545=""),"FALTA NF",
O1545&lt;&gt;"","CONCLUÍDO")</f>
        <v>CONCLUÍDO</v>
      </c>
      <c r="R1545" s="36"/>
    </row>
    <row r="1546" spans="1:18" hidden="1">
      <c r="A1546" s="16">
        <v>46155</v>
      </c>
      <c r="B1546" s="16">
        <v>46175</v>
      </c>
      <c r="C1546" s="21">
        <v>16170054</v>
      </c>
      <c r="D1546" s="16" t="str">
        <f>IFERROR(VLOOKUP(Tabela5[[#This Row],[PREFIXO ]],Tabela4[#All],2,0),"CENTRO DE CUSTO")</f>
        <v>SR TANQUE RANDON SR TQ TL</v>
      </c>
      <c r="E1546" s="18" t="s">
        <v>29</v>
      </c>
      <c r="F1546" s="21">
        <v>55612</v>
      </c>
      <c r="G1546" s="22">
        <v>5294</v>
      </c>
      <c r="H1546" s="22">
        <v>11426.68</v>
      </c>
      <c r="I1546" s="22">
        <f t="shared" si="25"/>
        <v>16720.68</v>
      </c>
      <c r="J1546" s="18" t="s">
        <v>1085</v>
      </c>
      <c r="K1546" s="18">
        <v>9862053</v>
      </c>
      <c r="L1546" s="18" t="s">
        <v>3530</v>
      </c>
      <c r="M1546" s="18" t="s">
        <v>3531</v>
      </c>
      <c r="N1546" s="16" t="s">
        <v>3532</v>
      </c>
      <c r="O1546" s="18" t="s">
        <v>3533</v>
      </c>
      <c r="P1546" s="18" t="s">
        <v>3534</v>
      </c>
      <c r="Q1546" s="29" t="str" cm="1">
        <f t="array" ref="Q1546">_xlfn.IFS(
A1546="","",
AND(A1546&lt;&gt;"",B1546=""),"FALTA LANÇAMENTO",
AND(B1546&lt;&gt;"",M1546=""),"FALTA O PEDIDO",
AND(M1546&lt;&gt;"",O1546=""),"FALTA NF",
O1546&lt;&gt;"","CONCLUÍDO")</f>
        <v>CONCLUÍDO</v>
      </c>
      <c r="R1546" s="36" t="s">
        <v>3307</v>
      </c>
    </row>
    <row r="1547" spans="1:18" hidden="1">
      <c r="A1547" s="16">
        <v>46155</v>
      </c>
      <c r="B1547" s="16">
        <v>46175</v>
      </c>
      <c r="C1547" s="21">
        <v>8173200</v>
      </c>
      <c r="D1547" s="16" t="str">
        <f>IFERROR(VLOOKUP(Tabela5[[#This Row],[PREFIXO ]],Tabela4[#All],2,0),"CENTRO DE CUSTO")</f>
        <v>SEMI REBOQUE BASCULANTE RANDON</v>
      </c>
      <c r="E1547" s="18" t="s">
        <v>29</v>
      </c>
      <c r="F1547" s="21">
        <v>55665</v>
      </c>
      <c r="G1547" s="22">
        <v>1711</v>
      </c>
      <c r="H1547" s="22">
        <v>3903.82</v>
      </c>
      <c r="I1547" s="22">
        <f t="shared" si="25"/>
        <v>5614.82</v>
      </c>
      <c r="J1547" s="18" t="s">
        <v>1085</v>
      </c>
      <c r="K1547" s="18">
        <v>9862025</v>
      </c>
      <c r="L1547" s="18" t="s">
        <v>3535</v>
      </c>
      <c r="M1547" s="18" t="s">
        <v>3536</v>
      </c>
      <c r="N1547" s="16" t="s">
        <v>3532</v>
      </c>
      <c r="O1547" s="18" t="s">
        <v>3537</v>
      </c>
      <c r="P1547" s="18" t="s">
        <v>3149</v>
      </c>
      <c r="Q1547" s="29" t="str" cm="1">
        <f t="array" ref="Q1547">_xlfn.IFS(
A1547="","",
AND(A1547&lt;&gt;"",B1547=""),"FALTA LANÇAMENTO",
AND(B1547&lt;&gt;"",M1547=""),"FALTA O PEDIDO",
AND(M1547&lt;&gt;"",O1547=""),"FALTA NF",
O1547&lt;&gt;"","CONCLUÍDO")</f>
        <v>CONCLUÍDO</v>
      </c>
      <c r="R1547" s="36" t="s">
        <v>3307</v>
      </c>
    </row>
    <row r="1548" spans="1:18" hidden="1">
      <c r="A1548" s="16">
        <v>46155</v>
      </c>
      <c r="B1548" s="16">
        <v>46175</v>
      </c>
      <c r="C1548" s="21">
        <v>61521031</v>
      </c>
      <c r="D1548" s="16" t="str">
        <f>IFERROR(VLOOKUP(Tabela5[[#This Row],[PREFIXO ]],Tabela4[#All],2,0),"CENTRO DE CUSTO")</f>
        <v>CAV MEC PES MERC BENZ ACTRO 2651</v>
      </c>
      <c r="E1548" s="18" t="s">
        <v>29</v>
      </c>
      <c r="F1548" s="21">
        <v>55681</v>
      </c>
      <c r="G1548" s="22">
        <v>1776</v>
      </c>
      <c r="H1548" s="22">
        <v>2101.84</v>
      </c>
      <c r="I1548" s="22">
        <f t="shared" si="25"/>
        <v>3877.84</v>
      </c>
      <c r="J1548" s="18" t="s">
        <v>1085</v>
      </c>
      <c r="K1548" s="18">
        <v>9862028</v>
      </c>
      <c r="L1548" s="18" t="s">
        <v>3538</v>
      </c>
      <c r="M1548" s="18" t="s">
        <v>3539</v>
      </c>
      <c r="N1548" s="16" t="s">
        <v>3532</v>
      </c>
      <c r="O1548" s="18" t="s">
        <v>3540</v>
      </c>
      <c r="P1548" s="18" t="s">
        <v>3534</v>
      </c>
      <c r="Q1548" s="29" t="str" cm="1">
        <f t="array" ref="Q1548">_xlfn.IFS(
A1548="","",
AND(A1548&lt;&gt;"",B1548=""),"FALTA LANÇAMENTO",
AND(B1548&lt;&gt;"",M1548=""),"FALTA O PEDIDO",
AND(M1548&lt;&gt;"",O1548=""),"FALTA NF",
O1548&lt;&gt;"","CONCLUÍDO")</f>
        <v>CONCLUÍDO</v>
      </c>
      <c r="R1548" s="36" t="s">
        <v>3307</v>
      </c>
    </row>
    <row r="1549" spans="1:18" hidden="1">
      <c r="A1549" s="16">
        <v>46155</v>
      </c>
      <c r="B1549" s="16">
        <v>46171</v>
      </c>
      <c r="C1549" s="21">
        <v>12060004</v>
      </c>
      <c r="D1549" s="16" t="str">
        <f>IFERROR(VLOOKUP(Tabela5[[#This Row],[PREFIXO ]],Tabela4[#All],2,0),"CENTRO DE CUSTO")</f>
        <v>ONIB RODOVIÁRIO MARCOPOLO NEOBUS MEGA</v>
      </c>
      <c r="E1549" s="18" t="s">
        <v>29</v>
      </c>
      <c r="F1549" s="21">
        <v>55650</v>
      </c>
      <c r="G1549" s="22">
        <v>510</v>
      </c>
      <c r="H1549" s="22">
        <v>730.38</v>
      </c>
      <c r="I1549" s="22">
        <f t="shared" si="25"/>
        <v>1240.3800000000001</v>
      </c>
      <c r="J1549" s="18" t="s">
        <v>1085</v>
      </c>
      <c r="K1549" s="18">
        <v>9861986</v>
      </c>
      <c r="L1549" s="18">
        <v>935159</v>
      </c>
      <c r="M1549" s="18" t="s">
        <v>3541</v>
      </c>
      <c r="N1549" s="16" t="s">
        <v>3447</v>
      </c>
      <c r="O1549" s="18" t="s">
        <v>3542</v>
      </c>
      <c r="P1549" s="18" t="s">
        <v>3543</v>
      </c>
      <c r="Q1549" s="29" t="str" cm="1">
        <f t="array" ref="Q1549">_xlfn.IFS(
A1549="","",
AND(A1549&lt;&gt;"",B1549=""),"FALTA LANÇAMENTO",
AND(B1549&lt;&gt;"",M1549=""),"FALTA O PEDIDO",
AND(M1549&lt;&gt;"",O1549=""),"FALTA NF",
O1549&lt;&gt;"","CONCLUÍDO")</f>
        <v>CONCLUÍDO</v>
      </c>
      <c r="R1549" s="36" t="s">
        <v>3307</v>
      </c>
    </row>
    <row r="1550" spans="1:18" hidden="1">
      <c r="A1550" s="16">
        <v>46155</v>
      </c>
      <c r="B1550" s="16">
        <v>46171</v>
      </c>
      <c r="C1550" s="21">
        <v>12060001</v>
      </c>
      <c r="D1550" s="16" t="str">
        <f>IFERROR(VLOOKUP(Tabela5[[#This Row],[PREFIXO ]],Tabela4[#All],2,0),"CENTRO DE CUSTO")</f>
        <v>ONIB RODOVIÁRIO MARCOPOLO NEOBUS MEGA</v>
      </c>
      <c r="E1550" s="18" t="s">
        <v>29</v>
      </c>
      <c r="F1550" s="21">
        <v>55641</v>
      </c>
      <c r="G1550" s="22">
        <v>120</v>
      </c>
      <c r="H1550" s="22">
        <v>927.78</v>
      </c>
      <c r="I1550" s="22">
        <f t="shared" si="25"/>
        <v>1047.78</v>
      </c>
      <c r="J1550" s="18" t="s">
        <v>1085</v>
      </c>
      <c r="K1550" s="18">
        <v>9861956</v>
      </c>
      <c r="L1550" s="18">
        <v>935149</v>
      </c>
      <c r="M1550" s="18" t="s">
        <v>3544</v>
      </c>
      <c r="N1550" s="16" t="s">
        <v>3447</v>
      </c>
      <c r="O1550" s="18" t="s">
        <v>3545</v>
      </c>
      <c r="P1550" s="18" t="s">
        <v>3546</v>
      </c>
      <c r="Q1550" s="29" t="str" cm="1">
        <f t="array" ref="Q1550">_xlfn.IFS(
A1550="","",
AND(A1550&lt;&gt;"",B1550=""),"FALTA LANÇAMENTO",
AND(B1550&lt;&gt;"",M1550=""),"FALTA O PEDIDO",
AND(M1550&lt;&gt;"",O1550=""),"FALTA NF",
O1550&lt;&gt;"","CONCLUÍDO")</f>
        <v>CONCLUÍDO</v>
      </c>
      <c r="R1550" s="36" t="s">
        <v>3307</v>
      </c>
    </row>
    <row r="1551" spans="1:18" hidden="1">
      <c r="A1551" s="16">
        <v>46155</v>
      </c>
      <c r="B1551" s="16">
        <v>46175</v>
      </c>
      <c r="C1551" s="21">
        <v>81521204</v>
      </c>
      <c r="D1551" s="16" t="str">
        <f>IFERROR(VLOOKUP(Tabela5[[#This Row],[PREFIXO ]],Tabela4[#All],2,0),"CENTRO DE CUSTO")</f>
        <v>SEMI REBOQUE PRANCHA FACCHINI SRCT 4E</v>
      </c>
      <c r="E1551" s="18" t="s">
        <v>29</v>
      </c>
      <c r="F1551" s="21">
        <v>55719</v>
      </c>
      <c r="G1551" s="22">
        <v>49</v>
      </c>
      <c r="H1551" s="22">
        <v>643.9</v>
      </c>
      <c r="I1551" s="22">
        <f t="shared" si="25"/>
        <v>692.9</v>
      </c>
      <c r="J1551" s="18" t="s">
        <v>1085</v>
      </c>
      <c r="K1551" s="18">
        <v>9862038</v>
      </c>
      <c r="L1551" s="18" t="s">
        <v>3547</v>
      </c>
      <c r="M1551" s="18" t="s">
        <v>3548</v>
      </c>
      <c r="N1551" s="16" t="s">
        <v>3429</v>
      </c>
      <c r="O1551" s="18" t="s">
        <v>3549</v>
      </c>
      <c r="P1551" s="18" t="s">
        <v>3534</v>
      </c>
      <c r="Q1551" s="29" t="str" cm="1">
        <f t="array" ref="Q1551">_xlfn.IFS(
A1551="","",
AND(A1551&lt;&gt;"",B1551=""),"FALTA LANÇAMENTO",
AND(B1551&lt;&gt;"",M1551=""),"FALTA O PEDIDO",
AND(M1551&lt;&gt;"",O1551=""),"FALTA NF",
O1551&lt;&gt;"","CONCLUÍDO")</f>
        <v>CONCLUÍDO</v>
      </c>
      <c r="R1551" s="36" t="s">
        <v>3307</v>
      </c>
    </row>
    <row r="1552" spans="1:18" hidden="1">
      <c r="A1552" s="16">
        <v>46155</v>
      </c>
      <c r="B1552" s="16">
        <v>46171</v>
      </c>
      <c r="C1552" s="21">
        <v>61521067</v>
      </c>
      <c r="D1552" s="16" t="str">
        <f>IFERROR(VLOOKUP(Tabela5[[#This Row],[PREFIXO ]],Tabela4[#All],2,0),"CENTRO DE CUSTO")</f>
        <v>CAM ROLL ON/OFF VOLVO VM 330</v>
      </c>
      <c r="E1552" s="18" t="s">
        <v>29</v>
      </c>
      <c r="F1552" s="21">
        <v>55736</v>
      </c>
      <c r="G1552" s="22">
        <v>520</v>
      </c>
      <c r="H1552" s="22">
        <v>46.06</v>
      </c>
      <c r="I1552" s="22">
        <f t="shared" si="25"/>
        <v>566.05999999999995</v>
      </c>
      <c r="J1552" s="18" t="s">
        <v>1085</v>
      </c>
      <c r="K1552" s="18">
        <v>9862101</v>
      </c>
      <c r="L1552" s="18" t="s">
        <v>3550</v>
      </c>
      <c r="M1552" s="18" t="s">
        <v>3551</v>
      </c>
      <c r="N1552" s="16" t="s">
        <v>3447</v>
      </c>
      <c r="O1552" s="18" t="s">
        <v>3552</v>
      </c>
      <c r="P1552" s="18" t="s">
        <v>3546</v>
      </c>
      <c r="Q1552" s="29" t="str" cm="1">
        <f t="array" ref="Q1552">_xlfn.IFS(
A1552="","",
AND(A1552&lt;&gt;"",B1552=""),"FALTA LANÇAMENTO",
AND(B1552&lt;&gt;"",M1552=""),"FALTA O PEDIDO",
AND(M1552&lt;&gt;"",O1552=""),"FALTA NF",
O1552&lt;&gt;"","CONCLUÍDO")</f>
        <v>CONCLUÍDO</v>
      </c>
      <c r="R1552" s="36" t="s">
        <v>3307</v>
      </c>
    </row>
    <row r="1553" spans="1:18" hidden="1">
      <c r="A1553" s="16">
        <v>46155</v>
      </c>
      <c r="B1553" s="16">
        <v>46171</v>
      </c>
      <c r="C1553" s="21">
        <v>8173202</v>
      </c>
      <c r="D1553" s="16" t="str">
        <f>IFERROR(VLOOKUP(Tabela5[[#This Row],[PREFIXO ]],Tabela4[#All],2,0),"CENTRO DE CUSTO")</f>
        <v>SEMI REBOQUE BASCULANTE RANDON</v>
      </c>
      <c r="E1553" s="18" t="s">
        <v>29</v>
      </c>
      <c r="F1553" s="21">
        <v>55615</v>
      </c>
      <c r="G1553" s="22">
        <v>435</v>
      </c>
      <c r="H1553" s="22">
        <v>102.46</v>
      </c>
      <c r="I1553" s="22">
        <f t="shared" si="25"/>
        <v>537.46</v>
      </c>
      <c r="J1553" s="18" t="s">
        <v>1085</v>
      </c>
      <c r="K1553" s="18">
        <v>9862039</v>
      </c>
      <c r="L1553" s="18">
        <v>930742</v>
      </c>
      <c r="M1553" s="18" t="s">
        <v>3553</v>
      </c>
      <c r="N1553" s="16" t="s">
        <v>3447</v>
      </c>
      <c r="O1553" s="18" t="s">
        <v>3554</v>
      </c>
      <c r="P1553" s="18" t="s">
        <v>3546</v>
      </c>
      <c r="Q1553" s="29" t="str" cm="1">
        <f t="array" ref="Q1553">_xlfn.IFS(
A1553="","",
AND(A1553&lt;&gt;"",B1553=""),"FALTA LANÇAMENTO",
AND(B1553&lt;&gt;"",M1553=""),"FALTA O PEDIDO",
AND(M1553&lt;&gt;"",O1553=""),"FALTA NF",
O1553&lt;&gt;"","CONCLUÍDO")</f>
        <v>CONCLUÍDO</v>
      </c>
      <c r="R1553" s="36" t="s">
        <v>3307</v>
      </c>
    </row>
    <row r="1554" spans="1:18" hidden="1">
      <c r="A1554" s="16">
        <v>46155</v>
      </c>
      <c r="B1554" s="16">
        <v>46171</v>
      </c>
      <c r="C1554" s="21">
        <v>11040013</v>
      </c>
      <c r="D1554" s="16" t="str">
        <f>IFERROR(VLOOKUP(Tabela5[[#This Row],[PREFIXO ]],Tabela4[#All],2,0),"CENTRO DE CUSTO")</f>
        <v>CAV MEC EXT PES SCANIA R500</v>
      </c>
      <c r="E1554" s="18" t="s">
        <v>29</v>
      </c>
      <c r="F1554" s="21">
        <v>55658</v>
      </c>
      <c r="G1554" s="22">
        <v>520</v>
      </c>
      <c r="H1554" s="22"/>
      <c r="I1554" s="22">
        <f t="shared" si="25"/>
        <v>520</v>
      </c>
      <c r="J1554" s="18" t="s">
        <v>1085</v>
      </c>
      <c r="K1554" s="18">
        <v>9862020</v>
      </c>
      <c r="L1554" s="18">
        <v>934359</v>
      </c>
      <c r="M1554" s="18" t="s">
        <v>3555</v>
      </c>
      <c r="N1554" s="16" t="s">
        <v>3447</v>
      </c>
      <c r="O1554" s="18" t="s">
        <v>3556</v>
      </c>
      <c r="P1554" s="18" t="s">
        <v>3557</v>
      </c>
      <c r="Q1554" s="29" t="str" cm="1">
        <f t="array" ref="Q1554">_xlfn.IFS(
A1554="","",
AND(A1554&lt;&gt;"",B1554=""),"FALTA LANÇAMENTO",
AND(B1554&lt;&gt;"",M1554=""),"FALTA O PEDIDO",
AND(M1554&lt;&gt;"",O1554=""),"FALTA NF",
O1554&lt;&gt;"","CONCLUÍDO")</f>
        <v>CONCLUÍDO</v>
      </c>
      <c r="R1554" s="36" t="s">
        <v>3307</v>
      </c>
    </row>
    <row r="1555" spans="1:18" hidden="1">
      <c r="A1555" s="16">
        <v>46155</v>
      </c>
      <c r="B1555" s="16">
        <v>46156</v>
      </c>
      <c r="C1555" s="21">
        <v>500580097</v>
      </c>
      <c r="D1555" s="16" t="str">
        <f>IFERROR(VLOOKUP(Tabela5[[#This Row],[PREFIXO ]],Tabela4[#All],2,0),"CENTRO DE CUSTO")</f>
        <v>Subsoladores</v>
      </c>
      <c r="E1555" s="18" t="s">
        <v>62</v>
      </c>
      <c r="F1555" s="21">
        <v>1316</v>
      </c>
      <c r="G1555" s="22">
        <v>11118</v>
      </c>
      <c r="H1555" s="22"/>
      <c r="I1555" s="22">
        <f t="shared" si="25"/>
        <v>11118</v>
      </c>
      <c r="J1555" s="18" t="s">
        <v>1199</v>
      </c>
      <c r="K1555" s="18">
        <v>5020780</v>
      </c>
      <c r="L1555" s="18">
        <v>929446</v>
      </c>
      <c r="M1555" s="18" t="s">
        <v>3558</v>
      </c>
      <c r="N1555" s="16" t="s">
        <v>3559</v>
      </c>
      <c r="O1555" s="18" t="s">
        <v>3560</v>
      </c>
      <c r="P1555" s="18" t="s">
        <v>3429</v>
      </c>
      <c r="Q1555" s="29" t="str" cm="1">
        <f t="array" ref="Q1555">_xlfn.IFS(
A1555="","",
AND(A1555&lt;&gt;"",B1555=""),"FALTA LANÇAMENTO",
AND(B1555&lt;&gt;"",M1555=""),"FALTA O PEDIDO",
AND(M1555&lt;&gt;"",O1555=""),"FALTA NF",
O1555&lt;&gt;"","CONCLUÍDO")</f>
        <v>CONCLUÍDO</v>
      </c>
      <c r="R1555" s="36" t="s">
        <v>3307</v>
      </c>
    </row>
    <row r="1556" spans="1:18" hidden="1">
      <c r="A1556" s="16">
        <v>46155</v>
      </c>
      <c r="B1556" s="16">
        <v>46156</v>
      </c>
      <c r="C1556" s="21">
        <v>500580220</v>
      </c>
      <c r="D1556" s="16" t="str">
        <f>IFERROR(VLOOKUP(Tabela5[[#This Row],[PREFIXO ]],Tabela4[#All],2,0),"CENTRO DE CUSTO")</f>
        <v>Implementos</v>
      </c>
      <c r="E1556" s="18" t="s">
        <v>62</v>
      </c>
      <c r="F1556" s="21">
        <v>1313</v>
      </c>
      <c r="G1556" s="22">
        <v>3999</v>
      </c>
      <c r="H1556" s="22"/>
      <c r="I1556" s="22">
        <f t="shared" si="25"/>
        <v>3999</v>
      </c>
      <c r="J1556" s="18" t="s">
        <v>1199</v>
      </c>
      <c r="K1556" s="18">
        <v>5020781</v>
      </c>
      <c r="L1556" s="18">
        <v>929446</v>
      </c>
      <c r="M1556" s="18" t="s">
        <v>3561</v>
      </c>
      <c r="N1556" s="16" t="s">
        <v>3559</v>
      </c>
      <c r="O1556" s="18" t="s">
        <v>3562</v>
      </c>
      <c r="P1556" s="18" t="s">
        <v>3429</v>
      </c>
      <c r="Q1556" s="29" t="str" cm="1">
        <f t="array" ref="Q1556">_xlfn.IFS(
A1556="","",
AND(A1556&lt;&gt;"",B1556=""),"FALTA LANÇAMENTO",
AND(B1556&lt;&gt;"",M1556=""),"FALTA O PEDIDO",
AND(M1556&lt;&gt;"",O1556=""),"FALTA NF",
O1556&lt;&gt;"","CONCLUÍDO")</f>
        <v>CONCLUÍDO</v>
      </c>
      <c r="R1556" s="36" t="s">
        <v>3307</v>
      </c>
    </row>
    <row r="1557" spans="1:18" hidden="1">
      <c r="A1557" s="16">
        <v>46155</v>
      </c>
      <c r="B1557" s="16">
        <v>46156</v>
      </c>
      <c r="C1557" s="21">
        <v>41521072</v>
      </c>
      <c r="D1557" s="16" t="str">
        <f>IFERROR(VLOOKUP(Tabela5[[#This Row],[PREFIXO ]],Tabela4[#All],2,0),"CENTRO DE CUSTO")</f>
        <v>CAMINHONETE TOYOTA HILUX CDCQ A4PD</v>
      </c>
      <c r="E1557" s="18" t="s">
        <v>328</v>
      </c>
      <c r="F1557" s="21">
        <v>7615</v>
      </c>
      <c r="G1557" s="22">
        <v>20</v>
      </c>
      <c r="H1557" s="22">
        <v>270</v>
      </c>
      <c r="I1557" s="22">
        <f t="shared" si="25"/>
        <v>290</v>
      </c>
      <c r="J1557" s="18" t="s">
        <v>1085</v>
      </c>
      <c r="K1557" s="18">
        <v>9861470</v>
      </c>
      <c r="L1557" s="18">
        <v>929589</v>
      </c>
      <c r="M1557" s="18" t="s">
        <v>3563</v>
      </c>
      <c r="N1557" s="16" t="s">
        <v>3415</v>
      </c>
      <c r="O1557" s="18" t="s">
        <v>3564</v>
      </c>
      <c r="P1557" s="18" t="s">
        <v>3306</v>
      </c>
      <c r="Q1557" s="29" t="str" cm="1">
        <f t="array" ref="Q1557">_xlfn.IFS(
A1557="","",
AND(A1557&lt;&gt;"",B1557=""),"FALTA LANÇAMENTO",
AND(B1557&lt;&gt;"",M1557=""),"FALTA O PEDIDO",
AND(M1557&lt;&gt;"",O1557=""),"FALTA NF",
O1557&lt;&gt;"","CONCLUÍDO")</f>
        <v>CONCLUÍDO</v>
      </c>
      <c r="R1557" s="36"/>
    </row>
    <row r="1558" spans="1:18" hidden="1">
      <c r="A1558" s="16">
        <v>46155</v>
      </c>
      <c r="B1558" s="16">
        <v>46156</v>
      </c>
      <c r="C1558" s="21">
        <v>41521070</v>
      </c>
      <c r="D1558" s="16" t="str">
        <f>IFERROR(VLOOKUP(Tabela5[[#This Row],[PREFIXO ]],Tabela4[#All],2,0),"CENTRO DE CUSTO")</f>
        <v>MICROONIBUS SPRINTER 417 CDI K42B</v>
      </c>
      <c r="E1558" s="18" t="s">
        <v>110</v>
      </c>
      <c r="F1558" s="21">
        <v>34185</v>
      </c>
      <c r="G1558" s="22">
        <v>2620.8000000000002</v>
      </c>
      <c r="H1558" s="22">
        <v>8371.82</v>
      </c>
      <c r="I1558" s="22">
        <f t="shared" si="25"/>
        <v>10992.619999999999</v>
      </c>
      <c r="J1558" s="18" t="s">
        <v>1085</v>
      </c>
      <c r="K1558" s="18">
        <v>9861191</v>
      </c>
      <c r="L1558" s="18">
        <v>929687</v>
      </c>
      <c r="M1558" s="18" t="s">
        <v>3565</v>
      </c>
      <c r="N1558" s="16" t="s">
        <v>3528</v>
      </c>
      <c r="O1558" s="18" t="s">
        <v>3566</v>
      </c>
      <c r="P1558" s="18" t="s">
        <v>3567</v>
      </c>
      <c r="Q1558" s="29" t="str" cm="1">
        <f t="array" ref="Q1558">_xlfn.IFS(
A1558="","",
AND(A1558&lt;&gt;"",B1558=""),"FALTA LANÇAMENTO",
AND(B1558&lt;&gt;"",M1558=""),"FALTA O PEDIDO",
AND(M1558&lt;&gt;"",O1558=""),"FALTA NF",
O1558&lt;&gt;"","CONCLUÍDO")</f>
        <v>CONCLUÍDO</v>
      </c>
      <c r="R1558" s="36"/>
    </row>
    <row r="1559" spans="1:18" hidden="1">
      <c r="A1559" s="16">
        <v>46155</v>
      </c>
      <c r="B1559" s="16">
        <v>46156</v>
      </c>
      <c r="C1559" s="21">
        <v>23220004</v>
      </c>
      <c r="D1559" s="16" t="str">
        <f>IFERROR(VLOOKUP(Tabela5[[#This Row],[PREFIXO ]],Tabela4[#All],2,0),"CENTRO DE CUSTO")</f>
        <v>COLHED ALGODÃO JOHN DEERE CP 770</v>
      </c>
      <c r="E1559" s="18" t="s">
        <v>162</v>
      </c>
      <c r="F1559" s="21">
        <v>13183</v>
      </c>
      <c r="G1559" s="22">
        <v>4700</v>
      </c>
      <c r="H1559" s="22">
        <v>7422.38</v>
      </c>
      <c r="I1559" s="22">
        <f t="shared" si="25"/>
        <v>12122.380000000001</v>
      </c>
      <c r="J1559" s="18" t="s">
        <v>1123</v>
      </c>
      <c r="K1559" s="18">
        <v>9863341</v>
      </c>
      <c r="L1559" s="18">
        <v>930005</v>
      </c>
      <c r="M1559" s="18" t="s">
        <v>3568</v>
      </c>
      <c r="N1559" s="16" t="s">
        <v>2684</v>
      </c>
      <c r="O1559" s="18" t="s">
        <v>3569</v>
      </c>
      <c r="P1559" s="18" t="s">
        <v>3570</v>
      </c>
      <c r="Q1559" s="29" t="str" cm="1">
        <f t="array" ref="Q1559">_xlfn.IFS(
A1559="","",
AND(A1559&lt;&gt;"",B1559=""),"FALTA LANÇAMENTO",
AND(B1559&lt;&gt;"",M1559=""),"FALTA O PEDIDO",
AND(M1559&lt;&gt;"",O1559=""),"FALTA NF",
O1559&lt;&gt;"","CONCLUÍDO")</f>
        <v>CONCLUÍDO</v>
      </c>
      <c r="R1559" s="36"/>
    </row>
    <row r="1560" spans="1:18" hidden="1">
      <c r="A1560" s="16">
        <v>46155</v>
      </c>
      <c r="B1560" s="16">
        <v>46156</v>
      </c>
      <c r="C1560" s="21">
        <v>61521101</v>
      </c>
      <c r="D1560" s="16" t="str">
        <f>IFERROR(VLOOKUP(Tabela5[[#This Row],[PREFIXO ]],Tabela4[#All],2,0),"CENTRO DE CUSTO")</f>
        <v>CAM ROLL ON/OFF VOLVO VM 330</v>
      </c>
      <c r="E1560" s="18" t="s">
        <v>250</v>
      </c>
      <c r="F1560" s="21">
        <v>40619</v>
      </c>
      <c r="G1560" s="22">
        <v>438.2</v>
      </c>
      <c r="H1560" s="22">
        <v>1275</v>
      </c>
      <c r="I1560" s="22">
        <f t="shared" si="25"/>
        <v>1713.2</v>
      </c>
      <c r="J1560" s="18" t="s">
        <v>1085</v>
      </c>
      <c r="K1560" s="18">
        <v>9861430</v>
      </c>
      <c r="L1560" s="18">
        <v>929648</v>
      </c>
      <c r="M1560" s="18" t="s">
        <v>3571</v>
      </c>
      <c r="N1560" s="16" t="s">
        <v>3415</v>
      </c>
      <c r="O1560" s="18" t="s">
        <v>3572</v>
      </c>
      <c r="P1560" s="18" t="s">
        <v>3422</v>
      </c>
      <c r="Q1560" s="29" t="str" cm="1">
        <f t="array" ref="Q1560">_xlfn.IFS(
A1560="","",
AND(A1560&lt;&gt;"",B1560=""),"FALTA LANÇAMENTO",
AND(B1560&lt;&gt;"",M1560=""),"FALTA O PEDIDO",
AND(M1560&lt;&gt;"",O1560=""),"FALTA NF",
O1560&lt;&gt;"","CONCLUÍDO")</f>
        <v>CONCLUÍDO</v>
      </c>
      <c r="R1560" s="36"/>
    </row>
    <row r="1561" spans="1:18" hidden="1">
      <c r="A1561" s="16">
        <v>46155</v>
      </c>
      <c r="B1561" s="16">
        <v>46170</v>
      </c>
      <c r="C1561" s="21">
        <v>61521043</v>
      </c>
      <c r="D1561" s="16" t="str">
        <f>IFERROR(VLOOKUP(Tabela5[[#This Row],[PREFIXO ]],Tabela4[#All],2,0),"CENTRO DE CUSTO")</f>
        <v>ONIB RODOVIÁRIO MASCARELLO GRAN MIDI</v>
      </c>
      <c r="E1561" s="18" t="s">
        <v>29</v>
      </c>
      <c r="F1561" s="21">
        <v>55553</v>
      </c>
      <c r="G1561" s="22">
        <v>4946</v>
      </c>
      <c r="H1561" s="22">
        <v>6907.38</v>
      </c>
      <c r="I1561" s="22">
        <f t="shared" si="25"/>
        <v>11853.380000000001</v>
      </c>
      <c r="J1561" s="18" t="s">
        <v>1085</v>
      </c>
      <c r="K1561" s="18">
        <v>9862096</v>
      </c>
      <c r="L1561" s="18" t="s">
        <v>3573</v>
      </c>
      <c r="M1561" s="18" t="s">
        <v>3574</v>
      </c>
      <c r="N1561" s="16">
        <v>46196</v>
      </c>
      <c r="O1561" s="18" t="s">
        <v>3575</v>
      </c>
      <c r="P1561" s="18" t="s">
        <v>3576</v>
      </c>
      <c r="Q1561" s="29" t="str" cm="1">
        <f t="array" ref="Q1561">_xlfn.IFS(
A1561="","",
AND(A1561&lt;&gt;"",B1561=""),"FALTA LANÇAMENTO",
AND(B1561&lt;&gt;"",M1561=""),"FALTA O PEDIDO",
AND(M1561&lt;&gt;"",O1561=""),"FALTA NF",
O1561&lt;&gt;"","CONCLUÍDO")</f>
        <v>CONCLUÍDO</v>
      </c>
      <c r="R1561" s="36"/>
    </row>
    <row r="1562" spans="1:18" hidden="1">
      <c r="A1562" s="16">
        <v>46156</v>
      </c>
      <c r="B1562" s="16">
        <v>46157</v>
      </c>
      <c r="C1562" s="21">
        <v>41521066</v>
      </c>
      <c r="D1562" s="16" t="str">
        <f>IFERROR(VLOOKUP(Tabela5[[#This Row],[PREFIXO ]],Tabela4[#All],2,0),"CENTRO DE CUSTO")</f>
        <v>MICROONIBUS SPRINTER 417 CDI K42B</v>
      </c>
      <c r="E1562" s="18" t="s">
        <v>209</v>
      </c>
      <c r="F1562" s="21">
        <v>115414</v>
      </c>
      <c r="G1562" s="22">
        <v>560</v>
      </c>
      <c r="H1562" s="22"/>
      <c r="I1562" s="22">
        <f t="shared" si="25"/>
        <v>560</v>
      </c>
      <c r="J1562" s="18" t="s">
        <v>1085</v>
      </c>
      <c r="K1562" s="18">
        <v>9863376</v>
      </c>
      <c r="L1562" s="18">
        <v>930575</v>
      </c>
      <c r="M1562" s="18" t="s">
        <v>3577</v>
      </c>
      <c r="N1562" s="16" t="s">
        <v>3528</v>
      </c>
      <c r="O1562" s="18"/>
      <c r="P1562" s="18"/>
      <c r="Q1562" s="29" t="str" cm="1">
        <f t="array" ref="Q1562">_xlfn.IFS(
A1562="","",
AND(A1562&lt;&gt;"",B1562=""),"FALTA LANÇAMENTO",
AND(B1562&lt;&gt;"",M1562=""),"FALTA O PEDIDO",
AND(M1562&lt;&gt;"",O1562=""),"FALTA NF",
O1562&lt;&gt;"","CONCLUÍDO")</f>
        <v>FALTA NF</v>
      </c>
      <c r="R1562" s="36"/>
    </row>
    <row r="1563" spans="1:18" hidden="1">
      <c r="A1563" s="16">
        <v>46156</v>
      </c>
      <c r="B1563" s="16">
        <v>46160</v>
      </c>
      <c r="C1563" s="21">
        <v>500580325</v>
      </c>
      <c r="D1563" s="16" t="str">
        <f>IFERROR(VLOOKUP(Tabela5[[#This Row],[PREFIXO ]],Tabela4[#All],2,0),"CENTRO DE CUSTO")</f>
        <v>Colheitad. Alg Auto</v>
      </c>
      <c r="E1563" s="18" t="s">
        <v>293</v>
      </c>
      <c r="F1563" s="21">
        <v>59</v>
      </c>
      <c r="G1563" s="22">
        <v>39552</v>
      </c>
      <c r="H1563" s="22"/>
      <c r="I1563" s="22">
        <f t="shared" si="25"/>
        <v>39552</v>
      </c>
      <c r="J1563" s="18" t="s">
        <v>1123</v>
      </c>
      <c r="K1563" s="18">
        <v>5020711</v>
      </c>
      <c r="L1563" s="18">
        <v>931734</v>
      </c>
      <c r="M1563" s="18" t="s">
        <v>3578</v>
      </c>
      <c r="N1563" s="16" t="s">
        <v>2684</v>
      </c>
      <c r="O1563" s="18" t="s">
        <v>1793</v>
      </c>
      <c r="P1563" s="18" t="s">
        <v>3579</v>
      </c>
      <c r="Q1563" s="29" t="str" cm="1">
        <f t="array" ref="Q1563">_xlfn.IFS(
A1563="","",
AND(A1563&lt;&gt;"",B1563=""),"FALTA LANÇAMENTO",
AND(B1563&lt;&gt;"",M1563=""),"FALTA O PEDIDO",
AND(M1563&lt;&gt;"",O1563=""),"FALTA NF",
O1563&lt;&gt;"","CONCLUÍDO")</f>
        <v>CONCLUÍDO</v>
      </c>
      <c r="R1563" s="36"/>
    </row>
    <row r="1564" spans="1:18" hidden="1">
      <c r="A1564" s="16">
        <v>46156</v>
      </c>
      <c r="B1564" s="16">
        <v>46157</v>
      </c>
      <c r="C1564" s="21">
        <v>51507013</v>
      </c>
      <c r="D1564" s="16" t="str">
        <f>IFERROR(VLOOKUP(Tabela5[[#This Row],[PREFIXO ]],Tabela4[#All],2,0),"CENTRO DE CUSTO")</f>
        <v>COLHED ALGODÃO JOHN DEERE CP 690</v>
      </c>
      <c r="E1564" s="18" t="s">
        <v>17</v>
      </c>
      <c r="F1564" s="21">
        <v>44325</v>
      </c>
      <c r="G1564" s="22">
        <v>3260</v>
      </c>
      <c r="H1564" s="22"/>
      <c r="I1564" s="22">
        <f t="shared" si="25"/>
        <v>3260</v>
      </c>
      <c r="J1564" s="18" t="s">
        <v>1123</v>
      </c>
      <c r="K1564" s="18">
        <v>9863898</v>
      </c>
      <c r="L1564" s="18">
        <v>930182</v>
      </c>
      <c r="M1564" s="18" t="s">
        <v>3580</v>
      </c>
      <c r="N1564" s="16" t="s">
        <v>3528</v>
      </c>
      <c r="O1564" s="18" t="s">
        <v>3581</v>
      </c>
      <c r="P1564" s="18" t="s">
        <v>3582</v>
      </c>
      <c r="Q1564" s="29" t="str" cm="1">
        <f t="array" ref="Q1564">_xlfn.IFS(
A1564="","",
AND(A1564&lt;&gt;"",B1564=""),"FALTA LANÇAMENTO",
AND(B1564&lt;&gt;"",M1564=""),"FALTA O PEDIDO",
AND(M1564&lt;&gt;"",O1564=""),"FALTA NF",
O1564&lt;&gt;"","CONCLUÍDO")</f>
        <v>CONCLUÍDO</v>
      </c>
      <c r="R1564" s="36"/>
    </row>
    <row r="1565" spans="1:18" hidden="1">
      <c r="A1565" s="16">
        <v>46156</v>
      </c>
      <c r="B1565" s="16">
        <v>46161</v>
      </c>
      <c r="C1565" s="21">
        <v>51507013</v>
      </c>
      <c r="D1565" s="16" t="str">
        <f>IFERROR(VLOOKUP(Tabela5[[#This Row],[PREFIXO ]],Tabela4[#All],2,0),"CENTRO DE CUSTO")</f>
        <v>COLHED ALGODÃO JOHN DEERE CP 690</v>
      </c>
      <c r="E1565" s="18" t="s">
        <v>17</v>
      </c>
      <c r="F1565" s="21">
        <v>44325</v>
      </c>
      <c r="G1565" s="22">
        <v>2446.88</v>
      </c>
      <c r="H1565" s="22">
        <v>813.12</v>
      </c>
      <c r="I1565" s="22">
        <f t="shared" si="25"/>
        <v>3260</v>
      </c>
      <c r="J1565" s="18" t="s">
        <v>1123</v>
      </c>
      <c r="K1565" s="18">
        <v>9867434</v>
      </c>
      <c r="L1565" s="18">
        <v>932875</v>
      </c>
      <c r="M1565" s="18" t="s">
        <v>3583</v>
      </c>
      <c r="N1565" s="16" t="s">
        <v>3584</v>
      </c>
      <c r="O1565" s="18" t="s">
        <v>3585</v>
      </c>
      <c r="P1565" s="18" t="s">
        <v>3567</v>
      </c>
      <c r="Q1565" s="29" t="str" cm="1">
        <f t="array" ref="Q1565">_xlfn.IFS(
A1565="","",
AND(A1565&lt;&gt;"",B1565=""),"FALTA LANÇAMENTO",
AND(B1565&lt;&gt;"",M1565=""),"FALTA O PEDIDO",
AND(M1565&lt;&gt;"",O1565=""),"FALTA NF",
O1565&lt;&gt;"","CONCLUÍDO")</f>
        <v>CONCLUÍDO</v>
      </c>
      <c r="R1565" s="36"/>
    </row>
    <row r="1566" spans="1:18" hidden="1">
      <c r="A1566" s="16">
        <v>46156</v>
      </c>
      <c r="B1566" s="16">
        <v>46157</v>
      </c>
      <c r="C1566" s="21">
        <v>51519055</v>
      </c>
      <c r="D1566" s="16" t="str">
        <f>IFERROR(VLOOKUP(Tabela5[[#This Row],[PREFIXO ]],Tabela4[#All],2,0),"CENTRO DE CUSTO")</f>
        <v>COLHED ALGODÃO JOHN DEERE CP 770</v>
      </c>
      <c r="E1566" s="18" t="s">
        <v>17</v>
      </c>
      <c r="F1566" s="21">
        <v>44301</v>
      </c>
      <c r="G1566" s="22">
        <v>2523.2199999999998</v>
      </c>
      <c r="H1566" s="22"/>
      <c r="I1566" s="22">
        <f t="shared" si="25"/>
        <v>2523.2199999999998</v>
      </c>
      <c r="J1566" s="18" t="s">
        <v>1123</v>
      </c>
      <c r="K1566" s="18">
        <v>9862071</v>
      </c>
      <c r="L1566" s="18">
        <v>930180</v>
      </c>
      <c r="M1566" s="18" t="s">
        <v>3586</v>
      </c>
      <c r="N1566" s="16" t="s">
        <v>3528</v>
      </c>
      <c r="O1566" s="18" t="s">
        <v>3587</v>
      </c>
      <c r="P1566" s="18" t="s">
        <v>3588</v>
      </c>
      <c r="Q1566" s="29" t="str" cm="1">
        <f t="array" ref="Q1566">_xlfn.IFS(
A1566="","",
AND(A1566&lt;&gt;"",B1566=""),"FALTA LANÇAMENTO",
AND(B1566&lt;&gt;"",M1566=""),"FALTA O PEDIDO",
AND(M1566&lt;&gt;"",O1566=""),"FALTA NF",
O1566&lt;&gt;"","CONCLUÍDO")</f>
        <v>CONCLUÍDO</v>
      </c>
      <c r="R1566" s="36"/>
    </row>
    <row r="1567" spans="1:18" hidden="1">
      <c r="A1567" s="16">
        <v>46156</v>
      </c>
      <c r="B1567" s="16">
        <v>46157</v>
      </c>
      <c r="C1567" s="21">
        <v>51521064</v>
      </c>
      <c r="D1567" s="16" t="str">
        <f>IFERROR(VLOOKUP(Tabela5[[#This Row],[PREFIXO ]],Tabela4[#All],2,0),"CENTRO DE CUSTO")</f>
        <v>COLHED ALGODÃO JOHN DEERE CP 690</v>
      </c>
      <c r="E1567" s="18" t="s">
        <v>17</v>
      </c>
      <c r="F1567" s="21">
        <v>44300</v>
      </c>
      <c r="G1567" s="22">
        <v>2333.7800000000002</v>
      </c>
      <c r="H1567" s="22"/>
      <c r="I1567" s="22">
        <f t="shared" si="25"/>
        <v>2333.7800000000002</v>
      </c>
      <c r="J1567" s="18" t="s">
        <v>1123</v>
      </c>
      <c r="K1567" s="18">
        <v>9862107</v>
      </c>
      <c r="L1567" s="18">
        <v>930188</v>
      </c>
      <c r="M1567" s="18" t="s">
        <v>3589</v>
      </c>
      <c r="N1567" s="16" t="s">
        <v>3528</v>
      </c>
      <c r="O1567" s="18" t="s">
        <v>3590</v>
      </c>
      <c r="P1567" s="18" t="s">
        <v>3591</v>
      </c>
      <c r="Q1567" s="29" t="str" cm="1">
        <f t="array" ref="Q1567">_xlfn.IFS(
A1567="","",
AND(A1567&lt;&gt;"",B1567=""),"FALTA LANÇAMENTO",
AND(B1567&lt;&gt;"",M1567=""),"FALTA O PEDIDO",
AND(M1567&lt;&gt;"",O1567=""),"FALTA NF",
O1567&lt;&gt;"","CONCLUÍDO")</f>
        <v>CONCLUÍDO</v>
      </c>
      <c r="R1567" s="36"/>
    </row>
    <row r="1568" spans="1:18" hidden="1">
      <c r="A1568" s="16">
        <v>46156</v>
      </c>
      <c r="B1568" s="16">
        <v>46157</v>
      </c>
      <c r="C1568" s="21">
        <v>51521057</v>
      </c>
      <c r="D1568" s="16" t="str">
        <f>IFERROR(VLOOKUP(Tabela5[[#This Row],[PREFIXO ]],Tabela4[#All],2,0),"CENTRO DE CUSTO")</f>
        <v>COLHED ALGODÃO JOHN DEERE CP 690</v>
      </c>
      <c r="E1568" s="18" t="s">
        <v>17</v>
      </c>
      <c r="F1568" s="21">
        <v>44265</v>
      </c>
      <c r="G1568" s="22">
        <v>2263.09</v>
      </c>
      <c r="H1568" s="22"/>
      <c r="I1568" s="22">
        <f t="shared" si="25"/>
        <v>2263.09</v>
      </c>
      <c r="J1568" s="18" t="s">
        <v>1123</v>
      </c>
      <c r="K1568" s="18">
        <v>9862077</v>
      </c>
      <c r="L1568" s="18">
        <v>930180</v>
      </c>
      <c r="M1568" s="18" t="s">
        <v>3586</v>
      </c>
      <c r="N1568" s="16" t="s">
        <v>3528</v>
      </c>
      <c r="O1568" s="18" t="s">
        <v>3587</v>
      </c>
      <c r="P1568" s="18" t="s">
        <v>3588</v>
      </c>
      <c r="Q1568" s="29" t="str" cm="1">
        <f t="array" ref="Q1568">_xlfn.IFS(
A1568="","",
AND(A1568&lt;&gt;"",B1568=""),"FALTA LANÇAMENTO",
AND(B1568&lt;&gt;"",M1568=""),"FALTA O PEDIDO",
AND(M1568&lt;&gt;"",O1568=""),"FALTA NF",
O1568&lt;&gt;"","CONCLUÍDO")</f>
        <v>CONCLUÍDO</v>
      </c>
      <c r="R1568" s="36"/>
    </row>
    <row r="1569" spans="1:18" hidden="1">
      <c r="A1569" s="16">
        <v>46156</v>
      </c>
      <c r="B1569" s="16">
        <v>46157</v>
      </c>
      <c r="C1569" s="21">
        <v>51521072</v>
      </c>
      <c r="D1569" s="16" t="str">
        <f>IFERROR(VLOOKUP(Tabela5[[#This Row],[PREFIXO ]],Tabela4[#All],2,0),"CENTRO DE CUSTO")</f>
        <v>COLHED ALGODÃO JOHN DEERE CP 690</v>
      </c>
      <c r="E1569" s="18" t="s">
        <v>17</v>
      </c>
      <c r="F1569" s="21">
        <v>44173</v>
      </c>
      <c r="G1569" s="22">
        <v>2243.3000000000002</v>
      </c>
      <c r="H1569" s="22"/>
      <c r="I1569" s="22">
        <f t="shared" si="25"/>
        <v>2243.3000000000002</v>
      </c>
      <c r="J1569" s="18" t="s">
        <v>1123</v>
      </c>
      <c r="K1569" s="18">
        <v>9862105</v>
      </c>
      <c r="L1569" s="18">
        <v>930188</v>
      </c>
      <c r="M1569" s="18" t="s">
        <v>3589</v>
      </c>
      <c r="N1569" s="16" t="s">
        <v>3528</v>
      </c>
      <c r="O1569" s="18" t="s">
        <v>3590</v>
      </c>
      <c r="P1569" s="18" t="s">
        <v>3591</v>
      </c>
      <c r="Q1569" s="29" t="str" cm="1">
        <f t="array" ref="Q1569">_xlfn.IFS(
A1569="","",
AND(A1569&lt;&gt;"",B1569=""),"FALTA LANÇAMENTO",
AND(B1569&lt;&gt;"",M1569=""),"FALTA O PEDIDO",
AND(M1569&lt;&gt;"",O1569=""),"FALTA NF",
O1569&lt;&gt;"","CONCLUÍDO")</f>
        <v>CONCLUÍDO</v>
      </c>
      <c r="R1569" s="36"/>
    </row>
    <row r="1570" spans="1:18" hidden="1">
      <c r="A1570" s="16">
        <v>46156</v>
      </c>
      <c r="B1570" s="16">
        <v>46157</v>
      </c>
      <c r="C1570" s="21">
        <v>5173102</v>
      </c>
      <c r="D1570" s="16" t="str">
        <f>IFERROR(VLOOKUP(Tabela5[[#This Row],[PREFIXO ]],Tabela4[#All],2,0),"CENTRO DE CUSTO")</f>
        <v>CENTRO DE CUSTO</v>
      </c>
      <c r="E1570" s="18" t="s">
        <v>17</v>
      </c>
      <c r="F1570" s="21">
        <v>44344</v>
      </c>
      <c r="G1570" s="22">
        <v>2206.54</v>
      </c>
      <c r="H1570" s="22"/>
      <c r="I1570" s="22">
        <f t="shared" si="25"/>
        <v>2206.54</v>
      </c>
      <c r="J1570" s="18" t="s">
        <v>1123</v>
      </c>
      <c r="K1570" s="18">
        <v>9862132</v>
      </c>
      <c r="L1570" s="18">
        <v>930182</v>
      </c>
      <c r="M1570" s="18" t="s">
        <v>3580</v>
      </c>
      <c r="N1570" s="16" t="s">
        <v>3528</v>
      </c>
      <c r="O1570" s="18" t="s">
        <v>3581</v>
      </c>
      <c r="P1570" s="18" t="s">
        <v>3582</v>
      </c>
      <c r="Q1570" s="29" t="str" cm="1">
        <f t="array" ref="Q1570">_xlfn.IFS(
A1570="","",
AND(A1570&lt;&gt;"",B1570=""),"FALTA LANÇAMENTO",
AND(B1570&lt;&gt;"",M1570=""),"FALTA O PEDIDO",
AND(M1570&lt;&gt;"",O1570=""),"FALTA NF",
O1570&lt;&gt;"","CONCLUÍDO")</f>
        <v>CONCLUÍDO</v>
      </c>
      <c r="R1570" s="36"/>
    </row>
    <row r="1571" spans="1:18" hidden="1">
      <c r="A1571" s="16">
        <v>46156</v>
      </c>
      <c r="B1571" s="16">
        <v>46157</v>
      </c>
      <c r="C1571" s="21">
        <v>51521051</v>
      </c>
      <c r="D1571" s="16" t="str">
        <f>IFERROR(VLOOKUP(Tabela5[[#This Row],[PREFIXO ]],Tabela4[#All],2,0),"CENTRO DE CUSTO")</f>
        <v>COLHED ALGODÃO JOHN DEERE CP 690</v>
      </c>
      <c r="E1571" s="18" t="s">
        <v>17</v>
      </c>
      <c r="F1571" s="21">
        <v>44257</v>
      </c>
      <c r="G1571" s="22">
        <v>2200.88</v>
      </c>
      <c r="H1571" s="22"/>
      <c r="I1571" s="22">
        <f t="shared" si="25"/>
        <v>2200.88</v>
      </c>
      <c r="J1571" s="18" t="s">
        <v>1123</v>
      </c>
      <c r="K1571" s="18">
        <v>9862122</v>
      </c>
      <c r="L1571" s="18">
        <v>930182</v>
      </c>
      <c r="M1571" s="18" t="s">
        <v>3580</v>
      </c>
      <c r="N1571" s="16" t="s">
        <v>3528</v>
      </c>
      <c r="O1571" s="18" t="s">
        <v>3581</v>
      </c>
      <c r="P1571" s="18" t="s">
        <v>3582</v>
      </c>
      <c r="Q1571" s="29" t="str" cm="1">
        <f t="array" ref="Q1571">_xlfn.IFS(
A1571="","",
AND(A1571&lt;&gt;"",B1571=""),"FALTA LANÇAMENTO",
AND(B1571&lt;&gt;"",M1571=""),"FALTA O PEDIDO",
AND(M1571&lt;&gt;"",O1571=""),"FALTA NF",
O1571&lt;&gt;"","CONCLUÍDO")</f>
        <v>CONCLUÍDO</v>
      </c>
      <c r="R1571" s="36"/>
    </row>
    <row r="1572" spans="1:18" hidden="1">
      <c r="A1572" s="16">
        <v>46156</v>
      </c>
      <c r="B1572" s="16">
        <v>46157</v>
      </c>
      <c r="C1572" s="21">
        <v>51521066</v>
      </c>
      <c r="D1572" s="16" t="str">
        <f>IFERROR(VLOOKUP(Tabela5[[#This Row],[PREFIXO ]],Tabela4[#All],2,0),"CENTRO DE CUSTO")</f>
        <v>COLHED ALGODÃO JOHN DEERE CP 690</v>
      </c>
      <c r="E1572" s="18" t="s">
        <v>17</v>
      </c>
      <c r="F1572" s="21">
        <v>44303</v>
      </c>
      <c r="G1572" s="22">
        <v>2183.92</v>
      </c>
      <c r="H1572" s="22"/>
      <c r="I1572" s="22">
        <f t="shared" si="25"/>
        <v>2183.92</v>
      </c>
      <c r="J1572" s="18" t="s">
        <v>1123</v>
      </c>
      <c r="K1572" s="18">
        <v>9862074</v>
      </c>
      <c r="L1572" s="18">
        <v>930180</v>
      </c>
      <c r="M1572" s="18" t="s">
        <v>3586</v>
      </c>
      <c r="N1572" s="16" t="s">
        <v>3528</v>
      </c>
      <c r="O1572" s="18" t="s">
        <v>3587</v>
      </c>
      <c r="P1572" s="18" t="s">
        <v>3588</v>
      </c>
      <c r="Q1572" s="29" t="str" cm="1">
        <f t="array" ref="Q1572">_xlfn.IFS(
A1572="","",
AND(A1572&lt;&gt;"",B1572=""),"FALTA LANÇAMENTO",
AND(B1572&lt;&gt;"",M1572=""),"FALTA O PEDIDO",
AND(M1572&lt;&gt;"",O1572=""),"FALTA NF",
O1572&lt;&gt;"","CONCLUÍDO")</f>
        <v>CONCLUÍDO</v>
      </c>
      <c r="R1572" s="36"/>
    </row>
    <row r="1573" spans="1:18" hidden="1">
      <c r="A1573" s="16">
        <v>46156</v>
      </c>
      <c r="B1573" s="16">
        <v>46157</v>
      </c>
      <c r="C1573" s="21">
        <v>51521065</v>
      </c>
      <c r="D1573" s="16" t="str">
        <f>IFERROR(VLOOKUP(Tabela5[[#This Row],[PREFIXO ]],Tabela4[#All],2,0),"CENTRO DE CUSTO")</f>
        <v>COLHED ALGODÃO JOHN DEERE CP 690</v>
      </c>
      <c r="E1573" s="18" t="s">
        <v>17</v>
      </c>
      <c r="F1573" s="21">
        <v>44304</v>
      </c>
      <c r="G1573" s="22">
        <v>2155.64</v>
      </c>
      <c r="H1573" s="22"/>
      <c r="I1573" s="22">
        <f t="shared" si="25"/>
        <v>2155.64</v>
      </c>
      <c r="J1573" s="18" t="s">
        <v>1123</v>
      </c>
      <c r="K1573" s="18">
        <v>9862068</v>
      </c>
      <c r="L1573" s="18">
        <v>930180</v>
      </c>
      <c r="M1573" s="18" t="s">
        <v>3586</v>
      </c>
      <c r="N1573" s="16" t="s">
        <v>3528</v>
      </c>
      <c r="O1573" s="18" t="s">
        <v>3587</v>
      </c>
      <c r="P1573" s="18" t="s">
        <v>3588</v>
      </c>
      <c r="Q1573" s="29" t="str" cm="1">
        <f t="array" ref="Q1573">_xlfn.IFS(
A1573="","",
AND(A1573&lt;&gt;"",B1573=""),"FALTA LANÇAMENTO",
AND(B1573&lt;&gt;"",M1573=""),"FALTA O PEDIDO",
AND(M1573&lt;&gt;"",O1573=""),"FALTA NF",
O1573&lt;&gt;"","CONCLUÍDO")</f>
        <v>CONCLUÍDO</v>
      </c>
      <c r="R1573" s="36"/>
    </row>
    <row r="1574" spans="1:18" hidden="1">
      <c r="A1574" s="16">
        <v>46156</v>
      </c>
      <c r="B1574" s="16">
        <v>46157</v>
      </c>
      <c r="C1574" s="21">
        <v>51521054</v>
      </c>
      <c r="D1574" s="16" t="str">
        <f>IFERROR(VLOOKUP(Tabela5[[#This Row],[PREFIXO ]],Tabela4[#All],2,0),"CENTRO DE CUSTO")</f>
        <v>COLHED ALGODÃO JOHN DEERE CP 690</v>
      </c>
      <c r="E1574" s="18" t="s">
        <v>17</v>
      </c>
      <c r="F1574" s="21">
        <v>44305</v>
      </c>
      <c r="G1574" s="22">
        <v>2130.1999999999998</v>
      </c>
      <c r="H1574" s="22"/>
      <c r="I1574" s="22">
        <f t="shared" si="25"/>
        <v>2130.1999999999998</v>
      </c>
      <c r="J1574" s="18" t="s">
        <v>1123</v>
      </c>
      <c r="K1574" s="18">
        <v>9862069</v>
      </c>
      <c r="L1574" s="18">
        <v>930180</v>
      </c>
      <c r="M1574" s="18" t="s">
        <v>3586</v>
      </c>
      <c r="N1574" s="16" t="s">
        <v>3528</v>
      </c>
      <c r="O1574" s="18" t="s">
        <v>3587</v>
      </c>
      <c r="P1574" s="18" t="s">
        <v>3588</v>
      </c>
      <c r="Q1574" s="29" t="str" cm="1">
        <f t="array" ref="Q1574">_xlfn.IFS(
A1574="","",
AND(A1574&lt;&gt;"",B1574=""),"FALTA LANÇAMENTO",
AND(B1574&lt;&gt;"",M1574=""),"FALTA O PEDIDO",
AND(M1574&lt;&gt;"",O1574=""),"FALTA NF",
O1574&lt;&gt;"","CONCLUÍDO")</f>
        <v>CONCLUÍDO</v>
      </c>
      <c r="R1574" s="36"/>
    </row>
    <row r="1575" spans="1:18" hidden="1">
      <c r="A1575" s="16">
        <v>46156</v>
      </c>
      <c r="B1575" s="16">
        <v>46157</v>
      </c>
      <c r="C1575" s="21">
        <v>51521063</v>
      </c>
      <c r="D1575" s="16" t="str">
        <f>IFERROR(VLOOKUP(Tabela5[[#This Row],[PREFIXO ]],Tabela4[#All],2,0),"CENTRO DE CUSTO")</f>
        <v>COLHED ALGODÃO JOHN DEERE CP 690</v>
      </c>
      <c r="E1575" s="18" t="s">
        <v>17</v>
      </c>
      <c r="F1575" s="21">
        <v>44266</v>
      </c>
      <c r="G1575" s="22">
        <v>2051.0300000000002</v>
      </c>
      <c r="H1575" s="22"/>
      <c r="I1575" s="22">
        <f t="shared" si="25"/>
        <v>2051.0300000000002</v>
      </c>
      <c r="J1575" s="18" t="s">
        <v>1123</v>
      </c>
      <c r="K1575" s="18">
        <v>9862127</v>
      </c>
      <c r="L1575" s="18">
        <v>930182</v>
      </c>
      <c r="M1575" s="18" t="s">
        <v>3580</v>
      </c>
      <c r="N1575" s="16" t="s">
        <v>3528</v>
      </c>
      <c r="O1575" s="18" t="s">
        <v>3581</v>
      </c>
      <c r="P1575" s="18" t="s">
        <v>3582</v>
      </c>
      <c r="Q1575" s="29" t="str" cm="1">
        <f t="array" ref="Q1575">_xlfn.IFS(
A1575="","",
AND(A1575&lt;&gt;"",B1575=""),"FALTA LANÇAMENTO",
AND(B1575&lt;&gt;"",M1575=""),"FALTA O PEDIDO",
AND(M1575&lt;&gt;"",O1575=""),"FALTA NF",
O1575&lt;&gt;"","CONCLUÍDO")</f>
        <v>CONCLUÍDO</v>
      </c>
      <c r="R1575" s="36"/>
    </row>
    <row r="1576" spans="1:18" hidden="1">
      <c r="A1576" s="16">
        <v>46156</v>
      </c>
      <c r="B1576" s="16">
        <v>46157</v>
      </c>
      <c r="C1576" s="21">
        <v>51521062</v>
      </c>
      <c r="D1576" s="16" t="str">
        <f>IFERROR(VLOOKUP(Tabela5[[#This Row],[PREFIXO ]],Tabela4[#All],2,0),"CENTRO DE CUSTO")</f>
        <v>COLHED ALGODÃO JOHN DEERE CP 690</v>
      </c>
      <c r="E1576" s="18" t="s">
        <v>17</v>
      </c>
      <c r="F1576" s="21">
        <v>44125</v>
      </c>
      <c r="G1576" s="22">
        <v>2011.44</v>
      </c>
      <c r="H1576" s="22"/>
      <c r="I1576" s="22">
        <f t="shared" si="25"/>
        <v>2011.44</v>
      </c>
      <c r="J1576" s="18" t="s">
        <v>1123</v>
      </c>
      <c r="K1576" s="18">
        <v>9862118</v>
      </c>
      <c r="L1576" s="18">
        <v>930182</v>
      </c>
      <c r="M1576" s="18" t="s">
        <v>3580</v>
      </c>
      <c r="N1576" s="16" t="s">
        <v>3528</v>
      </c>
      <c r="O1576" s="18" t="s">
        <v>3581</v>
      </c>
      <c r="P1576" s="18" t="s">
        <v>3582</v>
      </c>
      <c r="Q1576" s="29" t="str" cm="1">
        <f t="array" ref="Q1576">_xlfn.IFS(
A1576="","",
AND(A1576&lt;&gt;"",B1576=""),"FALTA LANÇAMENTO",
AND(B1576&lt;&gt;"",M1576=""),"FALTA O PEDIDO",
AND(M1576&lt;&gt;"",O1576=""),"FALTA NF",
O1576&lt;&gt;"","CONCLUÍDO")</f>
        <v>CONCLUÍDO</v>
      </c>
      <c r="R1576" s="36"/>
    </row>
    <row r="1577" spans="1:18" hidden="1">
      <c r="A1577" s="16">
        <v>46156</v>
      </c>
      <c r="B1577" s="16">
        <v>46157</v>
      </c>
      <c r="C1577" s="21">
        <v>51521058</v>
      </c>
      <c r="D1577" s="16" t="str">
        <f>IFERROR(VLOOKUP(Tabela5[[#This Row],[PREFIXO ]],Tabela4[#All],2,0),"CENTRO DE CUSTO")</f>
        <v>COLHED ALGODÃO JOHN DEERE CP 690</v>
      </c>
      <c r="E1577" s="18" t="s">
        <v>17</v>
      </c>
      <c r="F1577" s="21">
        <v>44340</v>
      </c>
      <c r="G1577" s="22">
        <v>1740</v>
      </c>
      <c r="H1577" s="22"/>
      <c r="I1577" s="22">
        <f t="shared" si="25"/>
        <v>1740</v>
      </c>
      <c r="J1577" s="18" t="s">
        <v>1123</v>
      </c>
      <c r="K1577" s="18">
        <v>9862073</v>
      </c>
      <c r="L1577" s="18">
        <v>930180</v>
      </c>
      <c r="M1577" s="18" t="s">
        <v>3586</v>
      </c>
      <c r="N1577" s="16" t="s">
        <v>3528</v>
      </c>
      <c r="O1577" s="18" t="s">
        <v>3587</v>
      </c>
      <c r="P1577" s="18" t="s">
        <v>3588</v>
      </c>
      <c r="Q1577" s="29" t="str" cm="1">
        <f t="array" ref="Q1577">_xlfn.IFS(
A1577="","",
AND(A1577&lt;&gt;"",B1577=""),"FALTA LANÇAMENTO",
AND(B1577&lt;&gt;"",M1577=""),"FALTA O PEDIDO",
AND(M1577&lt;&gt;"",O1577=""),"FALTA NF",
O1577&lt;&gt;"","CONCLUÍDO")</f>
        <v>CONCLUÍDO</v>
      </c>
      <c r="R1577" s="36"/>
    </row>
    <row r="1578" spans="1:18" hidden="1">
      <c r="A1578" s="16">
        <v>46156</v>
      </c>
      <c r="B1578" s="16">
        <v>46157</v>
      </c>
      <c r="C1578" s="21">
        <v>51521049</v>
      </c>
      <c r="D1578" s="16" t="str">
        <f>IFERROR(VLOOKUP(Tabela5[[#This Row],[PREFIXO ]],Tabela4[#All],2,0),"CENTRO DE CUSTO")</f>
        <v>COLHED ALGODÃO JOHN DEERE CP 690</v>
      </c>
      <c r="E1578" s="18" t="s">
        <v>17</v>
      </c>
      <c r="F1578" s="21">
        <v>44343</v>
      </c>
      <c r="G1578" s="22">
        <v>1740</v>
      </c>
      <c r="H1578" s="22"/>
      <c r="I1578" s="22">
        <f t="shared" si="25"/>
        <v>1740</v>
      </c>
      <c r="J1578" s="18" t="s">
        <v>1123</v>
      </c>
      <c r="K1578" s="18">
        <v>9862070</v>
      </c>
      <c r="L1578" s="18">
        <v>930180</v>
      </c>
      <c r="M1578" s="18" t="s">
        <v>3586</v>
      </c>
      <c r="N1578" s="16" t="s">
        <v>3528</v>
      </c>
      <c r="O1578" s="18" t="s">
        <v>3587</v>
      </c>
      <c r="P1578" s="18" t="s">
        <v>3588</v>
      </c>
      <c r="Q1578" s="29" t="str" cm="1">
        <f t="array" ref="Q1578">_xlfn.IFS(
A1578="","",
AND(A1578&lt;&gt;"",B1578=""),"FALTA LANÇAMENTO",
AND(B1578&lt;&gt;"",M1578=""),"FALTA O PEDIDO",
AND(M1578&lt;&gt;"",O1578=""),"FALTA NF",
O1578&lt;&gt;"","CONCLUÍDO")</f>
        <v>CONCLUÍDO</v>
      </c>
      <c r="R1578" s="36"/>
    </row>
    <row r="1579" spans="1:18" hidden="1">
      <c r="A1579" s="16">
        <v>46156</v>
      </c>
      <c r="B1579" s="16">
        <v>46157</v>
      </c>
      <c r="C1579" s="21">
        <v>51521044</v>
      </c>
      <c r="D1579" s="16" t="str">
        <f>IFERROR(VLOOKUP(Tabela5[[#This Row],[PREFIXO ]],Tabela4[#All],2,0),"CENTRO DE CUSTO")</f>
        <v>COLHED ALGODÃO JOHN DEERE CP 690</v>
      </c>
      <c r="E1579" s="18" t="s">
        <v>17</v>
      </c>
      <c r="F1579" s="21">
        <v>44262</v>
      </c>
      <c r="G1579" s="22">
        <v>1740</v>
      </c>
      <c r="H1579" s="22"/>
      <c r="I1579" s="22">
        <f t="shared" si="25"/>
        <v>1740</v>
      </c>
      <c r="J1579" s="18" t="s">
        <v>1123</v>
      </c>
      <c r="K1579" s="18">
        <v>9862111</v>
      </c>
      <c r="L1579" s="18">
        <v>930188</v>
      </c>
      <c r="M1579" s="18" t="s">
        <v>3589</v>
      </c>
      <c r="N1579" s="16" t="s">
        <v>3528</v>
      </c>
      <c r="O1579" s="18" t="s">
        <v>3590</v>
      </c>
      <c r="P1579" s="18" t="s">
        <v>3591</v>
      </c>
      <c r="Q1579" s="29" t="str" cm="1">
        <f t="array" ref="Q1579">_xlfn.IFS(
A1579="","",
AND(A1579&lt;&gt;"",B1579=""),"FALTA LANÇAMENTO",
AND(B1579&lt;&gt;"",M1579=""),"FALTA O PEDIDO",
AND(M1579&lt;&gt;"",O1579=""),"FALTA NF",
O1579&lt;&gt;"","CONCLUÍDO")</f>
        <v>CONCLUÍDO</v>
      </c>
      <c r="R1579" s="36"/>
    </row>
    <row r="1580" spans="1:18" hidden="1">
      <c r="A1580" s="16">
        <v>46156</v>
      </c>
      <c r="B1580" s="16">
        <v>46157</v>
      </c>
      <c r="C1580" s="21">
        <v>51521050</v>
      </c>
      <c r="D1580" s="16" t="str">
        <f>IFERROR(VLOOKUP(Tabela5[[#This Row],[PREFIXO ]],Tabela4[#All],2,0),"CENTRO DE CUSTO")</f>
        <v>COLHED ALGODÃO JOHN DEERE CP 690</v>
      </c>
      <c r="E1580" s="18" t="s">
        <v>17</v>
      </c>
      <c r="F1580" s="21">
        <v>44342</v>
      </c>
      <c r="G1580" s="22">
        <v>1740</v>
      </c>
      <c r="H1580" s="22"/>
      <c r="I1580" s="22">
        <f t="shared" si="25"/>
        <v>1740</v>
      </c>
      <c r="J1580" s="18" t="s">
        <v>1123</v>
      </c>
      <c r="K1580" s="18">
        <v>9862103</v>
      </c>
      <c r="L1580" s="18">
        <v>930188</v>
      </c>
      <c r="M1580" s="18" t="s">
        <v>3589</v>
      </c>
      <c r="N1580" s="16" t="s">
        <v>3528</v>
      </c>
      <c r="O1580" s="18" t="s">
        <v>3590</v>
      </c>
      <c r="P1580" s="18" t="s">
        <v>3591</v>
      </c>
      <c r="Q1580" s="29" t="str" cm="1">
        <f t="array" ref="Q1580">_xlfn.IFS(
A1580="","",
AND(A1580&lt;&gt;"",B1580=""),"FALTA LANÇAMENTO",
AND(B1580&lt;&gt;"",M1580=""),"FALTA O PEDIDO",
AND(M1580&lt;&gt;"",O1580=""),"FALTA NF",
O1580&lt;&gt;"","CONCLUÍDO")</f>
        <v>CONCLUÍDO</v>
      </c>
      <c r="R1580" s="36"/>
    </row>
    <row r="1581" spans="1:18" hidden="1">
      <c r="A1581" s="16">
        <v>46156</v>
      </c>
      <c r="B1581" s="16">
        <v>46157</v>
      </c>
      <c r="C1581" s="21">
        <v>51521069</v>
      </c>
      <c r="D1581" s="16" t="str">
        <f>IFERROR(VLOOKUP(Tabela5[[#This Row],[PREFIXO ]],Tabela4[#All],2,0),"CENTRO DE CUSTO")</f>
        <v>COLHED ALGODÃO JOHN DEERE CP 690</v>
      </c>
      <c r="E1581" s="18" t="s">
        <v>17</v>
      </c>
      <c r="F1581" s="21">
        <v>44174</v>
      </c>
      <c r="G1581" s="22">
        <v>1740</v>
      </c>
      <c r="H1581" s="22"/>
      <c r="I1581" s="22">
        <f t="shared" si="25"/>
        <v>1740</v>
      </c>
      <c r="J1581" s="18" t="s">
        <v>1123</v>
      </c>
      <c r="K1581" s="18">
        <v>9862137</v>
      </c>
      <c r="L1581" s="18">
        <v>930182</v>
      </c>
      <c r="M1581" s="18" t="s">
        <v>3580</v>
      </c>
      <c r="N1581" s="16" t="s">
        <v>3528</v>
      </c>
      <c r="O1581" s="18" t="s">
        <v>3581</v>
      </c>
      <c r="P1581" s="18" t="s">
        <v>3582</v>
      </c>
      <c r="Q1581" s="29" t="str" cm="1">
        <f t="array" ref="Q1581">_xlfn.IFS(
A1581="","",
AND(A1581&lt;&gt;"",B1581=""),"FALTA LANÇAMENTO",
AND(B1581&lt;&gt;"",M1581=""),"FALTA O PEDIDO",
AND(M1581&lt;&gt;"",O1581=""),"FALTA NF",
O1581&lt;&gt;"","CONCLUÍDO")</f>
        <v>CONCLUÍDO</v>
      </c>
      <c r="R1581" s="36"/>
    </row>
    <row r="1582" spans="1:18" hidden="1">
      <c r="A1582" s="16">
        <v>46156</v>
      </c>
      <c r="B1582" s="16">
        <v>46157</v>
      </c>
      <c r="C1582" s="21">
        <v>5173120</v>
      </c>
      <c r="D1582" s="16" t="str">
        <f>IFERROR(VLOOKUP(Tabela5[[#This Row],[PREFIXO ]],Tabela4[#All],2,0),"CENTRO DE CUSTO")</f>
        <v>COLHED ALGODÃO JOHN DEERE 7760</v>
      </c>
      <c r="E1582" s="18" t="s">
        <v>17</v>
      </c>
      <c r="F1582" s="21">
        <v>44341</v>
      </c>
      <c r="G1582" s="22">
        <v>1740</v>
      </c>
      <c r="H1582" s="22"/>
      <c r="I1582" s="22">
        <f t="shared" si="25"/>
        <v>1740</v>
      </c>
      <c r="J1582" s="18" t="s">
        <v>1123</v>
      </c>
      <c r="K1582" s="18">
        <v>9862136</v>
      </c>
      <c r="L1582" s="18">
        <v>930182</v>
      </c>
      <c r="M1582" s="18" t="s">
        <v>3580</v>
      </c>
      <c r="N1582" s="16" t="s">
        <v>3528</v>
      </c>
      <c r="O1582" s="18" t="s">
        <v>3581</v>
      </c>
      <c r="P1582" s="18" t="s">
        <v>3582</v>
      </c>
      <c r="Q1582" s="29" t="str" cm="1">
        <f t="array" ref="Q1582">_xlfn.IFS(
A1582="","",
AND(A1582&lt;&gt;"",B1582=""),"FALTA LANÇAMENTO",
AND(B1582&lt;&gt;"",M1582=""),"FALTA O PEDIDO",
AND(M1582&lt;&gt;"",O1582=""),"FALTA NF",
O1582&lt;&gt;"","CONCLUÍDO")</f>
        <v>CONCLUÍDO</v>
      </c>
      <c r="R1582" s="36"/>
    </row>
    <row r="1583" spans="1:18" hidden="1">
      <c r="A1583" s="16">
        <v>46156</v>
      </c>
      <c r="B1583" s="16">
        <v>46160</v>
      </c>
      <c r="C1583" s="21" t="s">
        <v>3592</v>
      </c>
      <c r="D1583" s="16" t="str">
        <f>IFERROR(VLOOKUP(Tabela5[[#This Row],[PREFIXO ]],Tabela4[#All],2,0),"CENTRO DE CUSTO")</f>
        <v>CENTRO DE CUSTO</v>
      </c>
      <c r="E1583" s="18" t="s">
        <v>66</v>
      </c>
      <c r="F1583" s="21">
        <v>9693</v>
      </c>
      <c r="G1583" s="22">
        <v>52500</v>
      </c>
      <c r="H1583" s="22"/>
      <c r="I1583" s="22">
        <f t="shared" si="25"/>
        <v>52500</v>
      </c>
      <c r="J1583" s="18" t="s">
        <v>1265</v>
      </c>
      <c r="K1583" s="18" t="s">
        <v>3593</v>
      </c>
      <c r="L1583" s="18">
        <v>931240</v>
      </c>
      <c r="M1583" s="18" t="s">
        <v>3594</v>
      </c>
      <c r="N1583" s="16" t="s">
        <v>2684</v>
      </c>
      <c r="O1583" s="18" t="s">
        <v>3595</v>
      </c>
      <c r="P1583" s="18" t="s">
        <v>3584</v>
      </c>
      <c r="Q1583" s="29" t="str" cm="1">
        <f t="array" ref="Q1583">_xlfn.IFS(
A1583="","",
AND(A1583&lt;&gt;"",B1583=""),"FALTA LANÇAMENTO",
AND(B1583&lt;&gt;"",M1583=""),"FALTA O PEDIDO",
AND(M1583&lt;&gt;"",O1583=""),"FALTA NF",
O1583&lt;&gt;"","CONCLUÍDO")</f>
        <v>CONCLUÍDO</v>
      </c>
      <c r="R1583" s="36"/>
    </row>
    <row r="1584" spans="1:18" hidden="1">
      <c r="A1584" s="16">
        <v>46156</v>
      </c>
      <c r="B1584" s="16">
        <v>46157</v>
      </c>
      <c r="C1584" s="21">
        <v>23220001</v>
      </c>
      <c r="D1584" s="16" t="str">
        <f>IFERROR(VLOOKUP(Tabela5[[#This Row],[PREFIXO ]],Tabela4[#All],2,0),"CENTRO DE CUSTO")</f>
        <v>CENTRO DE CUSTO</v>
      </c>
      <c r="E1584" s="18" t="s">
        <v>162</v>
      </c>
      <c r="F1584" s="21">
        <v>13190</v>
      </c>
      <c r="G1584" s="22">
        <v>10504.5</v>
      </c>
      <c r="H1584" s="22"/>
      <c r="I1584" s="22">
        <f t="shared" si="25"/>
        <v>10504.5</v>
      </c>
      <c r="J1584" s="18" t="s">
        <v>1123</v>
      </c>
      <c r="K1584" s="18">
        <v>9861659</v>
      </c>
      <c r="L1584" s="18">
        <v>930123</v>
      </c>
      <c r="M1584" s="18" t="s">
        <v>3596</v>
      </c>
      <c r="N1584" s="16" t="s">
        <v>3447</v>
      </c>
      <c r="O1584" s="18" t="s">
        <v>3597</v>
      </c>
      <c r="P1584" s="18" t="s">
        <v>3576</v>
      </c>
      <c r="Q1584" s="29" t="str" cm="1">
        <f t="array" ref="Q1584">_xlfn.IFS(
A1584="","",
AND(A1584&lt;&gt;"",B1584=""),"FALTA LANÇAMENTO",
AND(B1584&lt;&gt;"",M1584=""),"FALTA O PEDIDO",
AND(M1584&lt;&gt;"",O1584=""),"FALTA NF",
O1584&lt;&gt;"","CONCLUÍDO")</f>
        <v>CONCLUÍDO</v>
      </c>
      <c r="R1584" s="36" t="s">
        <v>3307</v>
      </c>
    </row>
    <row r="1585" spans="1:18" hidden="1">
      <c r="A1585" s="16">
        <v>46156</v>
      </c>
      <c r="B1585" s="16">
        <v>46157</v>
      </c>
      <c r="C1585" s="21">
        <v>500580263</v>
      </c>
      <c r="D1585" s="16" t="str">
        <f>IFERROR(VLOOKUP(Tabela5[[#This Row],[PREFIXO ]],Tabela4[#All],2,0),"CENTRO DE CUSTO")</f>
        <v>Colheit. Grãos-Axial</v>
      </c>
      <c r="E1585" s="18" t="s">
        <v>247</v>
      </c>
      <c r="F1585" s="21">
        <v>135852</v>
      </c>
      <c r="G1585" s="22">
        <v>912</v>
      </c>
      <c r="H1585" s="22">
        <v>456</v>
      </c>
      <c r="I1585" s="22">
        <f t="shared" si="25"/>
        <v>1368</v>
      </c>
      <c r="J1585" s="18" t="s">
        <v>1123</v>
      </c>
      <c r="K1585" s="18">
        <v>5020777</v>
      </c>
      <c r="L1585" s="18">
        <v>930178</v>
      </c>
      <c r="M1585" s="18" t="s">
        <v>3598</v>
      </c>
      <c r="N1585" s="16" t="s">
        <v>3528</v>
      </c>
      <c r="O1585" s="18" t="s">
        <v>3599</v>
      </c>
      <c r="P1585" s="18" t="s">
        <v>3400</v>
      </c>
      <c r="Q1585" s="29" t="str" cm="1">
        <f t="array" ref="Q1585">_xlfn.IFS(
A1585="","",
AND(A1585&lt;&gt;"",B1585=""),"FALTA LANÇAMENTO",
AND(B1585&lt;&gt;"",M1585=""),"FALTA O PEDIDO",
AND(M1585&lt;&gt;"",O1585=""),"FALTA NF",
O1585&lt;&gt;"","CONCLUÍDO")</f>
        <v>CONCLUÍDO</v>
      </c>
      <c r="R1585" s="36"/>
    </row>
    <row r="1586" spans="1:18" hidden="1">
      <c r="A1586" s="16">
        <v>46156</v>
      </c>
      <c r="B1586" s="16">
        <v>46157</v>
      </c>
      <c r="C1586" s="21">
        <v>51519055</v>
      </c>
      <c r="D1586" s="16" t="str">
        <f>IFERROR(VLOOKUP(Tabela5[[#This Row],[PREFIXO ]],Tabela4[#All],2,0),"CENTRO DE CUSTO")</f>
        <v>COLHED ALGODÃO JOHN DEERE CP 770</v>
      </c>
      <c r="E1586" s="18" t="s">
        <v>255</v>
      </c>
      <c r="F1586" s="21">
        <v>967</v>
      </c>
      <c r="G1586" s="22">
        <v>1600</v>
      </c>
      <c r="H1586" s="22"/>
      <c r="I1586" s="22">
        <f t="shared" si="25"/>
        <v>1600</v>
      </c>
      <c r="J1586" s="18" t="s">
        <v>1123</v>
      </c>
      <c r="K1586" s="18">
        <v>9861929</v>
      </c>
      <c r="L1586" s="18">
        <v>930191</v>
      </c>
      <c r="M1586" s="18" t="s">
        <v>3600</v>
      </c>
      <c r="N1586" s="16" t="s">
        <v>3528</v>
      </c>
      <c r="O1586" s="18" t="s">
        <v>1851</v>
      </c>
      <c r="P1586" s="18" t="s">
        <v>3557</v>
      </c>
      <c r="Q1586" s="29" t="str" cm="1">
        <f t="array" ref="Q1586">_xlfn.IFS(
A1586="","",
AND(A1586&lt;&gt;"",B1586=""),"FALTA LANÇAMENTO",
AND(B1586&lt;&gt;"",M1586=""),"FALTA O PEDIDO",
AND(M1586&lt;&gt;"",O1586=""),"FALTA NF",
O1586&lt;&gt;"","CONCLUÍDO")</f>
        <v>CONCLUÍDO</v>
      </c>
      <c r="R1586" s="36"/>
    </row>
    <row r="1587" spans="1:18" hidden="1">
      <c r="A1587" s="16">
        <v>46156</v>
      </c>
      <c r="B1587" s="16">
        <v>46157</v>
      </c>
      <c r="C1587" s="21">
        <v>51519059</v>
      </c>
      <c r="D1587" s="16" t="str">
        <f>IFERROR(VLOOKUP(Tabela5[[#This Row],[PREFIXO ]],Tabela4[#All],2,0),"CENTRO DE CUSTO")</f>
        <v>CENTRO DE CUSTO</v>
      </c>
      <c r="E1587" s="18" t="s">
        <v>255</v>
      </c>
      <c r="F1587" s="21">
        <v>966</v>
      </c>
      <c r="G1587" s="22">
        <v>1550</v>
      </c>
      <c r="H1587" s="22"/>
      <c r="I1587" s="22">
        <f t="shared" si="25"/>
        <v>1550</v>
      </c>
      <c r="J1587" s="18" t="s">
        <v>1123</v>
      </c>
      <c r="K1587" s="18">
        <v>9861923</v>
      </c>
      <c r="L1587" s="18">
        <v>930191</v>
      </c>
      <c r="M1587" s="18" t="s">
        <v>3600</v>
      </c>
      <c r="N1587" s="16" t="s">
        <v>3528</v>
      </c>
      <c r="O1587" s="18" t="s">
        <v>1851</v>
      </c>
      <c r="P1587" s="18" t="s">
        <v>3557</v>
      </c>
      <c r="Q1587" s="29" t="str" cm="1">
        <f t="array" ref="Q1587">_xlfn.IFS(
A1587="","",
AND(A1587&lt;&gt;"",B1587=""),"FALTA LANÇAMENTO",
AND(B1587&lt;&gt;"",M1587=""),"FALTA O PEDIDO",
AND(M1587&lt;&gt;"",O1587=""),"FALTA NF",
O1587&lt;&gt;"","CONCLUÍDO")</f>
        <v>CONCLUÍDO</v>
      </c>
      <c r="R1587" s="36"/>
    </row>
    <row r="1588" spans="1:18" hidden="1">
      <c r="A1588" s="16">
        <v>46156</v>
      </c>
      <c r="B1588" s="16">
        <v>46157</v>
      </c>
      <c r="C1588" s="21">
        <v>51521047</v>
      </c>
      <c r="D1588" s="16" t="str">
        <f>IFERROR(VLOOKUP(Tabela5[[#This Row],[PREFIXO ]],Tabela4[#All],2,0),"CENTRO DE CUSTO")</f>
        <v>COLHED ALGODÃO JOHN DEERE CP 690</v>
      </c>
      <c r="E1588" s="18" t="s">
        <v>255</v>
      </c>
      <c r="F1588" s="21">
        <v>968</v>
      </c>
      <c r="G1588" s="22">
        <v>1450</v>
      </c>
      <c r="H1588" s="22"/>
      <c r="I1588" s="22">
        <f t="shared" si="25"/>
        <v>1450</v>
      </c>
      <c r="J1588" s="18" t="s">
        <v>1123</v>
      </c>
      <c r="K1588" s="18">
        <v>9861922</v>
      </c>
      <c r="L1588" s="18">
        <v>930191</v>
      </c>
      <c r="M1588" s="18" t="s">
        <v>3600</v>
      </c>
      <c r="N1588" s="16" t="s">
        <v>3528</v>
      </c>
      <c r="O1588" s="18" t="s">
        <v>1851</v>
      </c>
      <c r="P1588" s="18" t="s">
        <v>3557</v>
      </c>
      <c r="Q1588" s="29" t="str" cm="1">
        <f t="array" ref="Q1588">_xlfn.IFS(
A1588="","",
AND(A1588&lt;&gt;"",B1588=""),"FALTA LANÇAMENTO",
AND(B1588&lt;&gt;"",M1588=""),"FALTA O PEDIDO",
AND(M1588&lt;&gt;"",O1588=""),"FALTA NF",
O1588&lt;&gt;"","CONCLUÍDO")</f>
        <v>CONCLUÍDO</v>
      </c>
      <c r="R1588" s="36"/>
    </row>
    <row r="1589" spans="1:18" hidden="1">
      <c r="A1589" s="16">
        <v>46156</v>
      </c>
      <c r="B1589" s="16">
        <v>46157</v>
      </c>
      <c r="C1589" s="21">
        <v>51521058</v>
      </c>
      <c r="D1589" s="16" t="str">
        <f>IFERROR(VLOOKUP(Tabela5[[#This Row],[PREFIXO ]],Tabela4[#All],2,0),"CENTRO DE CUSTO")</f>
        <v>COLHED ALGODÃO JOHN DEERE CP 690</v>
      </c>
      <c r="E1589" s="18" t="s">
        <v>255</v>
      </c>
      <c r="F1589" s="21">
        <v>969</v>
      </c>
      <c r="G1589" s="22">
        <v>1400</v>
      </c>
      <c r="H1589" s="22"/>
      <c r="I1589" s="22">
        <f t="shared" si="25"/>
        <v>1400</v>
      </c>
      <c r="J1589" s="18" t="s">
        <v>1123</v>
      </c>
      <c r="K1589" s="18">
        <v>9861916</v>
      </c>
      <c r="L1589" s="18">
        <v>930191</v>
      </c>
      <c r="M1589" s="18" t="s">
        <v>3600</v>
      </c>
      <c r="N1589" s="16" t="s">
        <v>3528</v>
      </c>
      <c r="O1589" s="18" t="s">
        <v>1851</v>
      </c>
      <c r="P1589" s="18" t="s">
        <v>3557</v>
      </c>
      <c r="Q1589" s="29" t="str" cm="1">
        <f t="array" ref="Q1589">_xlfn.IFS(
A1589="","",
AND(A1589&lt;&gt;"",B1589=""),"FALTA LANÇAMENTO",
AND(B1589&lt;&gt;"",M1589=""),"FALTA O PEDIDO",
AND(M1589&lt;&gt;"",O1589=""),"FALTA NF",
O1589&lt;&gt;"","CONCLUÍDO")</f>
        <v>CONCLUÍDO</v>
      </c>
      <c r="R1589" s="36"/>
    </row>
    <row r="1590" spans="1:18" hidden="1">
      <c r="A1590" s="16">
        <v>46156</v>
      </c>
      <c r="B1590" s="16">
        <v>46157</v>
      </c>
      <c r="C1590" s="21">
        <v>51521059</v>
      </c>
      <c r="D1590" s="16" t="str">
        <f>IFERROR(VLOOKUP(Tabela5[[#This Row],[PREFIXO ]],Tabela4[#All],2,0),"CENTRO DE CUSTO")</f>
        <v>COLHED ALGODÃO JOHN DEERE CP 690</v>
      </c>
      <c r="E1590" s="18" t="s">
        <v>255</v>
      </c>
      <c r="F1590" s="21">
        <v>970</v>
      </c>
      <c r="G1590" s="22">
        <v>1350</v>
      </c>
      <c r="H1590" s="22"/>
      <c r="I1590" s="22">
        <f t="shared" si="25"/>
        <v>1350</v>
      </c>
      <c r="J1590" s="18" t="s">
        <v>1123</v>
      </c>
      <c r="K1590" s="18">
        <v>9861912</v>
      </c>
      <c r="L1590" s="18">
        <v>930191</v>
      </c>
      <c r="M1590" s="18" t="s">
        <v>3600</v>
      </c>
      <c r="N1590" s="16" t="s">
        <v>3528</v>
      </c>
      <c r="O1590" s="18" t="s">
        <v>1851</v>
      </c>
      <c r="P1590" s="18" t="s">
        <v>3557</v>
      </c>
      <c r="Q1590" s="29" t="str" cm="1">
        <f t="array" ref="Q1590">_xlfn.IFS(
A1590="","",
AND(A1590&lt;&gt;"",B1590=""),"FALTA LANÇAMENTO",
AND(B1590&lt;&gt;"",M1590=""),"FALTA O PEDIDO",
AND(M1590&lt;&gt;"",O1590=""),"FALTA NF",
O1590&lt;&gt;"","CONCLUÍDO")</f>
        <v>CONCLUÍDO</v>
      </c>
      <c r="R1590" s="36"/>
    </row>
    <row r="1591" spans="1:18" hidden="1">
      <c r="A1591" s="16">
        <v>46156</v>
      </c>
      <c r="B1591" s="16">
        <v>46157</v>
      </c>
      <c r="C1591" s="21">
        <v>5173120</v>
      </c>
      <c r="D1591" s="16" t="str">
        <f>IFERROR(VLOOKUP(Tabela5[[#This Row],[PREFIXO ]],Tabela4[#All],2,0),"CENTRO DE CUSTO")</f>
        <v>COLHED ALGODÃO JOHN DEERE 7760</v>
      </c>
      <c r="E1591" s="18" t="s">
        <v>255</v>
      </c>
      <c r="F1591" s="21">
        <v>973</v>
      </c>
      <c r="G1591" s="22">
        <v>1300</v>
      </c>
      <c r="H1591" s="22"/>
      <c r="I1591" s="22">
        <f t="shared" si="25"/>
        <v>1300</v>
      </c>
      <c r="J1591" s="18" t="s">
        <v>1123</v>
      </c>
      <c r="K1591" s="18">
        <v>9861943</v>
      </c>
      <c r="L1591" s="18">
        <v>930191</v>
      </c>
      <c r="M1591" s="18" t="s">
        <v>3600</v>
      </c>
      <c r="N1591" s="16" t="s">
        <v>3528</v>
      </c>
      <c r="O1591" s="18" t="s">
        <v>1851</v>
      </c>
      <c r="P1591" s="18" t="s">
        <v>3557</v>
      </c>
      <c r="Q1591" s="29" t="str" cm="1">
        <f t="array" ref="Q1591">_xlfn.IFS(
A1591="","",
AND(A1591&lt;&gt;"",B1591=""),"FALTA LANÇAMENTO",
AND(B1591&lt;&gt;"",M1591=""),"FALTA O PEDIDO",
AND(M1591&lt;&gt;"",O1591=""),"FALTA NF",
O1591&lt;&gt;"","CONCLUÍDO")</f>
        <v>CONCLUÍDO</v>
      </c>
      <c r="R1591" s="36"/>
    </row>
    <row r="1592" spans="1:18" hidden="1">
      <c r="A1592" s="16">
        <v>46156</v>
      </c>
      <c r="B1592" s="16">
        <v>46157</v>
      </c>
      <c r="C1592" s="21">
        <v>15770031</v>
      </c>
      <c r="D1592" s="16" t="str">
        <f>IFERROR(VLOOKUP(Tabela5[[#This Row],[PREFIXO ]],Tabela4[#All],2,0),"CENTRO DE CUSTO")</f>
        <v>PLATAF ROÇAGEM WATANABE MAVERICK</v>
      </c>
      <c r="E1592" s="18" t="s">
        <v>255</v>
      </c>
      <c r="F1592" s="21">
        <v>972</v>
      </c>
      <c r="G1592" s="22">
        <v>800</v>
      </c>
      <c r="H1592" s="22"/>
      <c r="I1592" s="22">
        <f t="shared" si="25"/>
        <v>800</v>
      </c>
      <c r="J1592" s="18" t="s">
        <v>1123</v>
      </c>
      <c r="K1592" s="18">
        <v>9861907</v>
      </c>
      <c r="L1592" s="18">
        <v>930191</v>
      </c>
      <c r="M1592" s="18" t="s">
        <v>3600</v>
      </c>
      <c r="N1592" s="16" t="s">
        <v>3528</v>
      </c>
      <c r="O1592" s="18" t="s">
        <v>1851</v>
      </c>
      <c r="P1592" s="18" t="s">
        <v>3557</v>
      </c>
      <c r="Q1592" s="29" t="str" cm="1">
        <f t="array" ref="Q1592">_xlfn.IFS(
A1592="","",
AND(A1592&lt;&gt;"",B1592=""),"FALTA LANÇAMENTO",
AND(B1592&lt;&gt;"",M1592=""),"FALTA O PEDIDO",
AND(M1592&lt;&gt;"",O1592=""),"FALTA NF",
O1592&lt;&gt;"","CONCLUÍDO")</f>
        <v>CONCLUÍDO</v>
      </c>
      <c r="R1592" s="36"/>
    </row>
    <row r="1593" spans="1:18" hidden="1">
      <c r="A1593" s="16">
        <v>46156</v>
      </c>
      <c r="B1593" s="16">
        <v>46157</v>
      </c>
      <c r="C1593" s="21">
        <v>1173001</v>
      </c>
      <c r="D1593" s="16" t="str">
        <f>IFERROR(VLOOKUP(Tabela5[[#This Row],[PREFIXO ]],Tabela4[#All],2,0),"CENTRO DE CUSTO")</f>
        <v>TRAT PN LEVE M FERGUSON MF 275</v>
      </c>
      <c r="E1593" s="18" t="s">
        <v>255</v>
      </c>
      <c r="F1593" s="21">
        <v>971</v>
      </c>
      <c r="G1593" s="22">
        <v>400</v>
      </c>
      <c r="H1593" s="22"/>
      <c r="I1593" s="22">
        <f t="shared" si="25"/>
        <v>400</v>
      </c>
      <c r="J1593" s="18" t="s">
        <v>1123</v>
      </c>
      <c r="K1593" s="18">
        <v>9861938</v>
      </c>
      <c r="L1593" s="18">
        <v>930191</v>
      </c>
      <c r="M1593" s="18" t="s">
        <v>3600</v>
      </c>
      <c r="N1593" s="16" t="s">
        <v>3528</v>
      </c>
      <c r="O1593" s="18" t="s">
        <v>1851</v>
      </c>
      <c r="P1593" s="18" t="s">
        <v>3557</v>
      </c>
      <c r="Q1593" s="29" t="str" cm="1">
        <f t="array" ref="Q1593">_xlfn.IFS(
A1593="","",
AND(A1593&lt;&gt;"",B1593=""),"FALTA LANÇAMENTO",
AND(B1593&lt;&gt;"",M1593=""),"FALTA O PEDIDO",
AND(M1593&lt;&gt;"",O1593=""),"FALTA NF",
O1593&lt;&gt;"","CONCLUÍDO")</f>
        <v>CONCLUÍDO</v>
      </c>
      <c r="R1593" s="36"/>
    </row>
    <row r="1594" spans="1:18" hidden="1">
      <c r="A1594" s="16">
        <v>46156</v>
      </c>
      <c r="B1594" s="16">
        <v>46157</v>
      </c>
      <c r="C1594" s="21">
        <v>12070008</v>
      </c>
      <c r="D1594" s="16" t="str">
        <f>IFERROR(VLOOKUP(Tabela5[[#This Row],[PREFIXO ]],Tabela4[#All],2,0),"CENTRO DE CUSTO")</f>
        <v>VAN MICROBUS FORD TRANSIT 410 B AUT</v>
      </c>
      <c r="E1594" s="18" t="s">
        <v>209</v>
      </c>
      <c r="F1594" s="21">
        <v>112896</v>
      </c>
      <c r="G1594" s="22">
        <v>350</v>
      </c>
      <c r="H1594" s="22"/>
      <c r="I1594" s="22">
        <f t="shared" si="25"/>
        <v>350</v>
      </c>
      <c r="J1594" s="18" t="s">
        <v>1085</v>
      </c>
      <c r="K1594" s="18">
        <v>9863510</v>
      </c>
      <c r="L1594" s="18">
        <v>930575</v>
      </c>
      <c r="M1594" s="18" t="s">
        <v>3577</v>
      </c>
      <c r="N1594" s="16" t="s">
        <v>3528</v>
      </c>
      <c r="O1594" s="18"/>
      <c r="P1594" s="18"/>
      <c r="Q1594" s="29" t="str" cm="1">
        <f t="array" ref="Q1594">_xlfn.IFS(
A1594="","",
AND(A1594&lt;&gt;"",B1594=""),"FALTA LANÇAMENTO",
AND(B1594&lt;&gt;"",M1594=""),"FALTA O PEDIDO",
AND(M1594&lt;&gt;"",O1594=""),"FALTA NF",
O1594&lt;&gt;"","CONCLUÍDO")</f>
        <v>FALTA NF</v>
      </c>
      <c r="R1594" s="36"/>
    </row>
    <row r="1595" spans="1:18" hidden="1">
      <c r="A1595" s="16">
        <v>46156</v>
      </c>
      <c r="B1595" s="16">
        <v>46157</v>
      </c>
      <c r="C1595" s="21">
        <v>22030100</v>
      </c>
      <c r="D1595" s="16" t="str">
        <f>IFERROR(VLOOKUP(Tabela5[[#This Row],[PREFIXO ]],Tabela4[#All],2,0),"CENTRO DE CUSTO")</f>
        <v>AUTOMOVEL CHEVROLET SPIN 18L AT PREMIER</v>
      </c>
      <c r="E1595" s="18" t="s">
        <v>209</v>
      </c>
      <c r="F1595" s="21">
        <v>115003</v>
      </c>
      <c r="G1595" s="22">
        <v>140</v>
      </c>
      <c r="H1595" s="22"/>
      <c r="I1595" s="22">
        <f t="shared" si="25"/>
        <v>140</v>
      </c>
      <c r="J1595" s="18" t="s">
        <v>1085</v>
      </c>
      <c r="K1595" s="18">
        <v>9863547</v>
      </c>
      <c r="L1595" s="18">
        <v>930575</v>
      </c>
      <c r="M1595" s="18" t="s">
        <v>3577</v>
      </c>
      <c r="N1595" s="16" t="s">
        <v>3528</v>
      </c>
      <c r="O1595" s="18"/>
      <c r="P1595" s="18"/>
      <c r="Q1595" s="29" t="str" cm="1">
        <f t="array" ref="Q1595">_xlfn.IFS(
A1595="","",
AND(A1595&lt;&gt;"",B1595=""),"FALTA LANÇAMENTO",
AND(B1595&lt;&gt;"",M1595=""),"FALTA O PEDIDO",
AND(M1595&lt;&gt;"",O1595=""),"FALTA NF",
O1595&lt;&gt;"","CONCLUÍDO")</f>
        <v>FALTA NF</v>
      </c>
      <c r="R1595" s="36"/>
    </row>
    <row r="1596" spans="1:18" hidden="1">
      <c r="A1596" s="16">
        <v>46156</v>
      </c>
      <c r="B1596" s="16">
        <v>46157</v>
      </c>
      <c r="C1596" s="21">
        <v>23220006</v>
      </c>
      <c r="D1596" s="16" t="str">
        <f>IFERROR(VLOOKUP(Tabela5[[#This Row],[PREFIXO ]],Tabela4[#All],2,0),"CENTRO DE CUSTO")</f>
        <v>CENTRO DE CUSTO</v>
      </c>
      <c r="E1596" s="18" t="s">
        <v>162</v>
      </c>
      <c r="F1596" s="21">
        <v>75475</v>
      </c>
      <c r="G1596" s="22">
        <v>3802.3</v>
      </c>
      <c r="H1596" s="22"/>
      <c r="I1596" s="22">
        <f t="shared" si="25"/>
        <v>3802.3</v>
      </c>
      <c r="J1596" s="18" t="s">
        <v>1123</v>
      </c>
      <c r="K1596" s="18">
        <v>9861763</v>
      </c>
      <c r="L1596" s="18">
        <v>930177</v>
      </c>
      <c r="M1596" s="18" t="s">
        <v>3601</v>
      </c>
      <c r="N1596" s="16" t="s">
        <v>3528</v>
      </c>
      <c r="O1596" s="18"/>
      <c r="P1596" s="18"/>
      <c r="Q1596" s="29" t="str" cm="1">
        <f t="array" ref="Q1596">_xlfn.IFS(
A1596="","",
AND(A1596&lt;&gt;"",B1596=""),"FALTA LANÇAMENTO",
AND(B1596&lt;&gt;"",M1596=""),"FALTA O PEDIDO",
AND(M1596&lt;&gt;"",O1596=""),"FALTA NF",
O1596&lt;&gt;"","CONCLUÍDO")</f>
        <v>FALTA NF</v>
      </c>
      <c r="R1596" s="36"/>
    </row>
    <row r="1597" spans="1:18" hidden="1">
      <c r="A1597" s="16">
        <v>46156</v>
      </c>
      <c r="B1597" s="16">
        <v>46167</v>
      </c>
      <c r="C1597" s="21">
        <v>22030122</v>
      </c>
      <c r="D1597" s="16" t="str">
        <f>IFERROR(VLOOKUP(Tabela5[[#This Row],[PREFIXO ]],Tabela4[#All],2,0),"CENTRO DE CUSTO")</f>
        <v>AUTOMOVEL FIAT FIORINO ENDURANCE</v>
      </c>
      <c r="E1597" s="18" t="s">
        <v>209</v>
      </c>
      <c r="F1597" s="21">
        <v>115775</v>
      </c>
      <c r="G1597" s="22">
        <v>460</v>
      </c>
      <c r="H1597" s="22">
        <v>100</v>
      </c>
      <c r="I1597" s="22">
        <f t="shared" si="25"/>
        <v>560</v>
      </c>
      <c r="J1597" s="18" t="s">
        <v>1085</v>
      </c>
      <c r="K1597" s="18">
        <v>9863377</v>
      </c>
      <c r="L1597" s="18">
        <v>932417</v>
      </c>
      <c r="M1597" s="18" t="s">
        <v>3602</v>
      </c>
      <c r="N1597" s="16" t="s">
        <v>3603</v>
      </c>
      <c r="O1597" s="18"/>
      <c r="P1597" s="18"/>
      <c r="Q1597" s="29" t="str" cm="1">
        <f t="array" ref="Q1597">_xlfn.IFS(
A1597="","",
AND(A1597&lt;&gt;"",B1597=""),"FALTA LANÇAMENTO",
AND(B1597&lt;&gt;"",M1597=""),"FALTA O PEDIDO",
AND(M1597&lt;&gt;"",O1597=""),"FALTA NF",
O1597&lt;&gt;"","CONCLUÍDO")</f>
        <v>FALTA NF</v>
      </c>
      <c r="R1597" s="36"/>
    </row>
    <row r="1598" spans="1:18" hidden="1">
      <c r="A1598" s="16">
        <v>46157</v>
      </c>
      <c r="B1598" s="16">
        <v>46167</v>
      </c>
      <c r="C1598" s="21">
        <v>31521033</v>
      </c>
      <c r="D1598" s="16" t="str">
        <f>IFERROR(VLOOKUP(Tabela5[[#This Row],[PREFIXO ]],Tabela4[#All],2,0),"CENTRO DE CUSTO")</f>
        <v>ADUB AUTOPROP KUHN ACCURA ST 7000</v>
      </c>
      <c r="E1598" s="18" t="s">
        <v>9</v>
      </c>
      <c r="F1598" s="21">
        <v>2585</v>
      </c>
      <c r="G1598" s="22">
        <v>4800</v>
      </c>
      <c r="H1598" s="22"/>
      <c r="I1598" s="22">
        <f t="shared" si="25"/>
        <v>4800</v>
      </c>
      <c r="J1598" s="18" t="s">
        <v>1265</v>
      </c>
      <c r="K1598" s="18">
        <v>9865277</v>
      </c>
      <c r="L1598" s="18" t="s">
        <v>3604</v>
      </c>
      <c r="M1598" s="18" t="s">
        <v>3605</v>
      </c>
      <c r="N1598" s="16" t="s">
        <v>3532</v>
      </c>
      <c r="O1598" s="18" t="s">
        <v>3606</v>
      </c>
      <c r="P1598" s="18" t="s">
        <v>3607</v>
      </c>
      <c r="Q1598" s="29" t="str" cm="1">
        <f t="array" ref="Q1598">_xlfn.IFS(
A1598="","",
AND(A1598&lt;&gt;"",B1598=""),"FALTA LANÇAMENTO",
AND(B1598&lt;&gt;"",M1598=""),"FALTA O PEDIDO",
AND(M1598&lt;&gt;"",O1598=""),"FALTA NF",
O1598&lt;&gt;"","CONCLUÍDO")</f>
        <v>CONCLUÍDO</v>
      </c>
      <c r="R1598" s="36"/>
    </row>
    <row r="1599" spans="1:18" hidden="1">
      <c r="A1599" s="16">
        <v>46157</v>
      </c>
      <c r="B1599" s="16">
        <v>46167</v>
      </c>
      <c r="C1599" s="21">
        <v>71521001</v>
      </c>
      <c r="D1599" s="16" t="str">
        <f>IFERROR(VLOOKUP(Tabela5[[#This Row],[PREFIXO ]],Tabela4[#All],2,0),"CENTRO DE CUSTO")</f>
        <v>CORTADOR DE GRAMA GIRO ZERO MZ54</v>
      </c>
      <c r="E1599" s="18" t="s">
        <v>88</v>
      </c>
      <c r="F1599" s="21">
        <v>4000963</v>
      </c>
      <c r="G1599" s="22">
        <v>1500</v>
      </c>
      <c r="H1599" s="22">
        <v>2439</v>
      </c>
      <c r="I1599" s="22">
        <f t="shared" si="25"/>
        <v>3939</v>
      </c>
      <c r="J1599" s="18" t="s">
        <v>1085</v>
      </c>
      <c r="K1599" s="18">
        <v>9865067</v>
      </c>
      <c r="L1599" s="18">
        <v>937079</v>
      </c>
      <c r="M1599" s="18" t="s">
        <v>3608</v>
      </c>
      <c r="N1599" s="16" t="s">
        <v>3609</v>
      </c>
      <c r="O1599" s="18" t="s">
        <v>3610</v>
      </c>
      <c r="P1599" s="18" t="s">
        <v>3611</v>
      </c>
      <c r="Q1599" s="29" t="str" cm="1">
        <f t="array" ref="Q1599">_xlfn.IFS(
A1599="","",
AND(A1599&lt;&gt;"",B1599=""),"FALTA LANÇAMENTO",
AND(B1599&lt;&gt;"",M1599=""),"FALTA O PEDIDO",
AND(M1599&lt;&gt;"",O1599=""),"FALTA NF",
O1599&lt;&gt;"","CONCLUÍDO")</f>
        <v>CONCLUÍDO</v>
      </c>
      <c r="R1599" s="36"/>
    </row>
    <row r="1600" spans="1:18" hidden="1">
      <c r="A1600" s="16">
        <v>46157</v>
      </c>
      <c r="B1600" s="16">
        <v>46175</v>
      </c>
      <c r="C1600" s="21">
        <v>81521474</v>
      </c>
      <c r="D1600" s="16" t="str">
        <f>IFERROR(VLOOKUP(Tabela5[[#This Row],[PREFIXO ]],Tabela4[#All],2,0),"CENTRO DE CUSTO")</f>
        <v>SEMI REBOQUE GOTTI 30.000L SRTQL3E</v>
      </c>
      <c r="E1600" s="18" t="s">
        <v>323</v>
      </c>
      <c r="F1600" s="21">
        <v>81521474</v>
      </c>
      <c r="G1600" s="22">
        <v>45341</v>
      </c>
      <c r="H1600" s="22"/>
      <c r="I1600" s="22">
        <f t="shared" ref="I1600:I1658" si="26">G1600+H1600</f>
        <v>45341</v>
      </c>
      <c r="J1600" s="18" t="s">
        <v>1199</v>
      </c>
      <c r="K1600" s="18">
        <v>9865069</v>
      </c>
      <c r="L1600" s="18" t="s">
        <v>3612</v>
      </c>
      <c r="M1600" s="18" t="s">
        <v>3613</v>
      </c>
      <c r="N1600" s="16">
        <v>46176</v>
      </c>
      <c r="O1600" s="18" t="s">
        <v>1334</v>
      </c>
      <c r="P1600" s="18" t="s">
        <v>3614</v>
      </c>
      <c r="Q1600" s="29" t="str" cm="1">
        <f t="array" ref="Q1600">_xlfn.IFS(
A1600="","",
AND(A1600&lt;&gt;"",B1600=""),"FALTA LANÇAMENTO",
AND(B1600&lt;&gt;"",M1600=""),"FALTA O PEDIDO",
AND(M1600&lt;&gt;"",O1600=""),"FALTA NF",
O1600&lt;&gt;"","CONCLUÍDO")</f>
        <v>CONCLUÍDO</v>
      </c>
      <c r="R1600" s="36" t="s">
        <v>3307</v>
      </c>
    </row>
    <row r="1601" spans="1:18" hidden="1">
      <c r="A1601" s="16">
        <v>46157</v>
      </c>
      <c r="B1601" s="16">
        <v>46080</v>
      </c>
      <c r="C1601" s="21">
        <v>31521025</v>
      </c>
      <c r="D1601" s="16" t="str">
        <f>IFERROR(VLOOKUP(Tabela5[[#This Row],[PREFIXO ]],Tabela4[#All],2,0),"CENTRO DE CUSTO")</f>
        <v>PULV AUTOPROP JACTO UNIPORT 3030</v>
      </c>
      <c r="E1601" s="18" t="s">
        <v>96</v>
      </c>
      <c r="F1601" s="21" t="s">
        <v>3615</v>
      </c>
      <c r="G1601" s="22">
        <v>100</v>
      </c>
      <c r="H1601" s="22">
        <v>1500</v>
      </c>
      <c r="I1601" s="22">
        <f t="shared" si="26"/>
        <v>1600</v>
      </c>
      <c r="J1601" s="18" t="s">
        <v>1080</v>
      </c>
      <c r="K1601" s="18" t="s">
        <v>3616</v>
      </c>
      <c r="L1601" s="18" t="s">
        <v>3617</v>
      </c>
      <c r="M1601" s="18" t="s">
        <v>3618</v>
      </c>
      <c r="N1601" s="48">
        <v>46176</v>
      </c>
      <c r="O1601" s="18" t="s">
        <v>3619</v>
      </c>
      <c r="P1601" s="18" t="s">
        <v>3620</v>
      </c>
      <c r="Q1601" s="16" t="str" cm="1">
        <f t="array" ref="Q1601">_xlfn.IFS(
A1601="","",
AND(A1601&lt;&gt;"",B1601=""),"FALTA LANÇAMENTO",
AND(B1601&lt;&gt;"",M1601=""),"FALTA O PEDIDO",
AND(M1601&lt;&gt;"",O1601=""),"FALTA NF",
O1601&lt;&gt;"","CONCLUÍDO")</f>
        <v>CONCLUÍDO</v>
      </c>
      <c r="R1601" s="36"/>
    </row>
    <row r="1602" spans="1:18" hidden="1">
      <c r="A1602" s="16">
        <v>46157</v>
      </c>
      <c r="B1602" s="16">
        <v>46167</v>
      </c>
      <c r="C1602" s="21">
        <v>41521067</v>
      </c>
      <c r="D1602" s="16" t="str">
        <f>IFERROR(VLOOKUP(Tabela5[[#This Row],[PREFIXO ]],Tabela4[#All],2,0),"CENTRO DE CUSTO")</f>
        <v>MICROONIBUS SPRINTER 417 CDI K42B</v>
      </c>
      <c r="E1602" s="18" t="s">
        <v>110</v>
      </c>
      <c r="F1602" s="21">
        <v>34257</v>
      </c>
      <c r="G1602" s="22">
        <v>691.6</v>
      </c>
      <c r="H1602" s="22">
        <v>1399.64</v>
      </c>
      <c r="I1602" s="22">
        <f t="shared" si="26"/>
        <v>2091.2400000000002</v>
      </c>
      <c r="J1602" s="18" t="s">
        <v>1085</v>
      </c>
      <c r="K1602" s="18">
        <v>9865207</v>
      </c>
      <c r="L1602" s="18" t="s">
        <v>3621</v>
      </c>
      <c r="M1602" s="18" t="s">
        <v>3622</v>
      </c>
      <c r="N1602" s="16" t="s">
        <v>3609</v>
      </c>
      <c r="O1602" s="18" t="s">
        <v>3623</v>
      </c>
      <c r="P1602" s="18" t="s">
        <v>3449</v>
      </c>
      <c r="Q1602" s="29" t="str" cm="1">
        <f t="array" ref="Q1602">_xlfn.IFS(
A1602="","",
AND(A1602&lt;&gt;"",B1602=""),"FALTA LANÇAMENTO",
AND(B1602&lt;&gt;"",M1602=""),"FALTA O PEDIDO",
AND(M1602&lt;&gt;"",O1602=""),"FALTA NF",
O1602&lt;&gt;"","CONCLUÍDO")</f>
        <v>CONCLUÍDO</v>
      </c>
      <c r="R1602" s="36"/>
    </row>
    <row r="1603" spans="1:18" hidden="1">
      <c r="A1603" s="16">
        <v>46157</v>
      </c>
      <c r="B1603" s="16">
        <v>46177</v>
      </c>
      <c r="C1603" s="21" t="s">
        <v>3624</v>
      </c>
      <c r="D1603" s="16" t="str">
        <f>IFERROR(VLOOKUP(Tabela5[[#This Row],[PREFIXO ]],Tabela4[#All],2,0),"CENTRO DE CUSTO")</f>
        <v>CENTRO DE CUSTO</v>
      </c>
      <c r="E1603" s="18" t="s">
        <v>312</v>
      </c>
      <c r="F1603" s="21" t="s">
        <v>3625</v>
      </c>
      <c r="G1603" s="22">
        <v>15846.06</v>
      </c>
      <c r="H1603" s="22"/>
      <c r="I1603" s="22">
        <f t="shared" si="26"/>
        <v>15846.06</v>
      </c>
      <c r="J1603" s="18" t="s">
        <v>1199</v>
      </c>
      <c r="K1603" s="18" t="s">
        <v>3626</v>
      </c>
      <c r="L1603" s="18" t="s">
        <v>3627</v>
      </c>
      <c r="M1603" s="18" t="s">
        <v>3628</v>
      </c>
      <c r="N1603" s="16">
        <v>46178</v>
      </c>
      <c r="O1603" s="18" t="s">
        <v>2296</v>
      </c>
      <c r="P1603" s="18" t="s">
        <v>3629</v>
      </c>
      <c r="Q1603" s="16" t="str" cm="1">
        <f t="array" ref="Q1603">_xlfn.IFS(
A1603="","",
AND(A1603&lt;&gt;"",B1603=""),"FALTA LANÇAMENTO",
AND(B1603&lt;&gt;"",M1603=""),"FALTA O PEDIDO",
AND(M1603&lt;&gt;"",O1603=""),"FALTA NF",
O1603&lt;&gt;"","CONCLUÍDO")</f>
        <v>CONCLUÍDO</v>
      </c>
      <c r="R1603" s="36"/>
    </row>
    <row r="1604" spans="1:18" hidden="1">
      <c r="A1604" s="16">
        <v>46157</v>
      </c>
      <c r="B1604" s="16">
        <v>46177</v>
      </c>
      <c r="C1604" s="21">
        <v>903622</v>
      </c>
      <c r="D1604" s="16" t="str">
        <f>IFERROR(VLOOKUP(Tabela5[[#This Row],[PREFIXO ]],Tabela4[#All],2,0),"CENTRO DE CUSTO")</f>
        <v>GRUPO GERADOR STEMAC 75KVA</v>
      </c>
      <c r="E1604" s="18" t="s">
        <v>312</v>
      </c>
      <c r="F1604" s="21" t="s">
        <v>3630</v>
      </c>
      <c r="G1604" s="22">
        <v>860</v>
      </c>
      <c r="H1604" s="22"/>
      <c r="I1604" s="22">
        <f t="shared" si="26"/>
        <v>860</v>
      </c>
      <c r="J1604" s="18" t="s">
        <v>1199</v>
      </c>
      <c r="K1604" s="18" t="s">
        <v>3631</v>
      </c>
      <c r="L1604" s="18" t="s">
        <v>3627</v>
      </c>
      <c r="M1604" s="18" t="s">
        <v>3628</v>
      </c>
      <c r="N1604" s="16">
        <v>46178</v>
      </c>
      <c r="O1604" s="18" t="s">
        <v>2296</v>
      </c>
      <c r="P1604" s="18" t="s">
        <v>3629</v>
      </c>
      <c r="Q1604" s="16" t="str" cm="1">
        <f t="array" ref="Q1604">_xlfn.IFS(
A1604="","",
AND(A1604&lt;&gt;"",B1604=""),"FALTA LANÇAMENTO",
AND(B1604&lt;&gt;"",M1604=""),"FALTA O PEDIDO",
AND(M1604&lt;&gt;"",O1604=""),"FALTA NF",
O1604&lt;&gt;"","CONCLUÍDO")</f>
        <v>CONCLUÍDO</v>
      </c>
      <c r="R1604" s="36"/>
    </row>
    <row r="1605" spans="1:18" hidden="1">
      <c r="A1605" s="16">
        <v>46157</v>
      </c>
      <c r="B1605" s="16">
        <v>46177</v>
      </c>
      <c r="C1605" s="21">
        <v>11521006</v>
      </c>
      <c r="D1605" s="16" t="str">
        <f>IFERROR(VLOOKUP(Tabela5[[#This Row],[PREFIXO ]],Tabela4[#All],2,0),"CENTRO DE CUSTO")</f>
        <v>TRAT PN EXT PES CASE STEIGER 620</v>
      </c>
      <c r="E1605" s="18" t="s">
        <v>312</v>
      </c>
      <c r="F1605" s="21" t="s">
        <v>3632</v>
      </c>
      <c r="G1605" s="22">
        <v>1468.8</v>
      </c>
      <c r="H1605" s="22"/>
      <c r="I1605" s="22">
        <f t="shared" si="26"/>
        <v>1468.8</v>
      </c>
      <c r="J1605" s="18" t="s">
        <v>1199</v>
      </c>
      <c r="K1605" s="18" t="s">
        <v>3633</v>
      </c>
      <c r="L1605" s="18" t="s">
        <v>3627</v>
      </c>
      <c r="M1605" s="18" t="s">
        <v>3628</v>
      </c>
      <c r="N1605" s="16">
        <v>46178</v>
      </c>
      <c r="O1605" s="18" t="s">
        <v>2296</v>
      </c>
      <c r="P1605" s="18" t="s">
        <v>3629</v>
      </c>
      <c r="Q1605" s="16" t="str" cm="1">
        <f t="array" ref="Q1605">_xlfn.IFS(
A1605="","",
AND(A1605&lt;&gt;"",B1605=""),"FALTA LANÇAMENTO",
AND(B1605&lt;&gt;"",M1605=""),"FALTA O PEDIDO",
AND(M1605&lt;&gt;"",O1605=""),"FALTA NF",
O1605&lt;&gt;"","CONCLUÍDO")</f>
        <v>CONCLUÍDO</v>
      </c>
      <c r="R1605" s="36"/>
    </row>
    <row r="1606" spans="1:18" hidden="1">
      <c r="A1606" s="16">
        <v>46157</v>
      </c>
      <c r="B1606" s="16">
        <v>46177</v>
      </c>
      <c r="C1606" s="21">
        <v>15010004</v>
      </c>
      <c r="D1606" s="16" t="str">
        <f>IFERROR(VLOOKUP(Tabela5[[#This Row],[PREFIXO ]],Tabela4[#All],2,0),"CENTRO DE CUSTO")</f>
        <v>TRAT PN MED JOHN DEERE 6145J</v>
      </c>
      <c r="E1606" s="18" t="s">
        <v>312</v>
      </c>
      <c r="F1606" s="21" t="s">
        <v>3634</v>
      </c>
      <c r="G1606" s="22">
        <v>1934.24</v>
      </c>
      <c r="H1606" s="22"/>
      <c r="I1606" s="22">
        <f t="shared" si="26"/>
        <v>1934.24</v>
      </c>
      <c r="J1606" s="18" t="s">
        <v>1199</v>
      </c>
      <c r="K1606" s="18" t="s">
        <v>3635</v>
      </c>
      <c r="L1606" s="18" t="s">
        <v>3627</v>
      </c>
      <c r="M1606" s="18" t="s">
        <v>3628</v>
      </c>
      <c r="N1606" s="16">
        <v>46178</v>
      </c>
      <c r="O1606" s="18" t="s">
        <v>2296</v>
      </c>
      <c r="P1606" s="18" t="s">
        <v>3629</v>
      </c>
      <c r="Q1606" s="16" t="str" cm="1">
        <f t="array" ref="Q1606">_xlfn.IFS(
A1606="","",
AND(A1606&lt;&gt;"",B1606=""),"FALTA LANÇAMENTO",
AND(B1606&lt;&gt;"",M1606=""),"FALTA O PEDIDO",
AND(M1606&lt;&gt;"",O1606=""),"FALTA NF",
O1606&lt;&gt;"","CONCLUÍDO")</f>
        <v>CONCLUÍDO</v>
      </c>
      <c r="R1606" s="36"/>
    </row>
    <row r="1607" spans="1:18" hidden="1">
      <c r="A1607" s="16">
        <v>46160</v>
      </c>
      <c r="B1607" s="16">
        <v>46163</v>
      </c>
      <c r="C1607" s="21">
        <v>16170054</v>
      </c>
      <c r="D1607" s="16" t="str">
        <f>IFERROR(VLOOKUP(Tabela5[[#This Row],[PREFIXO ]],Tabela4[#All],2,0),"CENTRO DE CUSTO")</f>
        <v>SR TANQUE RANDON SR TQ TL</v>
      </c>
      <c r="E1607" s="18" t="s">
        <v>62</v>
      </c>
      <c r="F1607" s="21">
        <v>1344</v>
      </c>
      <c r="G1607" s="22">
        <v>14700</v>
      </c>
      <c r="H1607" s="22"/>
      <c r="I1607" s="22">
        <f t="shared" si="26"/>
        <v>14700</v>
      </c>
      <c r="J1607" s="18" t="s">
        <v>1199</v>
      </c>
      <c r="K1607" s="18">
        <v>9866858</v>
      </c>
      <c r="L1607" s="18">
        <v>932488</v>
      </c>
      <c r="M1607" s="18" t="s">
        <v>3636</v>
      </c>
      <c r="N1607" s="16" t="s">
        <v>3559</v>
      </c>
      <c r="O1607" s="18" t="s">
        <v>3637</v>
      </c>
      <c r="P1607" s="18" t="s">
        <v>3429</v>
      </c>
      <c r="Q1607" s="29" t="str" cm="1">
        <f t="array" ref="Q1607">_xlfn.IFS(
A1607="","",
AND(A1607&lt;&gt;"",B1607=""),"FALTA LANÇAMENTO",
AND(B1607&lt;&gt;"",M1607=""),"FALTA O PEDIDO",
AND(M1607&lt;&gt;"",O1607=""),"FALTA NF",
O1607&lt;&gt;"","CONCLUÍDO")</f>
        <v>CONCLUÍDO</v>
      </c>
      <c r="R1607" s="36"/>
    </row>
    <row r="1608" spans="1:18" hidden="1">
      <c r="A1608" s="16">
        <v>46160</v>
      </c>
      <c r="B1608" s="16">
        <v>46163</v>
      </c>
      <c r="C1608" s="21">
        <v>500580097</v>
      </c>
      <c r="D1608" s="16" t="str">
        <f>IFERROR(VLOOKUP(Tabela5[[#This Row],[PREFIXO ]],Tabela4[#All],2,0),"CENTRO DE CUSTO")</f>
        <v>Subsoladores</v>
      </c>
      <c r="E1608" s="18" t="s">
        <v>62</v>
      </c>
      <c r="F1608" s="21">
        <v>1316</v>
      </c>
      <c r="G1608" s="22">
        <v>11118</v>
      </c>
      <c r="H1608" s="22"/>
      <c r="I1608" s="22">
        <f t="shared" si="26"/>
        <v>11118</v>
      </c>
      <c r="J1608" s="18" t="s">
        <v>1199</v>
      </c>
      <c r="K1608" s="18">
        <v>5020792</v>
      </c>
      <c r="L1608" s="18">
        <v>933055</v>
      </c>
      <c r="M1608" s="18" t="s">
        <v>3558</v>
      </c>
      <c r="N1608" s="16" t="s">
        <v>3559</v>
      </c>
      <c r="O1608" s="18" t="s">
        <v>3560</v>
      </c>
      <c r="P1608" s="18" t="s">
        <v>3429</v>
      </c>
      <c r="Q1608" s="29" t="str" cm="1">
        <f t="array" ref="Q1608">_xlfn.IFS(
A1608="","",
AND(A1608&lt;&gt;"",B1608=""),"FALTA LANÇAMENTO",
AND(B1608&lt;&gt;"",M1608=""),"FALTA O PEDIDO",
AND(M1608&lt;&gt;"",O1608=""),"FALTA NF",
O1608&lt;&gt;"","CONCLUÍDO")</f>
        <v>CONCLUÍDO</v>
      </c>
      <c r="R1608" s="36"/>
    </row>
    <row r="1609" spans="1:18" hidden="1">
      <c r="A1609" s="16">
        <v>46160</v>
      </c>
      <c r="B1609" s="16">
        <v>46163</v>
      </c>
      <c r="C1609" s="21">
        <v>500580098</v>
      </c>
      <c r="D1609" s="16" t="str">
        <f>IFERROR(VLOOKUP(Tabela5[[#This Row],[PREFIXO ]],Tabela4[#All],2,0),"CENTRO DE CUSTO")</f>
        <v>Motobombas</v>
      </c>
      <c r="E1609" s="18" t="s">
        <v>62</v>
      </c>
      <c r="F1609" s="21">
        <v>1340</v>
      </c>
      <c r="G1609" s="22">
        <v>7880</v>
      </c>
      <c r="H1609" s="22"/>
      <c r="I1609" s="22">
        <f t="shared" si="26"/>
        <v>7880</v>
      </c>
      <c r="J1609" s="18" t="s">
        <v>1199</v>
      </c>
      <c r="K1609" s="18">
        <v>5020789</v>
      </c>
      <c r="L1609" s="18">
        <v>932405</v>
      </c>
      <c r="M1609" s="18" t="s">
        <v>3638</v>
      </c>
      <c r="N1609" s="16" t="s">
        <v>3559</v>
      </c>
      <c r="O1609" s="18" t="s">
        <v>3639</v>
      </c>
      <c r="P1609" s="18" t="s">
        <v>3429</v>
      </c>
      <c r="Q1609" s="29" t="str" cm="1">
        <f t="array" ref="Q1609">_xlfn.IFS(
A1609="","",
AND(A1609&lt;&gt;"",B1609=""),"FALTA LANÇAMENTO",
AND(B1609&lt;&gt;"",M1609=""),"FALTA O PEDIDO",
AND(M1609&lt;&gt;"",O1609=""),"FALTA NF",
O1609&lt;&gt;"","CONCLUÍDO")</f>
        <v>CONCLUÍDO</v>
      </c>
      <c r="R1609" s="36"/>
    </row>
    <row r="1610" spans="1:18" hidden="1">
      <c r="A1610" s="16">
        <v>46160</v>
      </c>
      <c r="B1610" s="16">
        <v>46163</v>
      </c>
      <c r="C1610" s="21">
        <v>500580220</v>
      </c>
      <c r="D1610" s="16" t="str">
        <f>IFERROR(VLOOKUP(Tabela5[[#This Row],[PREFIXO ]],Tabela4[#All],2,0),"CENTRO DE CUSTO")</f>
        <v>Implementos</v>
      </c>
      <c r="E1610" s="18" t="s">
        <v>62</v>
      </c>
      <c r="F1610" s="21">
        <v>1313</v>
      </c>
      <c r="G1610" s="22">
        <v>3999</v>
      </c>
      <c r="H1610" s="22"/>
      <c r="I1610" s="22">
        <f t="shared" si="26"/>
        <v>3999</v>
      </c>
      <c r="J1610" s="18" t="s">
        <v>1199</v>
      </c>
      <c r="K1610" s="18">
        <v>5020793</v>
      </c>
      <c r="L1610" s="18">
        <v>933028</v>
      </c>
      <c r="M1610" s="18" t="s">
        <v>3561</v>
      </c>
      <c r="N1610" s="16" t="s">
        <v>3559</v>
      </c>
      <c r="O1610" s="18" t="s">
        <v>3562</v>
      </c>
      <c r="P1610" s="18" t="s">
        <v>3429</v>
      </c>
      <c r="Q1610" s="29" t="str" cm="1">
        <f t="array" ref="Q1610">_xlfn.IFS(
A1610="","",
AND(A1610&lt;&gt;"",B1610=""),"FALTA LANÇAMENTO",
AND(B1610&lt;&gt;"",M1610=""),"FALTA O PEDIDO",
AND(M1610&lt;&gt;"",O1610=""),"FALTA NF",
O1610&lt;&gt;"","CONCLUÍDO")</f>
        <v>CONCLUÍDO</v>
      </c>
      <c r="R1610" s="36"/>
    </row>
    <row r="1611" spans="1:18" hidden="1">
      <c r="A1611" s="16">
        <v>46160</v>
      </c>
      <c r="B1611" s="16">
        <v>46163</v>
      </c>
      <c r="C1611" s="21">
        <v>85048095</v>
      </c>
      <c r="D1611" s="16" t="str">
        <f>IFERROR(VLOOKUP(Tabela5[[#This Row],[PREFIXO ]],Tabela4[#All],2,0),"CENTRO DE CUSTO")</f>
        <v>PLANT GRÃOS JOHN DEERE DB90 ME 60 LINHAS</v>
      </c>
      <c r="E1611" s="18" t="s">
        <v>62</v>
      </c>
      <c r="F1611" s="21">
        <v>1339</v>
      </c>
      <c r="G1611" s="22">
        <v>3760</v>
      </c>
      <c r="H1611" s="22"/>
      <c r="I1611" s="22">
        <f t="shared" si="26"/>
        <v>3760</v>
      </c>
      <c r="J1611" s="18" t="s">
        <v>1199</v>
      </c>
      <c r="K1611" s="18">
        <v>9866854</v>
      </c>
      <c r="L1611" s="18">
        <v>932502</v>
      </c>
      <c r="M1611" s="18" t="s">
        <v>3640</v>
      </c>
      <c r="N1611" s="16" t="s">
        <v>3559</v>
      </c>
      <c r="O1611" s="18" t="s">
        <v>1561</v>
      </c>
      <c r="P1611" s="18" t="s">
        <v>3429</v>
      </c>
      <c r="Q1611" s="29" t="str" cm="1">
        <f t="array" ref="Q1611">_xlfn.IFS(
A1611="","",
AND(A1611&lt;&gt;"",B1611=""),"FALTA LANÇAMENTO",
AND(B1611&lt;&gt;"",M1611=""),"FALTA O PEDIDO",
AND(M1611&lt;&gt;"",O1611=""),"FALTA NF",
O1611&lt;&gt;"","CONCLUÍDO")</f>
        <v>CONCLUÍDO</v>
      </c>
      <c r="R1611" s="36"/>
    </row>
    <row r="1612" spans="1:18" hidden="1">
      <c r="A1612" s="16">
        <v>46160</v>
      </c>
      <c r="B1612" s="16">
        <v>46163</v>
      </c>
      <c r="C1612" s="21">
        <v>8181121</v>
      </c>
      <c r="D1612" s="16" t="str">
        <f>IFERROR(VLOOKUP(Tabela5[[#This Row],[PREFIXO ]],Tabela4[#All],2,0),"CENTRO DE CUSTO")</f>
        <v>SULCADOR POWER 4,5 540RPM</v>
      </c>
      <c r="E1612" s="18" t="s">
        <v>62</v>
      </c>
      <c r="F1612" s="21">
        <v>1343</v>
      </c>
      <c r="G1612" s="22">
        <v>2698.8</v>
      </c>
      <c r="H1612" s="22"/>
      <c r="I1612" s="22">
        <f t="shared" si="26"/>
        <v>2698.8</v>
      </c>
      <c r="J1612" s="18" t="s">
        <v>1199</v>
      </c>
      <c r="K1612" s="18">
        <v>9866855</v>
      </c>
      <c r="L1612" s="18">
        <v>932494</v>
      </c>
      <c r="M1612" s="18" t="s">
        <v>3641</v>
      </c>
      <c r="N1612" s="16" t="s">
        <v>3559</v>
      </c>
      <c r="O1612" s="18" t="s">
        <v>1770</v>
      </c>
      <c r="P1612" s="18" t="s">
        <v>3429</v>
      </c>
      <c r="Q1612" s="29" t="str" cm="1">
        <f t="array" ref="Q1612">_xlfn.IFS(
A1612="","",
AND(A1612&lt;&gt;"",B1612=""),"FALTA LANÇAMENTO",
AND(B1612&lt;&gt;"",M1612=""),"FALTA O PEDIDO",
AND(M1612&lt;&gt;"",O1612=""),"FALTA NF",
O1612&lt;&gt;"","CONCLUÍDO")</f>
        <v>CONCLUÍDO</v>
      </c>
      <c r="R1612" s="36"/>
    </row>
    <row r="1613" spans="1:18" hidden="1">
      <c r="A1613" s="16">
        <v>46160</v>
      </c>
      <c r="B1613" s="16">
        <v>46167</v>
      </c>
      <c r="C1613" s="21">
        <v>13100005</v>
      </c>
      <c r="D1613" s="16" t="str">
        <f>IFERROR(VLOOKUP(Tabela5[[#This Row],[PREFIXO ]],Tabela4[#All],2,0),"CENTRO DE CUSTO")</f>
        <v>TRAT PN PES JOHN DEERE 8400R</v>
      </c>
      <c r="E1613" s="18" t="s">
        <v>96</v>
      </c>
      <c r="F1613" s="21" t="s">
        <v>3642</v>
      </c>
      <c r="G1613" s="22">
        <v>486</v>
      </c>
      <c r="H1613" s="22">
        <v>713.97</v>
      </c>
      <c r="I1613" s="22">
        <f t="shared" si="26"/>
        <v>1199.97</v>
      </c>
      <c r="J1613" s="18" t="s">
        <v>1199</v>
      </c>
      <c r="K1613" s="18">
        <v>9867034</v>
      </c>
      <c r="L1613" s="18">
        <v>932784</v>
      </c>
      <c r="M1613" s="18" t="s">
        <v>3643</v>
      </c>
      <c r="N1613" s="16" t="s">
        <v>3603</v>
      </c>
      <c r="O1613" s="18" t="s">
        <v>3644</v>
      </c>
      <c r="P1613" s="18" t="s">
        <v>3534</v>
      </c>
      <c r="Q1613" s="29" t="str" cm="1">
        <f t="array" ref="Q1613">_xlfn.IFS(
A1613="","",
AND(A1613&lt;&gt;"",B1613=""),"FALTA LANÇAMENTO",
AND(B1613&lt;&gt;"",M1613=""),"FALTA O PEDIDO",
AND(M1613&lt;&gt;"",O1613=""),"FALTA NF",
O1613&lt;&gt;"","CONCLUÍDO")</f>
        <v>CONCLUÍDO</v>
      </c>
      <c r="R1613" s="36"/>
    </row>
    <row r="1614" spans="1:18" hidden="1">
      <c r="A1614" s="16">
        <v>46160</v>
      </c>
      <c r="B1614" s="16">
        <v>46163</v>
      </c>
      <c r="C1614" s="21">
        <v>13100004</v>
      </c>
      <c r="D1614" s="16" t="str">
        <f>IFERROR(VLOOKUP(Tabela5[[#This Row],[PREFIXO ]],Tabela4[#All],2,0),"CENTRO DE CUSTO")</f>
        <v>TRAT PN PES JOHN DEERE 8400R</v>
      </c>
      <c r="E1614" s="18" t="s">
        <v>359</v>
      </c>
      <c r="F1614" s="21" t="s">
        <v>3645</v>
      </c>
      <c r="G1614" s="22">
        <v>12795.56</v>
      </c>
      <c r="H1614" s="22"/>
      <c r="I1614" s="22">
        <f t="shared" si="26"/>
        <v>12795.56</v>
      </c>
      <c r="J1614" s="18" t="s">
        <v>1199</v>
      </c>
      <c r="K1614" s="18">
        <v>9867420</v>
      </c>
      <c r="L1614" s="18">
        <v>932844</v>
      </c>
      <c r="M1614" s="18" t="s">
        <v>3646</v>
      </c>
      <c r="N1614" s="16" t="s">
        <v>3559</v>
      </c>
      <c r="O1614" s="18" t="s">
        <v>2356</v>
      </c>
      <c r="P1614" s="18" t="s">
        <v>3280</v>
      </c>
      <c r="Q1614" s="29" t="str" cm="1">
        <f t="array" ref="Q1614">_xlfn.IFS(
A1614="","",
AND(A1614&lt;&gt;"",B1614=""),"FALTA LANÇAMENTO",
AND(B1614&lt;&gt;"",M1614=""),"FALTA O PEDIDO",
AND(M1614&lt;&gt;"",O1614=""),"FALTA NF",
O1614&lt;&gt;"","CONCLUÍDO")</f>
        <v>CONCLUÍDO</v>
      </c>
      <c r="R1614" s="36"/>
    </row>
    <row r="1615" spans="1:18" hidden="1">
      <c r="A1615" s="16">
        <v>46160</v>
      </c>
      <c r="B1615" s="16">
        <v>46163</v>
      </c>
      <c r="C1615" s="21">
        <v>13100005</v>
      </c>
      <c r="D1615" s="16" t="str">
        <f>IFERROR(VLOOKUP(Tabela5[[#This Row],[PREFIXO ]],Tabela4[#All],2,0),"CENTRO DE CUSTO")</f>
        <v>TRAT PN PES JOHN DEERE 8400R</v>
      </c>
      <c r="E1615" s="18" t="s">
        <v>359</v>
      </c>
      <c r="F1615" s="21" t="s">
        <v>3647</v>
      </c>
      <c r="G1615" s="22">
        <v>12790.56</v>
      </c>
      <c r="H1615" s="22"/>
      <c r="I1615" s="22">
        <f t="shared" si="26"/>
        <v>12790.56</v>
      </c>
      <c r="J1615" s="18" t="s">
        <v>1199</v>
      </c>
      <c r="K1615" s="18">
        <v>9867396</v>
      </c>
      <c r="L1615" s="18">
        <v>932874</v>
      </c>
      <c r="M1615" s="18" t="s">
        <v>3646</v>
      </c>
      <c r="N1615" s="16" t="s">
        <v>3559</v>
      </c>
      <c r="O1615" s="18" t="s">
        <v>2356</v>
      </c>
      <c r="P1615" s="18" t="s">
        <v>3280</v>
      </c>
      <c r="Q1615" s="29" t="str" cm="1">
        <f t="array" ref="Q1615">_xlfn.IFS(
A1615="","",
AND(A1615&lt;&gt;"",B1615=""),"FALTA LANÇAMENTO",
AND(B1615&lt;&gt;"",M1615=""),"FALTA O PEDIDO",
AND(M1615&lt;&gt;"",O1615=""),"FALTA NF",
O1615&lt;&gt;"","CONCLUÍDO")</f>
        <v>CONCLUÍDO</v>
      </c>
      <c r="R1615" s="36"/>
    </row>
    <row r="1616" spans="1:18" hidden="1">
      <c r="A1616" s="16">
        <v>46160</v>
      </c>
      <c r="B1616" s="16">
        <v>46163</v>
      </c>
      <c r="C1616" s="21">
        <v>43080001</v>
      </c>
      <c r="D1616" s="16" t="str">
        <f>IFERROR(VLOOKUP(Tabela5[[#This Row],[PREFIXO ]],Tabela4[#All],2,0),"CENTRO DE CUSTO")</f>
        <v>TRAT PN LEVE CASE FARMALL 80</v>
      </c>
      <c r="E1616" s="18" t="s">
        <v>359</v>
      </c>
      <c r="F1616" s="21" t="s">
        <v>3648</v>
      </c>
      <c r="G1616" s="22">
        <v>3080</v>
      </c>
      <c r="H1616" s="22"/>
      <c r="I1616" s="22">
        <f t="shared" si="26"/>
        <v>3080</v>
      </c>
      <c r="J1616" s="18" t="s">
        <v>1199</v>
      </c>
      <c r="K1616" s="18">
        <v>9867398</v>
      </c>
      <c r="L1616" s="18">
        <v>932874</v>
      </c>
      <c r="M1616" s="18" t="s">
        <v>3646</v>
      </c>
      <c r="N1616" s="16" t="s">
        <v>3559</v>
      </c>
      <c r="O1616" s="18" t="s">
        <v>2356</v>
      </c>
      <c r="P1616" s="18" t="s">
        <v>3280</v>
      </c>
      <c r="Q1616" s="29" t="str" cm="1">
        <f t="array" ref="Q1616">_xlfn.IFS(
A1616="","",
AND(A1616&lt;&gt;"",B1616=""),"FALTA LANÇAMENTO",
AND(B1616&lt;&gt;"",M1616=""),"FALTA O PEDIDO",
AND(M1616&lt;&gt;"",O1616=""),"FALTA NF",
O1616&lt;&gt;"","CONCLUÍDO")</f>
        <v>CONCLUÍDO</v>
      </c>
      <c r="R1616" s="36"/>
    </row>
    <row r="1617" spans="1:18" hidden="1">
      <c r="A1617" s="16">
        <v>46160</v>
      </c>
      <c r="B1617" s="16">
        <v>46163</v>
      </c>
      <c r="C1617" s="21">
        <v>11521025</v>
      </c>
      <c r="D1617" s="16" t="str">
        <f>IFERROR(VLOOKUP(Tabela5[[#This Row],[PREFIXO ]],Tabela4[#All],2,0),"CENTRO DE CUSTO")</f>
        <v>TRAT PN MED CASE PUMA 140</v>
      </c>
      <c r="E1617" s="18" t="s">
        <v>359</v>
      </c>
      <c r="F1617" s="21" t="s">
        <v>3649</v>
      </c>
      <c r="G1617" s="22">
        <v>605.6</v>
      </c>
      <c r="H1617" s="22"/>
      <c r="I1617" s="22">
        <f t="shared" si="26"/>
        <v>605.6</v>
      </c>
      <c r="J1617" s="18" t="s">
        <v>1199</v>
      </c>
      <c r="K1617" s="18">
        <v>9837423</v>
      </c>
      <c r="L1617" s="18">
        <v>932844</v>
      </c>
      <c r="M1617" s="18" t="s">
        <v>3646</v>
      </c>
      <c r="N1617" s="16" t="s">
        <v>3559</v>
      </c>
      <c r="O1617" s="18" t="s">
        <v>2356</v>
      </c>
      <c r="P1617" s="18" t="s">
        <v>3280</v>
      </c>
      <c r="Q1617" s="29" t="str" cm="1">
        <f t="array" ref="Q1617">_xlfn.IFS(
A1617="","",
AND(A1617&lt;&gt;"",B1617=""),"FALTA LANÇAMENTO",
AND(B1617&lt;&gt;"",M1617=""),"FALTA O PEDIDO",
AND(M1617&lt;&gt;"",O1617=""),"FALTA NF",
O1617&lt;&gt;"","CONCLUÍDO")</f>
        <v>CONCLUÍDO</v>
      </c>
      <c r="R1617" s="36"/>
    </row>
    <row r="1618" spans="1:18" hidden="1">
      <c r="A1618" s="16">
        <v>46160</v>
      </c>
      <c r="B1618" s="16">
        <v>46167</v>
      </c>
      <c r="C1618" s="21">
        <v>45048035</v>
      </c>
      <c r="D1618" s="16" t="str">
        <f>IFERROR(VLOOKUP(Tabela5[[#This Row],[PREFIXO ]],Tabela4[#All],2,0),"CENTRO DE CUSTO")</f>
        <v>VAN MICROBUS FORD TRANSIT 410 B</v>
      </c>
      <c r="E1618" s="18" t="s">
        <v>124</v>
      </c>
      <c r="F1618" s="21">
        <v>580</v>
      </c>
      <c r="G1618" s="22">
        <v>2188.8000000000002</v>
      </c>
      <c r="H1618" s="22"/>
      <c r="I1618" s="22">
        <f t="shared" si="26"/>
        <v>2188.8000000000002</v>
      </c>
      <c r="J1618" s="18" t="s">
        <v>3650</v>
      </c>
      <c r="K1618" s="18">
        <v>9865384</v>
      </c>
      <c r="L1618" s="18">
        <v>933270</v>
      </c>
      <c r="M1618" s="18" t="s">
        <v>3651</v>
      </c>
      <c r="N1618" s="16" t="s">
        <v>3609</v>
      </c>
      <c r="O1618" s="18" t="s">
        <v>3652</v>
      </c>
      <c r="P1618" s="18" t="s">
        <v>3557</v>
      </c>
      <c r="Q1618" s="29" t="str" cm="1">
        <f t="array" ref="Q1618">_xlfn.IFS(
A1618="","",
AND(A1618&lt;&gt;"",B1618=""),"FALTA LANÇAMENTO",
AND(B1618&lt;&gt;"",M1618=""),"FALTA O PEDIDO",
AND(M1618&lt;&gt;"",O1618=""),"FALTA NF",
O1618&lt;&gt;"","CONCLUÍDO")</f>
        <v>CONCLUÍDO</v>
      </c>
      <c r="R1618" s="36"/>
    </row>
    <row r="1619" spans="1:18" hidden="1">
      <c r="A1619" s="16">
        <v>46160</v>
      </c>
      <c r="B1619" s="16">
        <v>46161</v>
      </c>
      <c r="C1619" s="21">
        <v>1151034</v>
      </c>
      <c r="D1619" s="16" t="str">
        <f>IFERROR(VLOOKUP(Tabela5[[#This Row],[PREFIXO ]],Tabela4[#All],2,0),"CENTRO DE CUSTO")</f>
        <v>TRAT PN MED M FERGUSON MF 297</v>
      </c>
      <c r="E1619" s="18" t="s">
        <v>148</v>
      </c>
      <c r="F1619" s="21">
        <v>135</v>
      </c>
      <c r="G1619" s="22">
        <v>2550</v>
      </c>
      <c r="H1619" s="22"/>
      <c r="I1619" s="22">
        <f t="shared" si="26"/>
        <v>2550</v>
      </c>
      <c r="J1619" s="18" t="s">
        <v>1199</v>
      </c>
      <c r="K1619" s="18">
        <v>9865068</v>
      </c>
      <c r="L1619" s="18">
        <v>932367</v>
      </c>
      <c r="M1619" s="18" t="s">
        <v>3653</v>
      </c>
      <c r="N1619" s="16" t="s">
        <v>3584</v>
      </c>
      <c r="O1619" s="18" t="s">
        <v>2422</v>
      </c>
      <c r="P1619" s="18" t="s">
        <v>3559</v>
      </c>
      <c r="Q1619" s="29" t="str" cm="1">
        <f t="array" ref="Q1619">_xlfn.IFS(
A1619="","",
AND(A1619&lt;&gt;"",B1619=""),"FALTA LANÇAMENTO",
AND(B1619&lt;&gt;"",M1619=""),"FALTA O PEDIDO",
AND(M1619&lt;&gt;"",O1619=""),"FALTA NF",
O1619&lt;&gt;"","CONCLUÍDO")</f>
        <v>CONCLUÍDO</v>
      </c>
      <c r="R1619" s="36"/>
    </row>
    <row r="1620" spans="1:18" hidden="1">
      <c r="A1620" s="16">
        <v>46160</v>
      </c>
      <c r="B1620" s="16">
        <v>46161</v>
      </c>
      <c r="C1620" s="21">
        <v>500580579</v>
      </c>
      <c r="D1620" s="16" t="str">
        <f>IFERROR(VLOOKUP(Tabela5[[#This Row],[PREFIXO ]],Tabela4[#All],2,0),"CENTRO DE CUSTO")</f>
        <v>Pátio de Vendas</v>
      </c>
      <c r="E1620" s="18" t="s">
        <v>224</v>
      </c>
      <c r="F1620" s="21">
        <v>2672</v>
      </c>
      <c r="G1620" s="22">
        <v>1550</v>
      </c>
      <c r="H1620" s="22"/>
      <c r="I1620" s="22">
        <f t="shared" si="26"/>
        <v>1550</v>
      </c>
      <c r="J1620" s="18" t="s">
        <v>3654</v>
      </c>
      <c r="K1620" s="18">
        <v>5020786</v>
      </c>
      <c r="L1620" s="18" t="s">
        <v>3655</v>
      </c>
      <c r="M1620" s="18" t="s">
        <v>3656</v>
      </c>
      <c r="N1620" s="16">
        <v>46183</v>
      </c>
      <c r="O1620" s="18" t="s">
        <v>3657</v>
      </c>
      <c r="P1620" s="18" t="s">
        <v>3505</v>
      </c>
      <c r="Q1620" s="29" t="str" cm="1">
        <f t="array" ref="Q1620">_xlfn.IFS(
A1620="","",
AND(A1620&lt;&gt;"",B1620=""),"FALTA LANÇAMENTO",
AND(B1620&lt;&gt;"",M1620=""),"FALTA O PEDIDO",
AND(M1620&lt;&gt;"",O1620=""),"FALTA NF",
O1620&lt;&gt;"","CONCLUÍDO")</f>
        <v>CONCLUÍDO</v>
      </c>
      <c r="R1620" s="36"/>
    </row>
    <row r="1621" spans="1:18" hidden="1">
      <c r="A1621" s="16">
        <v>46160</v>
      </c>
      <c r="B1621" s="16">
        <v>46167</v>
      </c>
      <c r="C1621" s="21" t="s">
        <v>3658</v>
      </c>
      <c r="D1621" s="16" t="str">
        <f>IFERROR(VLOOKUP(Tabela5[[#This Row],[PREFIXO ]],Tabela4[#All],2,0),"CENTRO DE CUSTO")</f>
        <v>CENTRO DE CUSTO</v>
      </c>
      <c r="E1621" s="18" t="s">
        <v>259</v>
      </c>
      <c r="F1621" s="21" t="s">
        <v>3659</v>
      </c>
      <c r="G1621" s="22">
        <v>48000</v>
      </c>
      <c r="H1621" s="22"/>
      <c r="I1621" s="22">
        <f t="shared" si="26"/>
        <v>48000</v>
      </c>
      <c r="J1621" s="18" t="s">
        <v>1199</v>
      </c>
      <c r="K1621" s="18" t="s">
        <v>3660</v>
      </c>
      <c r="L1621" s="18">
        <v>933136</v>
      </c>
      <c r="M1621" s="18" t="s">
        <v>3661</v>
      </c>
      <c r="N1621" s="16" t="s">
        <v>3609</v>
      </c>
      <c r="O1621" s="18" t="s">
        <v>3662</v>
      </c>
      <c r="P1621" s="18" t="s">
        <v>3440</v>
      </c>
      <c r="Q1621" s="29" t="str" cm="1">
        <f t="array" ref="Q1621">_xlfn.IFS(
A1621="","",
AND(A1621&lt;&gt;"",B1621=""),"FALTA LANÇAMENTO",
AND(B1621&lt;&gt;"",M1621=""),"FALTA O PEDIDO",
AND(M1621&lt;&gt;"",O1621=""),"FALTA NF",
O1621&lt;&gt;"","CONCLUÍDO")</f>
        <v>CONCLUÍDO</v>
      </c>
      <c r="R1621" s="36"/>
    </row>
    <row r="1622" spans="1:18" hidden="1">
      <c r="A1622" s="16">
        <v>46160</v>
      </c>
      <c r="B1622" s="16">
        <v>46161</v>
      </c>
      <c r="C1622" s="21">
        <v>22030426</v>
      </c>
      <c r="D1622" s="16" t="str">
        <f>IFERROR(VLOOKUP(Tabela5[[#This Row],[PREFIXO ]],Tabela4[#All],2,0),"CENTRO DE CUSTO")</f>
        <v>AUTOMOVEL FIAT STRADA FREEDOM CD13</v>
      </c>
      <c r="E1622" s="18" t="s">
        <v>209</v>
      </c>
      <c r="F1622" s="21">
        <v>115218</v>
      </c>
      <c r="G1622" s="22">
        <v>640</v>
      </c>
      <c r="H1622" s="22">
        <v>1085</v>
      </c>
      <c r="I1622" s="22">
        <f t="shared" si="26"/>
        <v>1725</v>
      </c>
      <c r="J1622" s="18" t="s">
        <v>1085</v>
      </c>
      <c r="K1622" s="18">
        <v>9863378</v>
      </c>
      <c r="L1622" s="18">
        <v>919536</v>
      </c>
      <c r="M1622" s="18" t="s">
        <v>2683</v>
      </c>
      <c r="N1622" s="16" t="s">
        <v>2684</v>
      </c>
      <c r="O1622" s="18"/>
      <c r="P1622" s="18"/>
      <c r="Q1622" s="29" t="str" cm="1">
        <f t="array" ref="Q1622">_xlfn.IFS(
A1622="","",
AND(A1622&lt;&gt;"",B1622=""),"FALTA LANÇAMENTO",
AND(B1622&lt;&gt;"",M1622=""),"FALTA O PEDIDO",
AND(M1622&lt;&gt;"",O1622=""),"FALTA NF",
O1622&lt;&gt;"","CONCLUÍDO")</f>
        <v>FALTA NF</v>
      </c>
      <c r="R1622" s="36"/>
    </row>
    <row r="1623" spans="1:18" hidden="1">
      <c r="A1623" s="16">
        <v>46160</v>
      </c>
      <c r="B1623" s="16">
        <v>46167</v>
      </c>
      <c r="C1623" s="21">
        <v>500580090</v>
      </c>
      <c r="D1623" s="16" t="str">
        <f>IFERROR(VLOOKUP(Tabela5[[#This Row],[PREFIXO ]],Tabela4[#All],2,0),"CENTRO DE CUSTO")</f>
        <v>Plantadeiras</v>
      </c>
      <c r="E1623" s="18" t="s">
        <v>144</v>
      </c>
      <c r="F1623" s="21">
        <v>876</v>
      </c>
      <c r="G1623" s="22">
        <v>3439.95</v>
      </c>
      <c r="H1623" s="22"/>
      <c r="I1623" s="22">
        <f t="shared" si="26"/>
        <v>3439.95</v>
      </c>
      <c r="J1623" s="18" t="s">
        <v>1199</v>
      </c>
      <c r="K1623" s="18">
        <v>5020794</v>
      </c>
      <c r="L1623" s="18">
        <v>933116</v>
      </c>
      <c r="M1623" s="18" t="s">
        <v>3663</v>
      </c>
      <c r="N1623" s="16" t="s">
        <v>3609</v>
      </c>
      <c r="O1623" s="18"/>
      <c r="P1623" s="18"/>
      <c r="Q1623" s="29" t="str" cm="1">
        <f t="array" ref="Q1623">_xlfn.IFS(
A1623="","",
AND(A1623&lt;&gt;"",B1623=""),"FALTA LANÇAMENTO",
AND(B1623&lt;&gt;"",M1623=""),"FALTA O PEDIDO",
AND(M1623&lt;&gt;"",O1623=""),"FALTA NF",
O1623&lt;&gt;"","CONCLUÍDO")</f>
        <v>FALTA NF</v>
      </c>
      <c r="R1623" s="36"/>
    </row>
    <row r="1624" spans="1:18" hidden="1">
      <c r="A1624" s="16">
        <v>46160</v>
      </c>
      <c r="B1624" s="16">
        <v>46169</v>
      </c>
      <c r="C1624" s="21">
        <v>61521043</v>
      </c>
      <c r="D1624" s="16" t="str">
        <f>IFERROR(VLOOKUP(Tabela5[[#This Row],[PREFIXO ]],Tabela4[#All],2,0),"CENTRO DE CUSTO")</f>
        <v>ONIB RODOVIÁRIO MASCARELLO GRAN MIDI</v>
      </c>
      <c r="E1624" s="18" t="s">
        <v>121</v>
      </c>
      <c r="F1624" s="21">
        <v>74</v>
      </c>
      <c r="G1624" s="22">
        <v>2527</v>
      </c>
      <c r="H1624" s="22">
        <v>3083.05</v>
      </c>
      <c r="I1624" s="22">
        <f t="shared" si="26"/>
        <v>5610.05</v>
      </c>
      <c r="J1624" s="18" t="s">
        <v>1085</v>
      </c>
      <c r="K1624" s="18">
        <v>9867424</v>
      </c>
      <c r="L1624" s="18" t="s">
        <v>3664</v>
      </c>
      <c r="M1624" s="18" t="s">
        <v>3665</v>
      </c>
      <c r="N1624" s="16">
        <v>46198</v>
      </c>
      <c r="O1624" s="18"/>
      <c r="P1624" s="18"/>
      <c r="Q1624" s="29" t="str" cm="1">
        <f t="array" ref="Q1624">_xlfn.IFS(
A1624="","",
AND(A1624&lt;&gt;"",B1624=""),"FALTA LANÇAMENTO",
AND(B1624&lt;&gt;"",M1624=""),"FALTA O PEDIDO",
AND(M1624&lt;&gt;"",O1624=""),"FALTA NF",
O1624&lt;&gt;"","CONCLUÍDO")</f>
        <v>FALTA NF</v>
      </c>
      <c r="R1624" s="36"/>
    </row>
    <row r="1625" spans="1:18" hidden="1">
      <c r="A1625" s="16">
        <v>46161</v>
      </c>
      <c r="B1625" s="16">
        <v>46167</v>
      </c>
      <c r="C1625" s="21">
        <v>25530045</v>
      </c>
      <c r="D1625" s="16" t="str">
        <f>IFERROR(VLOOKUP(Tabela5[[#This Row],[PREFIXO ]],Tabela4[#All],2,0),"CENTRO DE CUSTO")</f>
        <v>PLATAF COLHEITA JOHN DEERE HYDRAFLEX 740</v>
      </c>
      <c r="E1625" s="18" t="s">
        <v>17</v>
      </c>
      <c r="F1625" s="21">
        <v>43369</v>
      </c>
      <c r="G1625" s="22">
        <v>217.2</v>
      </c>
      <c r="H1625" s="22">
        <v>2113.9</v>
      </c>
      <c r="I1625" s="22">
        <f t="shared" si="26"/>
        <v>2331.1</v>
      </c>
      <c r="J1625" s="18" t="s">
        <v>1123</v>
      </c>
      <c r="K1625" s="18">
        <v>9868033</v>
      </c>
      <c r="L1625" s="18">
        <v>936998</v>
      </c>
      <c r="M1625" s="18" t="s">
        <v>3666</v>
      </c>
      <c r="N1625" s="16" t="s">
        <v>3609</v>
      </c>
      <c r="O1625" s="18" t="s">
        <v>3667</v>
      </c>
      <c r="P1625" s="18" t="s">
        <v>3668</v>
      </c>
      <c r="Q1625" s="29" t="str" cm="1">
        <f t="array" ref="Q1625">_xlfn.IFS(
A1625="","",
AND(A1625&lt;&gt;"",B1625=""),"FALTA LANÇAMENTO",
AND(B1625&lt;&gt;"",M1625=""),"FALTA O PEDIDO",
AND(M1625&lt;&gt;"",O1625=""),"FALTA NF",
O1625&lt;&gt;"","CONCLUÍDO")</f>
        <v>CONCLUÍDO</v>
      </c>
      <c r="R1625" s="36"/>
    </row>
    <row r="1626" spans="1:18" hidden="1">
      <c r="A1626" s="16">
        <v>46161</v>
      </c>
      <c r="B1626" s="16">
        <v>46167</v>
      </c>
      <c r="C1626" s="21">
        <v>25530043</v>
      </c>
      <c r="D1626" s="16" t="str">
        <f>IFERROR(VLOOKUP(Tabela5[[#This Row],[PREFIXO ]],Tabela4[#All],2,0),"CENTRO DE CUSTO")</f>
        <v>PLATAF COLHEITA JOHN DEERE HYDRAFLEX 740</v>
      </c>
      <c r="E1626" s="18" t="s">
        <v>17</v>
      </c>
      <c r="F1626" s="21">
        <v>43371</v>
      </c>
      <c r="G1626" s="22">
        <v>217.2</v>
      </c>
      <c r="H1626" s="22">
        <v>2113.9</v>
      </c>
      <c r="I1626" s="22">
        <f t="shared" si="26"/>
        <v>2331.1</v>
      </c>
      <c r="J1626" s="18" t="s">
        <v>1123</v>
      </c>
      <c r="K1626" s="18">
        <v>9868032</v>
      </c>
      <c r="L1626" s="18">
        <v>937015</v>
      </c>
      <c r="M1626" s="18" t="s">
        <v>3669</v>
      </c>
      <c r="N1626" s="16" t="s">
        <v>3609</v>
      </c>
      <c r="O1626" s="18" t="s">
        <v>3670</v>
      </c>
      <c r="P1626" s="18" t="s">
        <v>3668</v>
      </c>
      <c r="Q1626" s="29" t="str" cm="1">
        <f t="array" ref="Q1626">_xlfn.IFS(
A1626="","",
AND(A1626&lt;&gt;"",B1626=""),"FALTA LANÇAMENTO",
AND(B1626&lt;&gt;"",M1626=""),"FALTA O PEDIDO",
AND(M1626&lt;&gt;"",O1626=""),"FALTA NF",
O1626&lt;&gt;"","CONCLUÍDO")</f>
        <v>CONCLUÍDO</v>
      </c>
      <c r="R1626" s="36"/>
    </row>
    <row r="1627" spans="1:18" hidden="1">
      <c r="A1627" s="16">
        <v>46161</v>
      </c>
      <c r="B1627" s="16">
        <v>46167</v>
      </c>
      <c r="C1627" s="21">
        <v>25530042</v>
      </c>
      <c r="D1627" s="16" t="str">
        <f>IFERROR(VLOOKUP(Tabela5[[#This Row],[PREFIXO ]],Tabela4[#All],2,0),"CENTRO DE CUSTO")</f>
        <v>PLATAF COLHEITA JOHN DEERE HYDRAFLEX 740</v>
      </c>
      <c r="E1627" s="18" t="s">
        <v>17</v>
      </c>
      <c r="F1627" s="21">
        <v>43370</v>
      </c>
      <c r="G1627" s="22">
        <v>217.2</v>
      </c>
      <c r="H1627" s="22">
        <v>2113.9</v>
      </c>
      <c r="I1627" s="22">
        <f t="shared" si="26"/>
        <v>2331.1</v>
      </c>
      <c r="J1627" s="18" t="s">
        <v>1123</v>
      </c>
      <c r="K1627" s="18">
        <v>9868029</v>
      </c>
      <c r="L1627" s="18">
        <v>937012</v>
      </c>
      <c r="M1627" s="18" t="s">
        <v>3671</v>
      </c>
      <c r="N1627" s="16" t="s">
        <v>3609</v>
      </c>
      <c r="O1627" s="18" t="s">
        <v>3672</v>
      </c>
      <c r="P1627" s="18" t="s">
        <v>3673</v>
      </c>
      <c r="Q1627" s="29" t="str" cm="1">
        <f t="array" ref="Q1627">_xlfn.IFS(
A1627="","",
AND(A1627&lt;&gt;"",B1627=""),"FALTA LANÇAMENTO",
AND(B1627&lt;&gt;"",M1627=""),"FALTA O PEDIDO",
AND(M1627&lt;&gt;"",O1627=""),"FALTA NF",
O1627&lt;&gt;"","CONCLUÍDO")</f>
        <v>CONCLUÍDO</v>
      </c>
      <c r="R1627" s="36"/>
    </row>
    <row r="1628" spans="1:18" hidden="1">
      <c r="A1628" s="16">
        <v>46161</v>
      </c>
      <c r="B1628" s="16">
        <v>46183</v>
      </c>
      <c r="C1628" s="21">
        <v>31521034</v>
      </c>
      <c r="D1628" s="16" t="str">
        <f>IFERROR(VLOOKUP(Tabela5[[#This Row],[PREFIXO ]],Tabela4[#All],2,0),"CENTRO DE CUSTO")</f>
        <v>ADUB AUTOPROP KUHN ACCURA ST 7000</v>
      </c>
      <c r="E1628" s="18" t="s">
        <v>68</v>
      </c>
      <c r="F1628" s="21">
        <v>2309</v>
      </c>
      <c r="G1628" s="22">
        <v>5740</v>
      </c>
      <c r="H1628" s="22">
        <v>337</v>
      </c>
      <c r="I1628" s="22">
        <f t="shared" si="26"/>
        <v>6077</v>
      </c>
      <c r="J1628" s="18" t="s">
        <v>1080</v>
      </c>
      <c r="K1628" s="18">
        <v>9865295</v>
      </c>
      <c r="L1628" s="18" t="s">
        <v>3674</v>
      </c>
      <c r="M1628" s="18" t="s">
        <v>3675</v>
      </c>
      <c r="N1628" s="16">
        <v>46184</v>
      </c>
      <c r="O1628" s="18" t="s">
        <v>3676</v>
      </c>
      <c r="P1628" s="18" t="s">
        <v>3677</v>
      </c>
      <c r="Q1628" s="29" t="str" cm="1">
        <f t="array" ref="Q1628">_xlfn.IFS(
A1628="","",
AND(A1628&lt;&gt;"",B1628=""),"FALTA LANÇAMENTO",
AND(B1628&lt;&gt;"",M1628=""),"FALTA O PEDIDO",
AND(M1628&lt;&gt;"",O1628=""),"FALTA NF",
O1628&lt;&gt;"","CONCLUÍDO")</f>
        <v>CONCLUÍDO</v>
      </c>
      <c r="R1628" s="36" t="s">
        <v>3307</v>
      </c>
    </row>
    <row r="1629" spans="1:18" hidden="1">
      <c r="A1629" s="16">
        <v>46161</v>
      </c>
      <c r="B1629" s="16">
        <v>46167</v>
      </c>
      <c r="C1629" s="21">
        <v>61521095</v>
      </c>
      <c r="D1629" s="16" t="str">
        <f>IFERROR(VLOOKUP(Tabela5[[#This Row],[PREFIXO ]],Tabela4[#All],2,0),"CENTRO DE CUSTO")</f>
        <v>EMPILHA COMBUST TOYOTA 8FGU30</v>
      </c>
      <c r="E1629" s="18" t="s">
        <v>271</v>
      </c>
      <c r="F1629" s="21">
        <v>6570</v>
      </c>
      <c r="G1629" s="22">
        <v>978.22</v>
      </c>
      <c r="H1629" s="22">
        <v>1514.42</v>
      </c>
      <c r="I1629" s="22">
        <f t="shared" si="26"/>
        <v>2492.6400000000003</v>
      </c>
      <c r="J1629" s="18" t="s">
        <v>3492</v>
      </c>
      <c r="K1629" s="18">
        <v>9869164</v>
      </c>
      <c r="L1629" s="18">
        <v>936464</v>
      </c>
      <c r="M1629" s="18" t="s">
        <v>3678</v>
      </c>
      <c r="N1629" s="16" t="s">
        <v>3603</v>
      </c>
      <c r="O1629" s="18" t="s">
        <v>3679</v>
      </c>
      <c r="P1629" s="18" t="s">
        <v>3680</v>
      </c>
      <c r="Q1629" s="29" t="str" cm="1">
        <f t="array" ref="Q1629">_xlfn.IFS(
A1629="","",
AND(A1629&lt;&gt;"",B1629=""),"FALTA LANÇAMENTO",
AND(B1629&lt;&gt;"",M1629=""),"FALTA O PEDIDO",
AND(M1629&lt;&gt;"",O1629=""),"FALTA NF",
O1629&lt;&gt;"","CONCLUÍDO")</f>
        <v>CONCLUÍDO</v>
      </c>
      <c r="R1629" s="36"/>
    </row>
    <row r="1630" spans="1:18" hidden="1">
      <c r="A1630" s="16">
        <v>46161</v>
      </c>
      <c r="B1630" s="16">
        <v>46167</v>
      </c>
      <c r="C1630" s="21">
        <v>61521094</v>
      </c>
      <c r="D1630" s="16" t="str">
        <f>IFERROR(VLOOKUP(Tabela5[[#This Row],[PREFIXO ]],Tabela4[#All],2,0),"CENTRO DE CUSTO")</f>
        <v>EMPILHA COMBUST TOYOTA 8FGU30</v>
      </c>
      <c r="E1630" s="18" t="s">
        <v>271</v>
      </c>
      <c r="F1630" s="21">
        <v>6569</v>
      </c>
      <c r="G1630" s="22">
        <v>978.22</v>
      </c>
      <c r="H1630" s="22">
        <v>1514.42</v>
      </c>
      <c r="I1630" s="22">
        <f t="shared" si="26"/>
        <v>2492.6400000000003</v>
      </c>
      <c r="J1630" s="18" t="s">
        <v>3492</v>
      </c>
      <c r="K1630" s="18">
        <v>9869166</v>
      </c>
      <c r="L1630" s="18">
        <v>935876</v>
      </c>
      <c r="M1630" s="18" t="s">
        <v>3681</v>
      </c>
      <c r="N1630" s="16" t="s">
        <v>3603</v>
      </c>
      <c r="O1630" s="18" t="s">
        <v>3682</v>
      </c>
      <c r="P1630" s="18" t="s">
        <v>3680</v>
      </c>
      <c r="Q1630" s="29" t="str" cm="1">
        <f t="array" ref="Q1630">_xlfn.IFS(
A1630="","",
AND(A1630&lt;&gt;"",B1630=""),"FALTA LANÇAMENTO",
AND(B1630&lt;&gt;"",M1630=""),"FALTA O PEDIDO",
AND(M1630&lt;&gt;"",O1630=""),"FALTA NF",
O1630&lt;&gt;"","CONCLUÍDO")</f>
        <v>CONCLUÍDO</v>
      </c>
      <c r="R1630" s="36"/>
    </row>
    <row r="1631" spans="1:18" hidden="1">
      <c r="A1631" s="16">
        <v>46161</v>
      </c>
      <c r="B1631" s="16">
        <v>46167</v>
      </c>
      <c r="C1631" s="21">
        <v>61521096</v>
      </c>
      <c r="D1631" s="16" t="str">
        <f>IFERROR(VLOOKUP(Tabela5[[#This Row],[PREFIXO ]],Tabela4[#All],2,0),"CENTRO DE CUSTO")</f>
        <v>EMPILHA COMBUST TOYOTA 8FGU30</v>
      </c>
      <c r="E1631" s="18" t="s">
        <v>271</v>
      </c>
      <c r="F1631" s="21">
        <v>6576</v>
      </c>
      <c r="G1631" s="22">
        <v>978.22</v>
      </c>
      <c r="H1631" s="22">
        <v>1361.48</v>
      </c>
      <c r="I1631" s="22">
        <f t="shared" si="26"/>
        <v>2339.6999999999998</v>
      </c>
      <c r="J1631" s="18" t="s">
        <v>3492</v>
      </c>
      <c r="K1631" s="18">
        <v>9869169</v>
      </c>
      <c r="L1631" s="18">
        <v>936937</v>
      </c>
      <c r="M1631" s="18" t="s">
        <v>3683</v>
      </c>
      <c r="N1631" s="16" t="s">
        <v>3609</v>
      </c>
      <c r="O1631" s="18" t="s">
        <v>3684</v>
      </c>
      <c r="P1631" s="18" t="s">
        <v>3680</v>
      </c>
      <c r="Q1631" s="29" t="str" cm="1">
        <f t="array" ref="Q1631">_xlfn.IFS(
A1631="","",
AND(A1631&lt;&gt;"",B1631=""),"FALTA LANÇAMENTO",
AND(B1631&lt;&gt;"",M1631=""),"FALTA O PEDIDO",
AND(M1631&lt;&gt;"",O1631=""),"FALTA NF",
O1631&lt;&gt;"","CONCLUÍDO")</f>
        <v>CONCLUÍDO</v>
      </c>
      <c r="R1631" s="36"/>
    </row>
    <row r="1632" spans="1:18" hidden="1">
      <c r="A1632" s="16">
        <v>46161</v>
      </c>
      <c r="B1632" s="16">
        <v>46167</v>
      </c>
      <c r="C1632" s="21">
        <v>61521093</v>
      </c>
      <c r="D1632" s="16" t="str">
        <f>IFERROR(VLOOKUP(Tabela5[[#This Row],[PREFIXO ]],Tabela4[#All],2,0),"CENTRO DE CUSTO")</f>
        <v>EMPILHA COMBUST TOYOTA 8FGU30</v>
      </c>
      <c r="E1632" s="18" t="s">
        <v>271</v>
      </c>
      <c r="F1632" s="21">
        <v>6575</v>
      </c>
      <c r="G1632" s="22">
        <v>978.22</v>
      </c>
      <c r="H1632" s="22">
        <v>1361.48</v>
      </c>
      <c r="I1632" s="22">
        <f t="shared" si="26"/>
        <v>2339.6999999999998</v>
      </c>
      <c r="J1632" s="18" t="s">
        <v>3492</v>
      </c>
      <c r="K1632" s="18">
        <v>9869171</v>
      </c>
      <c r="L1632" s="18">
        <v>936962</v>
      </c>
      <c r="M1632" s="18" t="s">
        <v>3685</v>
      </c>
      <c r="N1632" s="16" t="s">
        <v>3609</v>
      </c>
      <c r="O1632" s="18" t="s">
        <v>3686</v>
      </c>
      <c r="P1632" s="18" t="s">
        <v>3680</v>
      </c>
      <c r="Q1632" s="29" t="str" cm="1">
        <f t="array" ref="Q1632">_xlfn.IFS(
A1632="","",
AND(A1632&lt;&gt;"",B1632=""),"FALTA LANÇAMENTO",
AND(B1632&lt;&gt;"",M1632=""),"FALTA O PEDIDO",
AND(M1632&lt;&gt;"",O1632=""),"FALTA NF",
O1632&lt;&gt;"","CONCLUÍDO")</f>
        <v>CONCLUÍDO</v>
      </c>
      <c r="R1632" s="36"/>
    </row>
    <row r="1633" spans="1:18" hidden="1">
      <c r="A1633" s="16">
        <v>46161</v>
      </c>
      <c r="B1633" s="16">
        <v>46167</v>
      </c>
      <c r="C1633" s="21">
        <v>61521098</v>
      </c>
      <c r="D1633" s="16" t="str">
        <f>IFERROR(VLOOKUP(Tabela5[[#This Row],[PREFIXO ]],Tabela4[#All],2,0),"CENTRO DE CUSTO")</f>
        <v>EMPILHA COMBUST TOYOTA 8FGU30</v>
      </c>
      <c r="E1633" s="18" t="s">
        <v>271</v>
      </c>
      <c r="F1633" s="21">
        <v>6572</v>
      </c>
      <c r="G1633" s="22">
        <v>883.22</v>
      </c>
      <c r="H1633" s="22">
        <v>655.55</v>
      </c>
      <c r="I1633" s="22">
        <f t="shared" si="26"/>
        <v>1538.77</v>
      </c>
      <c r="J1633" s="18" t="s">
        <v>3492</v>
      </c>
      <c r="K1633" s="18">
        <v>9869168</v>
      </c>
      <c r="L1633" s="18">
        <v>935880</v>
      </c>
      <c r="M1633" s="18" t="s">
        <v>3687</v>
      </c>
      <c r="N1633" s="16" t="s">
        <v>3603</v>
      </c>
      <c r="O1633" s="18" t="s">
        <v>3688</v>
      </c>
      <c r="P1633" s="18" t="s">
        <v>3680</v>
      </c>
      <c r="Q1633" s="29" t="str" cm="1">
        <f t="array" ref="Q1633">_xlfn.IFS(
A1633="","",
AND(A1633&lt;&gt;"",B1633=""),"FALTA LANÇAMENTO",
AND(B1633&lt;&gt;"",M1633=""),"FALTA O PEDIDO",
AND(M1633&lt;&gt;"",O1633=""),"FALTA NF",
O1633&lt;&gt;"","CONCLUÍDO")</f>
        <v>CONCLUÍDO</v>
      </c>
      <c r="R1633" s="36"/>
    </row>
    <row r="1634" spans="1:18" hidden="1">
      <c r="A1634" s="16">
        <v>46161</v>
      </c>
      <c r="B1634" s="16">
        <v>46167</v>
      </c>
      <c r="C1634" s="21">
        <v>61521097</v>
      </c>
      <c r="D1634" s="16" t="str">
        <f>IFERROR(VLOOKUP(Tabela5[[#This Row],[PREFIXO ]],Tabela4[#All],2,0),"CENTRO DE CUSTO")</f>
        <v>EMPILHA COMBUST TOYOTA 8FGU30</v>
      </c>
      <c r="E1634" s="18" t="s">
        <v>271</v>
      </c>
      <c r="F1634" s="21">
        <v>6571</v>
      </c>
      <c r="G1634" s="22">
        <v>883.22</v>
      </c>
      <c r="H1634" s="22">
        <v>655.55</v>
      </c>
      <c r="I1634" s="22">
        <f t="shared" si="26"/>
        <v>1538.77</v>
      </c>
      <c r="J1634" s="18" t="s">
        <v>3492</v>
      </c>
      <c r="K1634" s="18">
        <v>9869170</v>
      </c>
      <c r="L1634" s="18">
        <v>935750</v>
      </c>
      <c r="M1634" s="18" t="s">
        <v>3689</v>
      </c>
      <c r="N1634" s="16" t="s">
        <v>3603</v>
      </c>
      <c r="O1634" s="18" t="s">
        <v>3690</v>
      </c>
      <c r="P1634" s="18" t="s">
        <v>3680</v>
      </c>
      <c r="Q1634" s="29" t="str" cm="1">
        <f t="array" ref="Q1634">_xlfn.IFS(
A1634="","",
AND(A1634&lt;&gt;"",B1634=""),"FALTA LANÇAMENTO",
AND(B1634&lt;&gt;"",M1634=""),"FALTA O PEDIDO",
AND(M1634&lt;&gt;"",O1634=""),"FALTA NF",
O1634&lt;&gt;"","CONCLUÍDO")</f>
        <v>CONCLUÍDO</v>
      </c>
      <c r="R1634" s="36"/>
    </row>
    <row r="1635" spans="1:18" hidden="1">
      <c r="A1635" s="16">
        <v>46161</v>
      </c>
      <c r="B1635" s="16">
        <v>46167</v>
      </c>
      <c r="C1635" s="21">
        <v>61521099</v>
      </c>
      <c r="D1635" s="16" t="str">
        <f>IFERROR(VLOOKUP(Tabela5[[#This Row],[PREFIXO ]],Tabela4[#All],2,0),"CENTRO DE CUSTO")</f>
        <v>EMPILHA COMBUST TOYOTA 8FGU30</v>
      </c>
      <c r="E1635" s="18" t="s">
        <v>271</v>
      </c>
      <c r="F1635" s="21">
        <v>6573</v>
      </c>
      <c r="G1635" s="22">
        <v>883.22</v>
      </c>
      <c r="H1635" s="22">
        <v>655.55</v>
      </c>
      <c r="I1635" s="22">
        <f t="shared" si="26"/>
        <v>1538.77</v>
      </c>
      <c r="J1635" s="18" t="s">
        <v>3492</v>
      </c>
      <c r="K1635" s="18">
        <v>9869162</v>
      </c>
      <c r="L1635" s="18">
        <v>935883</v>
      </c>
      <c r="M1635" s="18" t="s">
        <v>3691</v>
      </c>
      <c r="N1635" s="16" t="s">
        <v>3603</v>
      </c>
      <c r="O1635" s="18" t="s">
        <v>3692</v>
      </c>
      <c r="P1635" s="18" t="s">
        <v>3680</v>
      </c>
      <c r="Q1635" s="29" t="str" cm="1">
        <f t="array" ref="Q1635">_xlfn.IFS(
A1635="","",
AND(A1635&lt;&gt;"",B1635=""),"FALTA LANÇAMENTO",
AND(B1635&lt;&gt;"",M1635=""),"FALTA O PEDIDO",
AND(M1635&lt;&gt;"",O1635=""),"FALTA NF",
O1635&lt;&gt;"","CONCLUÍDO")</f>
        <v>CONCLUÍDO</v>
      </c>
      <c r="R1635" s="36"/>
    </row>
    <row r="1636" spans="1:18" hidden="1">
      <c r="A1636" s="16">
        <v>46162</v>
      </c>
      <c r="B1636" s="16">
        <v>46163</v>
      </c>
      <c r="C1636" s="21">
        <v>500580579</v>
      </c>
      <c r="D1636" s="16" t="str">
        <f>IFERROR(VLOOKUP(Tabela5[[#This Row],[PREFIXO ]],Tabela4[#All],2,0),"CENTRO DE CUSTO")</f>
        <v>Pátio de Vendas</v>
      </c>
      <c r="E1636" s="18" t="s">
        <v>224</v>
      </c>
      <c r="F1636" s="21">
        <v>4260</v>
      </c>
      <c r="G1636" s="22">
        <v>1620</v>
      </c>
      <c r="H1636" s="22"/>
      <c r="I1636" s="22">
        <f t="shared" si="26"/>
        <v>1620</v>
      </c>
      <c r="J1636" s="18" t="s">
        <v>3654</v>
      </c>
      <c r="K1636" s="18"/>
      <c r="L1636" s="18" t="s">
        <v>3693</v>
      </c>
      <c r="M1636" s="18" t="s">
        <v>3694</v>
      </c>
      <c r="N1636" s="16">
        <v>46163</v>
      </c>
      <c r="O1636" s="18" t="s">
        <v>3695</v>
      </c>
      <c r="P1636" s="18" t="s">
        <v>3696</v>
      </c>
      <c r="Q1636" s="29" t="str" cm="1">
        <f t="array" ref="Q1636">_xlfn.IFS(
A1636="","",
AND(A1636&lt;&gt;"",B1636=""),"FALTA LANÇAMENTO",
AND(B1636&lt;&gt;"",M1636=""),"FALTA O PEDIDO",
AND(M1636&lt;&gt;"",O1636=""),"FALTA NF",
O1636&lt;&gt;"","CONCLUÍDO")</f>
        <v>CONCLUÍDO</v>
      </c>
      <c r="R1636" s="36"/>
    </row>
    <row r="1637" spans="1:18" hidden="1">
      <c r="A1637" s="16">
        <v>46162</v>
      </c>
      <c r="B1637" s="16">
        <v>46167</v>
      </c>
      <c r="C1637" s="21">
        <v>1151030</v>
      </c>
      <c r="D1637" s="16" t="str">
        <f>IFERROR(VLOOKUP(Tabela5[[#This Row],[PREFIXO ]],Tabela4[#All],2,0),"CENTRO DE CUSTO")</f>
        <v>TRAT PN MED M FERGUSON MF 292</v>
      </c>
      <c r="E1637" s="18" t="s">
        <v>68</v>
      </c>
      <c r="F1637" s="21">
        <v>2294</v>
      </c>
      <c r="G1637" s="22">
        <v>877.95</v>
      </c>
      <c r="H1637" s="22">
        <v>0</v>
      </c>
      <c r="I1637" s="22">
        <f t="shared" si="26"/>
        <v>877.95</v>
      </c>
      <c r="J1637" s="18" t="s">
        <v>1199</v>
      </c>
      <c r="K1637" s="18" t="s">
        <v>3697</v>
      </c>
      <c r="L1637" s="18" t="s">
        <v>3698</v>
      </c>
      <c r="M1637" s="18" t="s">
        <v>3699</v>
      </c>
      <c r="N1637" s="16">
        <v>46182</v>
      </c>
      <c r="O1637" s="18" t="s">
        <v>3700</v>
      </c>
      <c r="P1637" s="18" t="s">
        <v>3449</v>
      </c>
      <c r="Q1637" s="29" t="str" cm="1">
        <f t="array" ref="Q1637">_xlfn.IFS(
A1637="","",
AND(A1637&lt;&gt;"",B1637=""),"FALTA LANÇAMENTO",
AND(B1637&lt;&gt;"",M1637=""),"FALTA O PEDIDO",
AND(M1637&lt;&gt;"",O1637=""),"FALTA NF",
O1637&lt;&gt;"","CONCLUÍDO")</f>
        <v>CONCLUÍDO</v>
      </c>
      <c r="R1637" s="36"/>
    </row>
    <row r="1638" spans="1:18" hidden="1">
      <c r="A1638" s="16">
        <v>46163</v>
      </c>
      <c r="B1638" s="16">
        <v>46164</v>
      </c>
      <c r="C1638" s="21">
        <v>11040022</v>
      </c>
      <c r="D1638" s="16" t="str">
        <f>IFERROR(VLOOKUP(Tabela5[[#This Row],[PREFIXO ]],Tabela4[#All],2,0),"CENTRO DE CUSTO")</f>
        <v>CAV MEC EXT PES SCANIA R500</v>
      </c>
      <c r="E1638" s="18" t="s">
        <v>39</v>
      </c>
      <c r="F1638" s="21">
        <v>11040022</v>
      </c>
      <c r="G1638" s="22">
        <v>0</v>
      </c>
      <c r="H1638" s="22">
        <v>2640</v>
      </c>
      <c r="I1638" s="22">
        <f t="shared" si="26"/>
        <v>2640</v>
      </c>
      <c r="J1638" s="18" t="s">
        <v>1085</v>
      </c>
      <c r="K1638" s="18">
        <v>9869221</v>
      </c>
      <c r="L1638" s="18" t="s">
        <v>3701</v>
      </c>
      <c r="M1638" s="18" t="s">
        <v>3702</v>
      </c>
      <c r="N1638" s="16">
        <v>46192</v>
      </c>
      <c r="O1638" s="18" t="s">
        <v>3703</v>
      </c>
      <c r="P1638" s="18" t="s">
        <v>3505</v>
      </c>
      <c r="Q1638" s="29" t="str" cm="1">
        <f t="array" ref="Q1638">_xlfn.IFS(
A1638="","",
AND(A1638&lt;&gt;"",B1638=""),"FALTA LANÇAMENTO",
AND(B1638&lt;&gt;"",M1638=""),"FALTA O PEDIDO",
AND(M1638&lt;&gt;"",O1638=""),"FALTA NF",
O1638&lt;&gt;"","CONCLUÍDO")</f>
        <v>CONCLUÍDO</v>
      </c>
      <c r="R1638" s="36"/>
    </row>
    <row r="1639" spans="1:18" hidden="1">
      <c r="A1639" s="16">
        <v>46163</v>
      </c>
      <c r="B1639" s="16">
        <v>46164</v>
      </c>
      <c r="C1639" s="21">
        <v>22080109</v>
      </c>
      <c r="D1639" s="16" t="str">
        <f>IFERROR(VLOOKUP(Tabela5[[#This Row],[PREFIXO ]],Tabela4[#All],2,0),"CENTRO DE CUSTO")</f>
        <v>UTILITARIO FIAT STRADA FREE 1.3 CD M</v>
      </c>
      <c r="E1639" s="18" t="s">
        <v>39</v>
      </c>
      <c r="F1639" s="21">
        <v>22080109</v>
      </c>
      <c r="G1639" s="22">
        <v>0</v>
      </c>
      <c r="H1639" s="22">
        <v>1900</v>
      </c>
      <c r="I1639" s="22">
        <f t="shared" si="26"/>
        <v>1900</v>
      </c>
      <c r="J1639" s="18" t="s">
        <v>1085</v>
      </c>
      <c r="K1639" s="18">
        <v>9869223</v>
      </c>
      <c r="L1639" s="18" t="s">
        <v>3704</v>
      </c>
      <c r="M1639" s="18" t="s">
        <v>3705</v>
      </c>
      <c r="N1639" s="16">
        <v>46167</v>
      </c>
      <c r="O1639" s="18" t="s">
        <v>3706</v>
      </c>
      <c r="P1639" s="18" t="s">
        <v>3707</v>
      </c>
      <c r="Q1639" s="29" t="str" cm="1">
        <f t="array" ref="Q1639">_xlfn.IFS(
A1639="","",
AND(A1639&lt;&gt;"",B1639=""),"FALTA LANÇAMENTO",
AND(B1639&lt;&gt;"",M1639=""),"FALTA O PEDIDO",
AND(M1639&lt;&gt;"",O1639=""),"FALTA NF",
O1639&lt;&gt;"","CONCLUÍDO")</f>
        <v>CONCLUÍDO</v>
      </c>
      <c r="R1639" s="36"/>
    </row>
    <row r="1640" spans="1:18" hidden="1">
      <c r="A1640" s="16">
        <v>46163</v>
      </c>
      <c r="B1640" s="16">
        <v>46167</v>
      </c>
      <c r="C1640" s="21">
        <v>900258</v>
      </c>
      <c r="D1640" s="16" t="str">
        <f>IFERROR(VLOOKUP(Tabela5[[#This Row],[PREFIXO ]],Tabela4[#All],2,0),"CENTRO DE CUSTO")</f>
        <v>PRENSA HIDRAULICA 150 TON</v>
      </c>
      <c r="E1640" s="18" t="s">
        <v>96</v>
      </c>
      <c r="F1640" s="21" t="s">
        <v>3708</v>
      </c>
      <c r="G1640" s="22">
        <v>100</v>
      </c>
      <c r="H1640" s="22">
        <v>1000</v>
      </c>
      <c r="I1640" s="22">
        <f t="shared" si="26"/>
        <v>1100</v>
      </c>
      <c r="J1640" s="18" t="s">
        <v>1080</v>
      </c>
      <c r="K1640" s="18">
        <v>9869850</v>
      </c>
      <c r="L1640" s="18">
        <v>935903</v>
      </c>
      <c r="M1640" s="18" t="s">
        <v>3709</v>
      </c>
      <c r="N1640" s="16" t="s">
        <v>3609</v>
      </c>
      <c r="O1640" s="18" t="s">
        <v>3710</v>
      </c>
      <c r="P1640" s="18" t="s">
        <v>3149</v>
      </c>
      <c r="Q1640" s="29" t="str" cm="1">
        <f t="array" ref="Q1640">_xlfn.IFS(
A1640="","",
AND(A1640&lt;&gt;"",B1640=""),"FALTA LANÇAMENTO",
AND(B1640&lt;&gt;"",M1640=""),"FALTA O PEDIDO",
AND(M1640&lt;&gt;"",O1640=""),"FALTA NF",
O1640&lt;&gt;"","CONCLUÍDO")</f>
        <v>CONCLUÍDO</v>
      </c>
      <c r="R1640" s="36"/>
    </row>
    <row r="1641" spans="1:18" hidden="1">
      <c r="A1641" s="16">
        <v>46163</v>
      </c>
      <c r="B1641" s="16">
        <v>46169</v>
      </c>
      <c r="C1641" s="21">
        <v>1173059</v>
      </c>
      <c r="D1641" s="16" t="str">
        <f>IFERROR(VLOOKUP(Tabela5[[#This Row],[PREFIXO ]],Tabela4[#All],2,0),"CENTRO DE CUSTO")</f>
        <v>TRAT PN MED M FERGUSON MF 297</v>
      </c>
      <c r="E1641" s="18" t="s">
        <v>96</v>
      </c>
      <c r="F1641" s="21" t="s">
        <v>3711</v>
      </c>
      <c r="G1641" s="22">
        <v>270</v>
      </c>
      <c r="H1641" s="22">
        <v>94.11</v>
      </c>
      <c r="I1641" s="22">
        <f t="shared" si="26"/>
        <v>364.11</v>
      </c>
      <c r="J1641" s="18" t="s">
        <v>1199</v>
      </c>
      <c r="K1641" s="18" t="s">
        <v>3712</v>
      </c>
      <c r="L1641" s="18" t="s">
        <v>3713</v>
      </c>
      <c r="M1641" s="18" t="s">
        <v>3618</v>
      </c>
      <c r="N1641" s="16" t="s">
        <v>3714</v>
      </c>
      <c r="O1641" s="18" t="s">
        <v>3619</v>
      </c>
      <c r="P1641" s="18" t="s">
        <v>3620</v>
      </c>
      <c r="Q1641" s="16" t="str" cm="1">
        <f t="array" ref="Q1641">_xlfn.IFS(
A1641="","",
AND(A1641&lt;&gt;"",B1641=""),"FALTA LANÇAMENTO",
AND(B1641&lt;&gt;"",M1641=""),"FALTA O PEDIDO",
AND(M1641&lt;&gt;"",O1641=""),"FALTA NF",
O1641&lt;&gt;"","CONCLUÍDO")</f>
        <v>CONCLUÍDO</v>
      </c>
      <c r="R1641" s="36"/>
    </row>
    <row r="1642" spans="1:18" hidden="1">
      <c r="A1642" s="16">
        <v>46163</v>
      </c>
      <c r="B1642" s="16">
        <v>46169</v>
      </c>
      <c r="C1642" s="21">
        <v>11521004</v>
      </c>
      <c r="D1642" s="16" t="str">
        <f>IFERROR(VLOOKUP(Tabela5[[#This Row],[PREFIXO ]],Tabela4[#All],2,0),"CENTRO DE CUSTO")</f>
        <v>TRAT PN EXT PES CASE STEIGER 620</v>
      </c>
      <c r="E1642" s="18" t="s">
        <v>71</v>
      </c>
      <c r="F1642" s="21">
        <v>7780</v>
      </c>
      <c r="G1642" s="22">
        <v>5500</v>
      </c>
      <c r="H1642" s="22">
        <v>8975.08</v>
      </c>
      <c r="I1642" s="22">
        <f t="shared" si="26"/>
        <v>14475.08</v>
      </c>
      <c r="J1642" s="18" t="s">
        <v>1199</v>
      </c>
      <c r="K1642" s="18" t="s">
        <v>3715</v>
      </c>
      <c r="L1642" s="18" t="s">
        <v>3716</v>
      </c>
      <c r="M1642" s="18" t="s">
        <v>3717</v>
      </c>
      <c r="N1642" s="16" t="s">
        <v>3714</v>
      </c>
      <c r="O1642" s="18" t="s">
        <v>3718</v>
      </c>
      <c r="P1642" s="18" t="s">
        <v>3534</v>
      </c>
      <c r="Q1642" s="16" t="str" cm="1">
        <f t="array" ref="Q1642">_xlfn.IFS(
A1642="","",
AND(A1642&lt;&gt;"",B1642=""),"FALTA LANÇAMENTO",
AND(B1642&lt;&gt;"",M1642=""),"FALTA O PEDIDO",
AND(M1642&lt;&gt;"",O1642=""),"FALTA NF",
O1642&lt;&gt;"","CONCLUÍDO")</f>
        <v>CONCLUÍDO</v>
      </c>
      <c r="R1642" s="36"/>
    </row>
    <row r="1643" spans="1:18" hidden="1">
      <c r="A1643" s="16">
        <v>46163</v>
      </c>
      <c r="B1643" s="16">
        <v>46164</v>
      </c>
      <c r="C1643" s="21">
        <v>15690001</v>
      </c>
      <c r="D1643" s="16" t="str">
        <f>IFERROR(VLOOKUP(Tabela5[[#This Row],[PREFIXO ]],Tabela4[#All],2,0),"CENTRO DE CUSTO")</f>
        <v>COLHE FORRAGEM CASALE CRC-180 AP</v>
      </c>
      <c r="E1643" s="18" t="s">
        <v>218</v>
      </c>
      <c r="F1643" s="21">
        <v>26768</v>
      </c>
      <c r="G1643" s="22">
        <v>962</v>
      </c>
      <c r="H1643" s="22">
        <v>291.81</v>
      </c>
      <c r="I1643" s="22">
        <f t="shared" si="26"/>
        <v>1253.81</v>
      </c>
      <c r="J1643" s="18" t="s">
        <v>1199</v>
      </c>
      <c r="K1643" s="18">
        <v>9869224</v>
      </c>
      <c r="L1643" s="18">
        <v>935667</v>
      </c>
      <c r="M1643" s="18" t="s">
        <v>3719</v>
      </c>
      <c r="N1643" s="16" t="s">
        <v>3280</v>
      </c>
      <c r="O1643" s="18" t="s">
        <v>3720</v>
      </c>
      <c r="P1643" s="18" t="s">
        <v>3721</v>
      </c>
      <c r="Q1643" s="29" t="str" cm="1">
        <f t="array" ref="Q1643">_xlfn.IFS(
A1643="","",
AND(A1643&lt;&gt;"",B1643=""),"FALTA LANÇAMENTO",
AND(B1643&lt;&gt;"",M1643=""),"FALTA O PEDIDO",
AND(M1643&lt;&gt;"",O1643=""),"FALTA NF",
O1643&lt;&gt;"","CONCLUÍDO")</f>
        <v>CONCLUÍDO</v>
      </c>
      <c r="R1643" s="36"/>
    </row>
    <row r="1644" spans="1:18" hidden="1">
      <c r="A1644" s="16">
        <v>46163</v>
      </c>
      <c r="B1644" s="16">
        <v>46204</v>
      </c>
      <c r="C1644" s="21">
        <v>61521043</v>
      </c>
      <c r="D1644" s="16" t="str">
        <f>IFERROR(VLOOKUP(Tabela5[[#This Row],[PREFIXO ]],Tabela4[#All],2,0),"CENTRO DE CUSTO")</f>
        <v>ONIB RODOVIÁRIO MASCARELLO GRAN MIDI</v>
      </c>
      <c r="E1644" s="18" t="s">
        <v>247</v>
      </c>
      <c r="F1644" s="21">
        <v>135950</v>
      </c>
      <c r="G1644" s="22">
        <v>1691</v>
      </c>
      <c r="H1644" s="22">
        <v>2925.01</v>
      </c>
      <c r="I1644" s="22">
        <f t="shared" si="26"/>
        <v>4616.01</v>
      </c>
      <c r="J1644" s="18" t="s">
        <v>1085</v>
      </c>
      <c r="K1644" s="18">
        <v>9869857</v>
      </c>
      <c r="L1644" s="18" t="s">
        <v>3722</v>
      </c>
      <c r="M1644" s="18" t="s">
        <v>3723</v>
      </c>
      <c r="N1644" s="16">
        <v>46205</v>
      </c>
      <c r="O1644" s="18" t="s">
        <v>3724</v>
      </c>
      <c r="P1644" s="18" t="s">
        <v>3725</v>
      </c>
      <c r="Q1644" s="29" t="str" cm="1">
        <f t="array" ref="Q1644">_xlfn.IFS(
A1644="","",
AND(A1644&lt;&gt;"",B1644=""),"FALTA LANÇAMENTO",
AND(B1644&lt;&gt;"",M1644=""),"FALTA O PEDIDO",
AND(M1644&lt;&gt;"",O1644=""),"FALTA NF",
O1644&lt;&gt;"","CONCLUÍDO")</f>
        <v>CONCLUÍDO</v>
      </c>
      <c r="R1644" s="36"/>
    </row>
    <row r="1645" spans="1:18" hidden="1">
      <c r="A1645" s="16">
        <v>46163</v>
      </c>
      <c r="B1645" s="16">
        <v>46164</v>
      </c>
      <c r="C1645" s="21" t="s">
        <v>3726</v>
      </c>
      <c r="D1645" s="16" t="str">
        <f>IFERROR(VLOOKUP(Tabela5[[#This Row],[PREFIXO ]],Tabela4[#All],2,0),"CENTRO DE CUSTO")</f>
        <v>CENTRO DE CUSTO</v>
      </c>
      <c r="E1645" s="18" t="s">
        <v>249</v>
      </c>
      <c r="F1645" s="21">
        <v>242</v>
      </c>
      <c r="G1645" s="22">
        <v>8263</v>
      </c>
      <c r="H1645" s="22"/>
      <c r="I1645" s="22">
        <f t="shared" si="26"/>
        <v>8263</v>
      </c>
      <c r="J1645" s="18" t="s">
        <v>1199</v>
      </c>
      <c r="K1645" s="18"/>
      <c r="L1645" s="18" t="s">
        <v>3727</v>
      </c>
      <c r="M1645" s="18" t="s">
        <v>3728</v>
      </c>
      <c r="N1645" s="16">
        <v>46167</v>
      </c>
      <c r="O1645" s="18" t="s">
        <v>3050</v>
      </c>
      <c r="P1645" s="18" t="s">
        <v>3707</v>
      </c>
      <c r="Q1645" s="29" t="str" cm="1">
        <f t="array" ref="Q1645">_xlfn.IFS(
A1645="","",
AND(A1645&lt;&gt;"",B1645=""),"FALTA LANÇAMENTO",
AND(B1645&lt;&gt;"",M1645=""),"FALTA O PEDIDO",
AND(M1645&lt;&gt;"",O1645=""),"FALTA NF",
O1645&lt;&gt;"","CONCLUÍDO")</f>
        <v>CONCLUÍDO</v>
      </c>
      <c r="R1645" s="36"/>
    </row>
    <row r="1646" spans="1:18" hidden="1">
      <c r="A1646" s="16">
        <v>46163</v>
      </c>
      <c r="B1646" s="16">
        <v>46167</v>
      </c>
      <c r="C1646" s="21">
        <v>11521030</v>
      </c>
      <c r="D1646" s="16" t="str">
        <f>IFERROR(VLOOKUP(Tabela5[[#This Row],[PREFIXO ]],Tabela4[#All],2,0),"CENTRO DE CUSTO")</f>
        <v>TRAT PN EXT PES FENDT 1046 VARIO</v>
      </c>
      <c r="E1646" s="18" t="s">
        <v>259</v>
      </c>
      <c r="F1646" s="21" t="s">
        <v>3729</v>
      </c>
      <c r="G1646" s="22">
        <v>50.01</v>
      </c>
      <c r="H1646" s="22">
        <v>9082.26</v>
      </c>
      <c r="I1646" s="22">
        <f t="shared" si="26"/>
        <v>9132.27</v>
      </c>
      <c r="J1646" s="18" t="s">
        <v>1199</v>
      </c>
      <c r="K1646" s="18">
        <v>9869079</v>
      </c>
      <c r="L1646" s="18">
        <v>934398</v>
      </c>
      <c r="M1646" s="18" t="s">
        <v>3730</v>
      </c>
      <c r="N1646" s="16" t="s">
        <v>3603</v>
      </c>
      <c r="O1646" s="18" t="s">
        <v>3731</v>
      </c>
      <c r="P1646" s="18" t="s">
        <v>3732</v>
      </c>
      <c r="Q1646" s="29" t="str" cm="1">
        <f t="array" ref="Q1646">_xlfn.IFS(
A1646="","",
AND(A1646&lt;&gt;"",B1646=""),"FALTA LANÇAMENTO",
AND(B1646&lt;&gt;"",M1646=""),"FALTA O PEDIDO",
AND(M1646&lt;&gt;"",O1646=""),"FALTA NF",
O1646&lt;&gt;"","CONCLUÍDO")</f>
        <v>CONCLUÍDO</v>
      </c>
      <c r="R1646" s="36"/>
    </row>
    <row r="1647" spans="1:18" hidden="1">
      <c r="A1647" s="16">
        <v>46163</v>
      </c>
      <c r="B1647" s="16">
        <v>46167</v>
      </c>
      <c r="C1647" s="21">
        <v>15048016</v>
      </c>
      <c r="D1647" s="16" t="str">
        <f>IFERROR(VLOOKUP(Tabela5[[#This Row],[PREFIXO ]],Tabela4[#All],2,0),"CENTRO DE CUSTO")</f>
        <v>TRAT PN EXT PES FENDT VARIO 1050</v>
      </c>
      <c r="E1647" s="18" t="s">
        <v>259</v>
      </c>
      <c r="F1647" s="21" t="s">
        <v>3733</v>
      </c>
      <c r="G1647" s="22">
        <v>49.99</v>
      </c>
      <c r="H1647" s="22">
        <v>4852.4399999999996</v>
      </c>
      <c r="I1647" s="22">
        <f t="shared" si="26"/>
        <v>4902.4299999999994</v>
      </c>
      <c r="J1647" s="18" t="s">
        <v>1199</v>
      </c>
      <c r="K1647" s="18">
        <v>9869160</v>
      </c>
      <c r="L1647" s="18">
        <v>935623</v>
      </c>
      <c r="M1647" s="18" t="s">
        <v>3734</v>
      </c>
      <c r="N1647" s="16" t="s">
        <v>3603</v>
      </c>
      <c r="O1647" s="18" t="s">
        <v>3735</v>
      </c>
      <c r="P1647" s="18" t="s">
        <v>3736</v>
      </c>
      <c r="Q1647" s="29" t="str" cm="1">
        <f t="array" ref="Q1647">_xlfn.IFS(
A1647="","",
AND(A1647&lt;&gt;"",B1647=""),"FALTA LANÇAMENTO",
AND(B1647&lt;&gt;"",M1647=""),"FALTA O PEDIDO",
AND(M1647&lt;&gt;"",O1647=""),"FALTA NF",
O1647&lt;&gt;"","CONCLUÍDO")</f>
        <v>CONCLUÍDO</v>
      </c>
      <c r="R1647" s="36"/>
    </row>
    <row r="1648" spans="1:18" hidden="1">
      <c r="A1648" s="16">
        <v>46163</v>
      </c>
      <c r="B1648" s="16">
        <v>46167</v>
      </c>
      <c r="C1648" s="21">
        <v>11521031</v>
      </c>
      <c r="D1648" s="16" t="str">
        <f>IFERROR(VLOOKUP(Tabela5[[#This Row],[PREFIXO ]],Tabela4[#All],2,0),"CENTRO DE CUSTO")</f>
        <v>TRAT PN EXT PES FENDT 1046 VARIO</v>
      </c>
      <c r="E1648" s="18" t="s">
        <v>259</v>
      </c>
      <c r="F1648" s="21" t="s">
        <v>3737</v>
      </c>
      <c r="G1648" s="22">
        <v>50.43</v>
      </c>
      <c r="H1648" s="22">
        <v>3663.26</v>
      </c>
      <c r="I1648" s="22">
        <f t="shared" si="26"/>
        <v>3713.69</v>
      </c>
      <c r="J1648" s="18" t="s">
        <v>1199</v>
      </c>
      <c r="K1648" s="18">
        <v>9869078</v>
      </c>
      <c r="L1648" s="18">
        <v>935599</v>
      </c>
      <c r="M1648" s="18" t="s">
        <v>3738</v>
      </c>
      <c r="N1648" s="16" t="s">
        <v>3603</v>
      </c>
      <c r="O1648" s="18" t="s">
        <v>3739</v>
      </c>
      <c r="P1648" s="18" t="s">
        <v>3740</v>
      </c>
      <c r="Q1648" s="29" t="str" cm="1">
        <f t="array" ref="Q1648">_xlfn.IFS(
A1648="","",
AND(A1648&lt;&gt;"",B1648=""),"FALTA LANÇAMENTO",
AND(B1648&lt;&gt;"",M1648=""),"FALTA O PEDIDO",
AND(M1648&lt;&gt;"",O1648=""),"FALTA NF",
O1648&lt;&gt;"","CONCLUÍDO")</f>
        <v>CONCLUÍDO</v>
      </c>
      <c r="R1648" s="36"/>
    </row>
    <row r="1649" spans="1:18" hidden="1">
      <c r="A1649" s="16">
        <v>46163</v>
      </c>
      <c r="B1649" s="16">
        <v>46189</v>
      </c>
      <c r="C1649" s="21">
        <v>13150004</v>
      </c>
      <c r="D1649" s="16" t="str">
        <f>IFERROR(VLOOKUP(Tabela5[[#This Row],[PREFIXO ]],Tabela4[#All],2,0),"CENTRO DE CUSTO")</f>
        <v>ADUB AUTOPROP JACTO UNIPORT 8030NPK</v>
      </c>
      <c r="E1649" s="18" t="s">
        <v>66</v>
      </c>
      <c r="F1649" s="21" t="s">
        <v>3741</v>
      </c>
      <c r="G1649" s="22">
        <v>4000</v>
      </c>
      <c r="H1649" s="22">
        <v>41663.65</v>
      </c>
      <c r="I1649" s="22">
        <f t="shared" si="26"/>
        <v>45663.65</v>
      </c>
      <c r="J1649" s="18" t="s">
        <v>1080</v>
      </c>
      <c r="K1649" s="18" t="s">
        <v>3742</v>
      </c>
      <c r="L1649" s="18" t="s">
        <v>3743</v>
      </c>
      <c r="M1649" s="18" t="s">
        <v>3744</v>
      </c>
      <c r="N1649" s="16">
        <v>46197</v>
      </c>
      <c r="O1649" s="18"/>
      <c r="P1649" s="18"/>
      <c r="Q1649" s="16" t="str" cm="1">
        <f t="array" ref="Q1649">_xlfn.IFS(
A1649="","",
AND(A1649&lt;&gt;"",B1649=""),"FALTA LANÇAMENTO",
AND(B1649&lt;&gt;"",M1649=""),"FALTA O PEDIDO",
AND(M1649&lt;&gt;"",O1649=""),"FALTA NF",
O1649&lt;&gt;"","CONCLUÍDO")</f>
        <v>FALTA NF</v>
      </c>
      <c r="R1649" s="36"/>
    </row>
    <row r="1650" spans="1:18" hidden="1">
      <c r="A1650" s="16">
        <v>46164</v>
      </c>
      <c r="B1650" s="16">
        <v>46170</v>
      </c>
      <c r="C1650" s="21">
        <v>35005014</v>
      </c>
      <c r="D1650" s="16" t="str">
        <f>IFERROR(VLOOKUP(Tabela5[[#This Row],[PREFIXO ]],Tabela4[#All],2,0),"CENTRO DE CUSTO")</f>
        <v>PULV AUTOPROP JACTO UNIPORT 3030</v>
      </c>
      <c r="E1650" s="18" t="s">
        <v>9</v>
      </c>
      <c r="F1650" s="21">
        <v>2619</v>
      </c>
      <c r="G1650" s="22">
        <v>3960</v>
      </c>
      <c r="H1650" s="22">
        <v>11249.79</v>
      </c>
      <c r="I1650" s="22">
        <f t="shared" si="26"/>
        <v>15209.79</v>
      </c>
      <c r="J1650" s="18" t="s">
        <v>1080</v>
      </c>
      <c r="K1650" s="18" t="s">
        <v>3745</v>
      </c>
      <c r="L1650" s="18" t="s">
        <v>3746</v>
      </c>
      <c r="M1650" s="18" t="s">
        <v>3747</v>
      </c>
      <c r="N1650" s="16">
        <v>46170</v>
      </c>
      <c r="O1650" s="18" t="s">
        <v>3748</v>
      </c>
      <c r="P1650" s="18" t="s">
        <v>3749</v>
      </c>
      <c r="Q1650" s="16" t="str" cm="1">
        <f t="array" ref="Q1650">_xlfn.IFS(
A1650="","",
AND(A1650&lt;&gt;"",B1650=""),"FALTA LANÇAMENTO",
AND(B1650&lt;&gt;"",M1650=""),"FALTA O PEDIDO",
AND(M1650&lt;&gt;"",O1650=""),"FALTA NF",
O1650&lt;&gt;"","CONCLUÍDO")</f>
        <v>CONCLUÍDO</v>
      </c>
      <c r="R1650" s="36"/>
    </row>
    <row r="1651" spans="1:18" hidden="1">
      <c r="A1651" s="16">
        <v>46164</v>
      </c>
      <c r="B1651" s="16">
        <v>46169</v>
      </c>
      <c r="C1651" s="21">
        <v>51521058</v>
      </c>
      <c r="D1651" s="16" t="str">
        <f>IFERROR(VLOOKUP(Tabela5[[#This Row],[PREFIXO ]],Tabela4[#All],2,0),"CENTRO DE CUSTO")</f>
        <v>COLHED ALGODÃO JOHN DEERE CP 690</v>
      </c>
      <c r="E1651" s="18" t="s">
        <v>178</v>
      </c>
      <c r="F1651" s="21">
        <v>20991</v>
      </c>
      <c r="G1651" s="22">
        <v>712</v>
      </c>
      <c r="H1651" s="22">
        <v>2303</v>
      </c>
      <c r="I1651" s="22">
        <f t="shared" si="26"/>
        <v>3015</v>
      </c>
      <c r="J1651" s="18" t="s">
        <v>2901</v>
      </c>
      <c r="K1651" s="18" t="s">
        <v>3750</v>
      </c>
      <c r="L1651" s="18" t="s">
        <v>3751</v>
      </c>
      <c r="M1651" s="18" t="s">
        <v>3752</v>
      </c>
      <c r="N1651" s="16" t="s">
        <v>3714</v>
      </c>
      <c r="O1651" s="18" t="s">
        <v>3753</v>
      </c>
      <c r="P1651" s="18" t="s">
        <v>3449</v>
      </c>
      <c r="Q1651" s="29" t="str" cm="1">
        <f t="array" ref="Q1651">_xlfn.IFS(
A1651="","",
AND(A1651&lt;&gt;"",B1651=""),"FALTA LANÇAMENTO",
AND(B1651&lt;&gt;"",M1651=""),"FALTA O PEDIDO",
AND(M1651&lt;&gt;"",O1651=""),"FALTA NF",
O1651&lt;&gt;"","CONCLUÍDO")</f>
        <v>CONCLUÍDO</v>
      </c>
      <c r="R1651" s="36"/>
    </row>
    <row r="1652" spans="1:18" hidden="1">
      <c r="A1652" s="16">
        <v>46167</v>
      </c>
      <c r="B1652" s="16">
        <v>46212</v>
      </c>
      <c r="C1652" s="21">
        <v>1173012</v>
      </c>
      <c r="D1652" s="16" t="str">
        <f>IFERROR(VLOOKUP(Tabela5[[#This Row],[PREFIXO ]],Tabela4[#All],2,0),"CENTRO DE CUSTO")</f>
        <v>TRAT PN MED N.HOLLAND 7630</v>
      </c>
      <c r="E1652" s="18" t="s">
        <v>96</v>
      </c>
      <c r="F1652" s="21" t="s">
        <v>3754</v>
      </c>
      <c r="G1652" s="22">
        <v>441</v>
      </c>
      <c r="H1652" s="22">
        <v>857.29</v>
      </c>
      <c r="I1652" s="22">
        <f t="shared" si="26"/>
        <v>1298.29</v>
      </c>
      <c r="J1652" s="18" t="s">
        <v>1199</v>
      </c>
      <c r="K1652" s="18">
        <v>9871664</v>
      </c>
      <c r="L1652" s="18" t="s">
        <v>3755</v>
      </c>
      <c r="M1652" s="18" t="s">
        <v>3756</v>
      </c>
      <c r="N1652" s="16">
        <v>46213</v>
      </c>
      <c r="O1652" s="18"/>
      <c r="P1652" s="18"/>
      <c r="Q1652" s="29" t="str" cm="1">
        <f t="array" ref="Q1652">_xlfn.IFS(
A1652="","",
AND(A1652&lt;&gt;"",B1652=""),"FALTA LANÇAMENTO",
AND(B1652&lt;&gt;"",M1652=""),"FALTA O PEDIDO",
AND(M1652&lt;&gt;"",O1652=""),"FALTA NF",
O1652&lt;&gt;"","CONCLUÍDO")</f>
        <v>FALTA NF</v>
      </c>
      <c r="R1652" s="36"/>
    </row>
    <row r="1653" spans="1:18" hidden="1">
      <c r="A1653" s="16">
        <v>46167</v>
      </c>
      <c r="B1653" s="16">
        <v>46171</v>
      </c>
      <c r="C1653" s="21" t="s">
        <v>3757</v>
      </c>
      <c r="D1653" s="16" t="str">
        <f>IFERROR(VLOOKUP(Tabela5[[#This Row],[PREFIXO ]],Tabela4[#All],2,0),"CENTRO DE CUSTO")</f>
        <v>CENTRO DE CUSTO</v>
      </c>
      <c r="E1653" s="18" t="s">
        <v>249</v>
      </c>
      <c r="F1653" s="21">
        <v>241</v>
      </c>
      <c r="G1653" s="22">
        <v>43050</v>
      </c>
      <c r="H1653" s="22"/>
      <c r="I1653" s="22">
        <f t="shared" si="26"/>
        <v>43050</v>
      </c>
      <c r="J1653" s="18" t="s">
        <v>1199</v>
      </c>
      <c r="K1653" s="18" t="s">
        <v>3758</v>
      </c>
      <c r="L1653" s="18" t="s">
        <v>3759</v>
      </c>
      <c r="M1653" s="18" t="s">
        <v>3760</v>
      </c>
      <c r="N1653" s="16">
        <v>46177</v>
      </c>
      <c r="O1653" s="18" t="s">
        <v>2053</v>
      </c>
      <c r="P1653" s="18" t="s">
        <v>3557</v>
      </c>
      <c r="Q1653" s="16" t="str" cm="1">
        <f t="array" ref="Q1653">_xlfn.IFS(
A1653="","",
AND(A1653&lt;&gt;"",B1653=""),"FALTA LANÇAMENTO",
AND(B1653&lt;&gt;"",M1653=""),"FALTA O PEDIDO",
AND(M1653&lt;&gt;"",O1653=""),"FALTA NF",
O1653&lt;&gt;"","CONCLUÍDO")</f>
        <v>CONCLUÍDO</v>
      </c>
      <c r="R1653" s="36"/>
    </row>
    <row r="1654" spans="1:18" hidden="1">
      <c r="A1654" s="16">
        <v>46168</v>
      </c>
      <c r="B1654" s="16">
        <v>46175</v>
      </c>
      <c r="C1654" s="21">
        <v>18010002</v>
      </c>
      <c r="D1654" s="16" t="str">
        <f>IFERROR(VLOOKUP(Tabela5[[#This Row],[PREFIXO ]],Tabela4[#All],2,0),"CENTRO DE CUSTO")</f>
        <v>AVIAO APLIC AGR AIR TRACT AT-802A</v>
      </c>
      <c r="E1654" s="18" t="s">
        <v>13</v>
      </c>
      <c r="F1654" s="21">
        <v>34</v>
      </c>
      <c r="G1654" s="22">
        <v>21200</v>
      </c>
      <c r="H1654" s="22"/>
      <c r="I1654" s="22">
        <f t="shared" si="26"/>
        <v>21200</v>
      </c>
      <c r="J1654" s="18" t="s">
        <v>1199</v>
      </c>
      <c r="K1654" s="18">
        <v>9873894</v>
      </c>
      <c r="L1654" s="18" t="s">
        <v>3761</v>
      </c>
      <c r="M1654" s="18" t="s">
        <v>3762</v>
      </c>
      <c r="N1654" s="16">
        <v>46176</v>
      </c>
      <c r="O1654" s="18" t="s">
        <v>3763</v>
      </c>
      <c r="P1654" s="18" t="s">
        <v>3764</v>
      </c>
      <c r="Q1654" s="29" t="str" cm="1">
        <f t="array" ref="Q1654">_xlfn.IFS(
A1654="","",
AND(A1654&lt;&gt;"",B1654=""),"FALTA LANÇAMENTO",
AND(B1654&lt;&gt;"",M1654=""),"FALTA O PEDIDO",
AND(M1654&lt;&gt;"",O1654=""),"FALTA NF",
O1654&lt;&gt;"","CONCLUÍDO")</f>
        <v>CONCLUÍDO</v>
      </c>
      <c r="R1654" s="36"/>
    </row>
    <row r="1655" spans="1:18" hidden="1">
      <c r="A1655" s="16">
        <v>46168</v>
      </c>
      <c r="B1655" s="16">
        <v>46175</v>
      </c>
      <c r="C1655" s="21">
        <v>18010002</v>
      </c>
      <c r="D1655" s="16" t="str">
        <f>IFERROR(VLOOKUP(Tabela5[[#This Row],[PREFIXO ]],Tabela4[#All],2,0),"CENTRO DE CUSTO")</f>
        <v>AVIAO APLIC AGR AIR TRACT AT-802A</v>
      </c>
      <c r="E1655" s="18" t="s">
        <v>13</v>
      </c>
      <c r="F1655" s="21">
        <v>41</v>
      </c>
      <c r="G1655" s="22">
        <v>18200</v>
      </c>
      <c r="H1655" s="22"/>
      <c r="I1655" s="22">
        <f t="shared" si="26"/>
        <v>18200</v>
      </c>
      <c r="J1655" s="18" t="s">
        <v>1199</v>
      </c>
      <c r="K1655" s="18">
        <v>9873897</v>
      </c>
      <c r="L1655" s="18" t="s">
        <v>3761</v>
      </c>
      <c r="M1655" s="18" t="s">
        <v>3762</v>
      </c>
      <c r="N1655" s="16">
        <v>46176</v>
      </c>
      <c r="O1655" s="18" t="s">
        <v>3763</v>
      </c>
      <c r="P1655" s="18" t="s">
        <v>3764</v>
      </c>
      <c r="Q1655" s="29" t="str" cm="1">
        <f t="array" ref="Q1655">_xlfn.IFS(
A1655="","",
AND(A1655&lt;&gt;"",B1655=""),"FALTA LANÇAMENTO",
AND(B1655&lt;&gt;"",M1655=""),"FALTA O PEDIDO",
AND(M1655&lt;&gt;"",O1655=""),"FALTA NF",
O1655&lt;&gt;"","CONCLUÍDO")</f>
        <v>CONCLUÍDO</v>
      </c>
      <c r="R1655" s="36"/>
    </row>
    <row r="1656" spans="1:18" hidden="1">
      <c r="A1656" s="16">
        <v>46169</v>
      </c>
      <c r="B1656" s="16">
        <v>46175</v>
      </c>
      <c r="C1656" s="21">
        <v>43150004</v>
      </c>
      <c r="D1656" s="16" t="str">
        <f>IFERROR(VLOOKUP(Tabela5[[#This Row],[PREFIXO ]],Tabela4[#All],2,0),"CENTRO DE CUSTO")</f>
        <v>ADUB AUTOPROP JOHN DEERE 400R DN</v>
      </c>
      <c r="E1656" s="18" t="s">
        <v>17</v>
      </c>
      <c r="F1656" s="21">
        <v>44395</v>
      </c>
      <c r="G1656" s="22">
        <v>906.11</v>
      </c>
      <c r="H1656" s="22">
        <v>51.09</v>
      </c>
      <c r="I1656" s="22">
        <f t="shared" si="26"/>
        <v>957.2</v>
      </c>
      <c r="J1656" s="18" t="s">
        <v>1080</v>
      </c>
      <c r="K1656" s="18" t="s">
        <v>3765</v>
      </c>
      <c r="L1656" s="18" t="s">
        <v>3766</v>
      </c>
      <c r="M1656" s="18" t="s">
        <v>3767</v>
      </c>
      <c r="N1656" s="16" t="s">
        <v>3440</v>
      </c>
      <c r="O1656" s="18" t="s">
        <v>3768</v>
      </c>
      <c r="P1656" s="18" t="s">
        <v>3629</v>
      </c>
      <c r="Q1656" s="29" t="str" cm="1">
        <f t="array" ref="Q1656">_xlfn.IFS(
A1656="","",
AND(A1656&lt;&gt;"",B1656=""),"FALTA LANÇAMENTO",
AND(B1656&lt;&gt;"",M1656=""),"FALTA O PEDIDO",
AND(M1656&lt;&gt;"",O1656=""),"FALTA NF",
O1656&lt;&gt;"","CONCLUÍDO")</f>
        <v>CONCLUÍDO</v>
      </c>
      <c r="R1656" s="36"/>
    </row>
    <row r="1657" spans="1:18" hidden="1">
      <c r="A1657" s="16">
        <v>46169</v>
      </c>
      <c r="B1657" s="16">
        <v>46181</v>
      </c>
      <c r="C1657" s="21">
        <v>61521002</v>
      </c>
      <c r="D1657" s="16" t="str">
        <f>IFERROR(VLOOKUP(Tabela5[[#This Row],[PREFIXO ]],Tabela4[#All],2,0),"CENTRO DE CUSTO")</f>
        <v>ONIB COLETIVO VW 17230 CAIO APACH</v>
      </c>
      <c r="E1657" s="18" t="s">
        <v>29</v>
      </c>
      <c r="F1657" s="21">
        <v>55549</v>
      </c>
      <c r="G1657" s="22">
        <v>7494</v>
      </c>
      <c r="H1657" s="22">
        <v>12889.11</v>
      </c>
      <c r="I1657" s="22">
        <f t="shared" si="26"/>
        <v>20383.11</v>
      </c>
      <c r="J1657" s="18" t="s">
        <v>1085</v>
      </c>
      <c r="K1657" s="18" t="s">
        <v>3769</v>
      </c>
      <c r="L1657" s="18" t="s">
        <v>3770</v>
      </c>
      <c r="M1657" s="18">
        <v>41884256</v>
      </c>
      <c r="N1657" s="16">
        <v>46182</v>
      </c>
      <c r="O1657" s="18" t="s">
        <v>3771</v>
      </c>
      <c r="P1657" s="18" t="s">
        <v>3680</v>
      </c>
      <c r="Q1657" s="29" t="str" cm="1">
        <f t="array" ref="Q1657">_xlfn.IFS(
A1657="","",
AND(A1657&lt;&gt;"",B1657=""),"FALTA LANÇAMENTO",
AND(B1657&lt;&gt;"",M1657=""),"FALTA O PEDIDO",
AND(M1657&lt;&gt;"",O1657=""),"FALTA NF",
O1657&lt;&gt;"","CONCLUÍDO")</f>
        <v>CONCLUÍDO</v>
      </c>
      <c r="R1657" s="36"/>
    </row>
    <row r="1658" spans="1:18" hidden="1">
      <c r="A1658" s="16">
        <v>46169</v>
      </c>
      <c r="B1658" s="16">
        <v>46170</v>
      </c>
      <c r="C1658" s="21">
        <v>5173120</v>
      </c>
      <c r="D1658" s="16" t="str">
        <f>IFERROR(VLOOKUP(Tabela5[[#This Row],[PREFIXO ]],Tabela4[#All],2,0),"CENTRO DE CUSTO")</f>
        <v>COLHED ALGODÃO JOHN DEERE 7760</v>
      </c>
      <c r="E1658" s="18" t="s">
        <v>49</v>
      </c>
      <c r="F1658" s="21" t="s">
        <v>2038</v>
      </c>
      <c r="G1658" s="22">
        <v>4697</v>
      </c>
      <c r="H1658" s="22"/>
      <c r="I1658" s="22">
        <f t="shared" si="26"/>
        <v>4697</v>
      </c>
      <c r="J1658" s="18" t="s">
        <v>1123</v>
      </c>
      <c r="K1658" s="18" t="s">
        <v>3772</v>
      </c>
      <c r="L1658" s="18" t="s">
        <v>3773</v>
      </c>
      <c r="M1658" s="18" t="s">
        <v>3774</v>
      </c>
      <c r="N1658" s="16" t="s">
        <v>3447</v>
      </c>
      <c r="O1658" s="18" t="s">
        <v>3775</v>
      </c>
      <c r="P1658" s="18" t="s">
        <v>3429</v>
      </c>
      <c r="Q1658" s="29" t="str" cm="1">
        <f t="array" ref="Q1658">_xlfn.IFS(
A1658="","",
AND(A1658&lt;&gt;"",B1658=""),"FALTA LANÇAMENTO",
AND(B1658&lt;&gt;"",M1658=""),"FALTA O PEDIDO",
AND(M1658&lt;&gt;"",O1658=""),"FALTA NF",
O1658&lt;&gt;"","CONCLUÍDO")</f>
        <v>CONCLUÍDO</v>
      </c>
      <c r="R1658" s="36"/>
    </row>
    <row r="1659" spans="1:18" hidden="1">
      <c r="A1659" s="16">
        <v>46169</v>
      </c>
      <c r="B1659" s="16">
        <v>46170</v>
      </c>
      <c r="C1659" s="21">
        <v>51521054</v>
      </c>
      <c r="D1659" s="16" t="str">
        <f>IFERROR(VLOOKUP(Tabela5[[#This Row],[PREFIXO ]],Tabela4[#All],2,0),"CENTRO DE CUSTO")</f>
        <v>COLHED ALGODÃO JOHN DEERE CP 690</v>
      </c>
      <c r="E1659" s="18" t="s">
        <v>49</v>
      </c>
      <c r="F1659" s="21" t="s">
        <v>3171</v>
      </c>
      <c r="G1659" s="22">
        <v>8119</v>
      </c>
      <c r="H1659" s="22"/>
      <c r="I1659" s="22">
        <v>3616</v>
      </c>
      <c r="J1659" s="18" t="s">
        <v>1123</v>
      </c>
      <c r="K1659" s="18" t="s">
        <v>3776</v>
      </c>
      <c r="L1659" s="18" t="s">
        <v>3773</v>
      </c>
      <c r="M1659" s="18" t="s">
        <v>3774</v>
      </c>
      <c r="N1659" s="16" t="s">
        <v>3447</v>
      </c>
      <c r="O1659" s="18" t="s">
        <v>3775</v>
      </c>
      <c r="P1659" s="18" t="s">
        <v>3429</v>
      </c>
      <c r="Q1659" s="29" t="str" cm="1">
        <f t="array" ref="Q1659">_xlfn.IFS(
A1659="","",
AND(A1659&lt;&gt;"",B1659=""),"FALTA LANÇAMENTO",
AND(B1659&lt;&gt;"",M1659=""),"FALTA O PEDIDO",
AND(M1659&lt;&gt;"",O1659=""),"FALTA NF",
O1659&lt;&gt;"","CONCLUÍDO")</f>
        <v>CONCLUÍDO</v>
      </c>
      <c r="R1659" s="36"/>
    </row>
    <row r="1660" spans="1:18" hidden="1">
      <c r="A1660" s="16">
        <v>46169</v>
      </c>
      <c r="B1660" s="16">
        <v>46170</v>
      </c>
      <c r="C1660" s="21">
        <v>51521055</v>
      </c>
      <c r="D1660" s="16" t="str">
        <f>IFERROR(VLOOKUP(Tabela5[[#This Row],[PREFIXO ]],Tabela4[#All],2,0),"CENTRO DE CUSTO")</f>
        <v>COLHED ALGODÃO JOHN DEERE CP 690</v>
      </c>
      <c r="E1660" s="18" t="s">
        <v>49</v>
      </c>
      <c r="F1660" s="21" t="s">
        <v>3024</v>
      </c>
      <c r="G1660" s="22">
        <v>3508</v>
      </c>
      <c r="H1660" s="22"/>
      <c r="I1660" s="22">
        <f t="shared" ref="I1660:I1723" si="27">G1660+H1660</f>
        <v>3508</v>
      </c>
      <c r="J1660" s="18" t="s">
        <v>1123</v>
      </c>
      <c r="K1660" s="18" t="s">
        <v>3777</v>
      </c>
      <c r="L1660" s="18" t="s">
        <v>3773</v>
      </c>
      <c r="M1660" s="18" t="s">
        <v>3774</v>
      </c>
      <c r="N1660" s="16" t="s">
        <v>3447</v>
      </c>
      <c r="O1660" s="18" t="s">
        <v>3775</v>
      </c>
      <c r="P1660" s="18" t="s">
        <v>3429</v>
      </c>
      <c r="Q1660" s="29" t="str" cm="1">
        <f t="array" ref="Q1660">_xlfn.IFS(
A1660="","",
AND(A1660&lt;&gt;"",B1660=""),"FALTA LANÇAMENTO",
AND(B1660&lt;&gt;"",M1660=""),"FALTA O PEDIDO",
AND(M1660&lt;&gt;"",O1660=""),"FALTA NF",
O1660&lt;&gt;"","CONCLUÍDO")</f>
        <v>CONCLUÍDO</v>
      </c>
      <c r="R1660" s="36"/>
    </row>
    <row r="1661" spans="1:18" hidden="1">
      <c r="A1661" s="16">
        <v>46169</v>
      </c>
      <c r="B1661" s="16">
        <v>46170</v>
      </c>
      <c r="C1661" s="21">
        <v>51521028</v>
      </c>
      <c r="D1661" s="16" t="str">
        <f>IFERROR(VLOOKUP(Tabela5[[#This Row],[PREFIXO ]],Tabela4[#All],2,0),"CENTRO DE CUSTO")</f>
        <v>COLHEIT DE GRÃOS JOHN DEERE S 680</v>
      </c>
      <c r="E1661" s="18" t="s">
        <v>49</v>
      </c>
      <c r="F1661" s="21" t="s">
        <v>2895</v>
      </c>
      <c r="G1661" s="22">
        <v>2050</v>
      </c>
      <c r="H1661" s="22"/>
      <c r="I1661" s="22">
        <f t="shared" si="27"/>
        <v>2050</v>
      </c>
      <c r="J1661" s="18" t="s">
        <v>1123</v>
      </c>
      <c r="K1661" s="18" t="s">
        <v>3778</v>
      </c>
      <c r="L1661" s="18" t="s">
        <v>3773</v>
      </c>
      <c r="M1661" s="18" t="s">
        <v>3774</v>
      </c>
      <c r="N1661" s="16" t="s">
        <v>3447</v>
      </c>
      <c r="O1661" s="18" t="s">
        <v>3775</v>
      </c>
      <c r="P1661" s="18" t="s">
        <v>3429</v>
      </c>
      <c r="Q1661" s="29" t="str" cm="1">
        <f t="array" ref="Q1661">_xlfn.IFS(
A1661="","",
AND(A1661&lt;&gt;"",B1661=""),"FALTA LANÇAMENTO",
AND(B1661&lt;&gt;"",M1661=""),"FALTA O PEDIDO",
AND(M1661&lt;&gt;"",O1661=""),"FALTA NF",
O1661&lt;&gt;"","CONCLUÍDO")</f>
        <v>CONCLUÍDO</v>
      </c>
      <c r="R1661" s="36"/>
    </row>
    <row r="1662" spans="1:18" hidden="1">
      <c r="A1662" s="16">
        <v>46169</v>
      </c>
      <c r="B1662" s="16">
        <v>46175</v>
      </c>
      <c r="C1662" s="21">
        <v>71521002</v>
      </c>
      <c r="D1662" s="16" t="str">
        <f>IFERROR(VLOOKUP(Tabela5[[#This Row],[PREFIXO ]],Tabela4[#All],2,0),"CENTRO DE CUSTO")</f>
        <v>CORTADOR DE GRAMA GIRO ZERO MZ54</v>
      </c>
      <c r="E1662" s="18" t="s">
        <v>62</v>
      </c>
      <c r="F1662" s="21">
        <v>1360</v>
      </c>
      <c r="G1662" s="22">
        <v>4500</v>
      </c>
      <c r="H1662" s="22"/>
      <c r="I1662" s="22">
        <f t="shared" si="27"/>
        <v>4500</v>
      </c>
      <c r="J1662" s="18" t="s">
        <v>1085</v>
      </c>
      <c r="K1662" s="18" t="s">
        <v>3779</v>
      </c>
      <c r="L1662" s="18" t="s">
        <v>3780</v>
      </c>
      <c r="M1662" s="18">
        <v>41882028</v>
      </c>
      <c r="N1662" s="16">
        <v>46178</v>
      </c>
      <c r="O1662" s="18" t="s">
        <v>2077</v>
      </c>
      <c r="P1662" s="18" t="s">
        <v>3629</v>
      </c>
      <c r="Q1662" s="29" t="str" cm="1">
        <f t="array" ref="Q1662">_xlfn.IFS(
A1662="","",
AND(A1662&lt;&gt;"",B1662=""),"FALTA LANÇAMENTO",
AND(B1662&lt;&gt;"",M1662=""),"FALTA O PEDIDO",
AND(M1662&lt;&gt;"",O1662=""),"FALTA NF",
O1662&lt;&gt;"","CONCLUÍDO")</f>
        <v>CONCLUÍDO</v>
      </c>
      <c r="R1662" s="36"/>
    </row>
    <row r="1663" spans="1:18" hidden="1">
      <c r="A1663" s="16">
        <v>46169</v>
      </c>
      <c r="B1663" s="16">
        <v>46171</v>
      </c>
      <c r="C1663" s="21">
        <v>15430003</v>
      </c>
      <c r="D1663" s="16" t="str">
        <f>IFERROR(VLOOKUP(Tabela5[[#This Row],[PREFIXO ]],Tabela4[#All],2,0),"CENTRO DE CUSTO")</f>
        <v>ATOMIZADOR TEC SPRAY ATOMAX</v>
      </c>
      <c r="E1663" s="18" t="s">
        <v>67</v>
      </c>
      <c r="F1663" s="21">
        <v>174</v>
      </c>
      <c r="G1663" s="22">
        <v>3224.4</v>
      </c>
      <c r="H1663" s="22">
        <v>3600</v>
      </c>
      <c r="I1663" s="22">
        <f t="shared" si="27"/>
        <v>6824.4</v>
      </c>
      <c r="J1663" s="18" t="s">
        <v>1199</v>
      </c>
      <c r="K1663" s="18" t="s">
        <v>3781</v>
      </c>
      <c r="L1663" s="18" t="s">
        <v>3782</v>
      </c>
      <c r="M1663" s="18" t="s">
        <v>3783</v>
      </c>
      <c r="N1663" s="16">
        <v>46171</v>
      </c>
      <c r="O1663" s="18" t="s">
        <v>3784</v>
      </c>
      <c r="P1663" s="18" t="s">
        <v>3707</v>
      </c>
      <c r="Q1663" s="29" t="str" cm="1">
        <f t="array" ref="Q1663">_xlfn.IFS(
A1663="","",
AND(A1663&lt;&gt;"",B1663=""),"FALTA LANÇAMENTO",
AND(B1663&lt;&gt;"",M1663=""),"FALTA O PEDIDO",
AND(M1663&lt;&gt;"",O1663=""),"FALTA NF",
O1663&lt;&gt;"","CONCLUÍDO")</f>
        <v>CONCLUÍDO</v>
      </c>
      <c r="R1663" s="36"/>
    </row>
    <row r="1664" spans="1:18" hidden="1">
      <c r="A1664" s="16">
        <v>46169</v>
      </c>
      <c r="B1664" s="16">
        <v>46170</v>
      </c>
      <c r="C1664" s="21">
        <v>500580100</v>
      </c>
      <c r="D1664" s="16" t="str">
        <f>IFERROR(VLOOKUP(Tabela5[[#This Row],[PREFIXO ]],Tabela4[#All],2,0),"CENTRO DE CUSTO")</f>
        <v>Autopropelidos</v>
      </c>
      <c r="E1664" s="18" t="s">
        <v>67</v>
      </c>
      <c r="F1664" s="21">
        <v>176</v>
      </c>
      <c r="G1664" s="22">
        <v>4400</v>
      </c>
      <c r="H1664" s="22"/>
      <c r="I1664" s="22">
        <f t="shared" si="27"/>
        <v>4400</v>
      </c>
      <c r="J1664" s="18" t="s">
        <v>1265</v>
      </c>
      <c r="K1664" s="18" t="s">
        <v>3785</v>
      </c>
      <c r="L1664" s="18" t="s">
        <v>3786</v>
      </c>
      <c r="M1664" s="18" t="s">
        <v>3787</v>
      </c>
      <c r="N1664" s="16" t="s">
        <v>3447</v>
      </c>
      <c r="O1664" s="18" t="s">
        <v>3788</v>
      </c>
      <c r="P1664" s="18" t="s">
        <v>3429</v>
      </c>
      <c r="Q1664" s="29" t="str" cm="1">
        <f t="array" ref="Q1664">_xlfn.IFS(
A1664="","",
AND(A1664&lt;&gt;"",B1664=""),"FALTA LANÇAMENTO",
AND(B1664&lt;&gt;"",M1664=""),"FALTA O PEDIDO",
AND(M1664&lt;&gt;"",O1664=""),"FALTA NF",
O1664&lt;&gt;"","CONCLUÍDO")</f>
        <v>CONCLUÍDO</v>
      </c>
      <c r="R1664" s="36"/>
    </row>
    <row r="1665" spans="1:18" hidden="1">
      <c r="A1665" s="16">
        <v>46169</v>
      </c>
      <c r="B1665" s="16">
        <v>46170</v>
      </c>
      <c r="C1665" s="21">
        <v>13130047</v>
      </c>
      <c r="D1665" s="16" t="str">
        <f>IFERROR(VLOOKUP(Tabela5[[#This Row],[PREFIXO ]],Tabela4[#All],2,0),"CENTRO DE CUSTO")</f>
        <v>PULV AUTOPROP JOHN DEERE M4030</v>
      </c>
      <c r="E1665" s="18" t="s">
        <v>67</v>
      </c>
      <c r="F1665" s="21">
        <v>175</v>
      </c>
      <c r="G1665" s="22">
        <v>3600</v>
      </c>
      <c r="H1665" s="22"/>
      <c r="I1665" s="22">
        <f t="shared" si="27"/>
        <v>3600</v>
      </c>
      <c r="J1665" s="18" t="s">
        <v>1265</v>
      </c>
      <c r="K1665" s="18" t="s">
        <v>3789</v>
      </c>
      <c r="L1665" s="18" t="s">
        <v>3786</v>
      </c>
      <c r="M1665" s="18" t="s">
        <v>3787</v>
      </c>
      <c r="N1665" s="16" t="s">
        <v>3447</v>
      </c>
      <c r="O1665" s="18" t="s">
        <v>3788</v>
      </c>
      <c r="P1665" s="18" t="s">
        <v>3429</v>
      </c>
      <c r="Q1665" s="29" t="str" cm="1">
        <f t="array" ref="Q1665">_xlfn.IFS(
A1665="","",
AND(A1665&lt;&gt;"",B1665=""),"FALTA LANÇAMENTO",
AND(B1665&lt;&gt;"",M1665=""),"FALTA O PEDIDO",
AND(M1665&lt;&gt;"",O1665=""),"FALTA NF",
O1665&lt;&gt;"","CONCLUÍDO")</f>
        <v>CONCLUÍDO</v>
      </c>
      <c r="R1665" s="36"/>
    </row>
    <row r="1666" spans="1:18" hidden="1">
      <c r="A1666" s="16">
        <v>46169</v>
      </c>
      <c r="B1666" s="16">
        <v>46170</v>
      </c>
      <c r="C1666" s="21">
        <v>31521034</v>
      </c>
      <c r="D1666" s="16" t="str">
        <f>IFERROR(VLOOKUP(Tabela5[[#This Row],[PREFIXO ]],Tabela4[#All],2,0),"CENTRO DE CUSTO")</f>
        <v>ADUB AUTOPROP KUHN ACCURA ST 7000</v>
      </c>
      <c r="E1666" s="18" t="s">
        <v>67</v>
      </c>
      <c r="F1666" s="21">
        <v>173</v>
      </c>
      <c r="G1666" s="22">
        <v>3600</v>
      </c>
      <c r="H1666" s="22"/>
      <c r="I1666" s="22">
        <f t="shared" si="27"/>
        <v>3600</v>
      </c>
      <c r="J1666" s="18" t="s">
        <v>1265</v>
      </c>
      <c r="K1666" s="18" t="s">
        <v>3790</v>
      </c>
      <c r="L1666" s="18" t="s">
        <v>3786</v>
      </c>
      <c r="M1666" s="18" t="s">
        <v>3787</v>
      </c>
      <c r="N1666" s="16" t="s">
        <v>3447</v>
      </c>
      <c r="O1666" s="18" t="s">
        <v>3788</v>
      </c>
      <c r="P1666" s="18" t="s">
        <v>3429</v>
      </c>
      <c r="Q1666" s="29" t="str" cm="1">
        <f t="array" ref="Q1666">_xlfn.IFS(
A1666="","",
AND(A1666&lt;&gt;"",B1666=""),"FALTA LANÇAMENTO",
AND(B1666&lt;&gt;"",M1666=""),"FALTA O PEDIDO",
AND(M1666&lt;&gt;"",O1666=""),"FALTA NF",
O1666&lt;&gt;"","CONCLUÍDO")</f>
        <v>CONCLUÍDO</v>
      </c>
      <c r="R1666" s="36"/>
    </row>
    <row r="1667" spans="1:18" hidden="1">
      <c r="A1667" s="16">
        <v>46169</v>
      </c>
      <c r="B1667" s="16">
        <v>46170</v>
      </c>
      <c r="C1667" s="21">
        <v>13130034</v>
      </c>
      <c r="D1667" s="16" t="str">
        <f>IFERROR(VLOOKUP(Tabela5[[#This Row],[PREFIXO ]],Tabela4[#All],2,0),"CENTRO DE CUSTO")</f>
        <v>PULV AUTOPROP JOHN DEERE M4030</v>
      </c>
      <c r="E1667" s="18" t="s">
        <v>67</v>
      </c>
      <c r="F1667" s="21">
        <v>172</v>
      </c>
      <c r="G1667" s="22">
        <v>3600</v>
      </c>
      <c r="H1667" s="22"/>
      <c r="I1667" s="22">
        <f t="shared" si="27"/>
        <v>3600</v>
      </c>
      <c r="J1667" s="18" t="s">
        <v>1265</v>
      </c>
      <c r="K1667" s="18" t="s">
        <v>3791</v>
      </c>
      <c r="L1667" s="18" t="s">
        <v>3792</v>
      </c>
      <c r="M1667" s="18" t="s">
        <v>3793</v>
      </c>
      <c r="N1667" s="16" t="s">
        <v>3447</v>
      </c>
      <c r="O1667" s="18" t="s">
        <v>3794</v>
      </c>
      <c r="P1667" s="18" t="s">
        <v>3429</v>
      </c>
      <c r="Q1667" s="29" t="str" cm="1">
        <f t="array" ref="Q1667">_xlfn.IFS(
A1667="","",
AND(A1667&lt;&gt;"",B1667=""),"FALTA LANÇAMENTO",
AND(B1667&lt;&gt;"",M1667=""),"FALTA O PEDIDO",
AND(M1667&lt;&gt;"",O1667=""),"FALTA NF",
O1667&lt;&gt;"","CONCLUÍDO")</f>
        <v>CONCLUÍDO</v>
      </c>
      <c r="R1667" s="36"/>
    </row>
    <row r="1668" spans="1:18" hidden="1">
      <c r="A1668" s="16">
        <v>46169</v>
      </c>
      <c r="B1668" s="16">
        <v>46170</v>
      </c>
      <c r="C1668" s="21">
        <v>13130033</v>
      </c>
      <c r="D1668" s="16" t="str">
        <f>IFERROR(VLOOKUP(Tabela5[[#This Row],[PREFIXO ]],Tabela4[#All],2,0),"CENTRO DE CUSTO")</f>
        <v>PULV AUTOPROP JOHN DEERE M4030</v>
      </c>
      <c r="E1668" s="18" t="s">
        <v>67</v>
      </c>
      <c r="F1668" s="21">
        <v>168</v>
      </c>
      <c r="G1668" s="22">
        <v>3600</v>
      </c>
      <c r="H1668" s="22"/>
      <c r="I1668" s="22">
        <f t="shared" si="27"/>
        <v>3600</v>
      </c>
      <c r="J1668" s="18" t="s">
        <v>1265</v>
      </c>
      <c r="K1668" s="18" t="s">
        <v>3795</v>
      </c>
      <c r="L1668" s="18" t="s">
        <v>3786</v>
      </c>
      <c r="M1668" s="18" t="s">
        <v>3787</v>
      </c>
      <c r="N1668" s="16" t="s">
        <v>3447</v>
      </c>
      <c r="O1668" s="18" t="s">
        <v>3788</v>
      </c>
      <c r="P1668" s="18" t="s">
        <v>3429</v>
      </c>
      <c r="Q1668" s="29" t="str" cm="1">
        <f t="array" ref="Q1668">_xlfn.IFS(
A1668="","",
AND(A1668&lt;&gt;"",B1668=""),"FALTA LANÇAMENTO",
AND(B1668&lt;&gt;"",M1668=""),"FALTA O PEDIDO",
AND(M1668&lt;&gt;"",O1668=""),"FALTA NF",
O1668&lt;&gt;"","CONCLUÍDO")</f>
        <v>CONCLUÍDO</v>
      </c>
      <c r="R1668" s="36"/>
    </row>
    <row r="1669" spans="1:18" hidden="1">
      <c r="A1669" s="16">
        <v>46169</v>
      </c>
      <c r="B1669" s="16">
        <v>46170</v>
      </c>
      <c r="C1669" s="21">
        <v>51519055</v>
      </c>
      <c r="D1669" s="16" t="str">
        <f>IFERROR(VLOOKUP(Tabela5[[#This Row],[PREFIXO ]],Tabela4[#All],2,0),"CENTRO DE CUSTO")</f>
        <v>COLHED ALGODÃO JOHN DEERE CP 770</v>
      </c>
      <c r="E1669" s="18" t="s">
        <v>67</v>
      </c>
      <c r="F1669" s="21">
        <v>180</v>
      </c>
      <c r="G1669" s="22">
        <v>1750</v>
      </c>
      <c r="H1669" s="22"/>
      <c r="I1669" s="22">
        <f t="shared" si="27"/>
        <v>1750</v>
      </c>
      <c r="J1669" s="18" t="s">
        <v>1123</v>
      </c>
      <c r="K1669" s="18" t="s">
        <v>3796</v>
      </c>
      <c r="L1669" s="18" t="s">
        <v>3786</v>
      </c>
      <c r="M1669" s="18" t="s">
        <v>3787</v>
      </c>
      <c r="N1669" s="16" t="s">
        <v>3447</v>
      </c>
      <c r="O1669" s="18" t="s">
        <v>3788</v>
      </c>
      <c r="P1669" s="18" t="s">
        <v>3429</v>
      </c>
      <c r="Q1669" s="29" t="str" cm="1">
        <f t="array" ref="Q1669">_xlfn.IFS(
A1669="","",
AND(A1669&lt;&gt;"",B1669=""),"FALTA LANÇAMENTO",
AND(B1669&lt;&gt;"",M1669=""),"FALTA O PEDIDO",
AND(M1669&lt;&gt;"",O1669=""),"FALTA NF",
O1669&lt;&gt;"","CONCLUÍDO")</f>
        <v>CONCLUÍDO</v>
      </c>
      <c r="R1669" s="36"/>
    </row>
    <row r="1670" spans="1:18" hidden="1">
      <c r="A1670" s="16">
        <v>46169</v>
      </c>
      <c r="B1670" s="16">
        <v>46170</v>
      </c>
      <c r="C1670" s="21">
        <v>13130037</v>
      </c>
      <c r="D1670" s="16" t="str">
        <f>IFERROR(VLOOKUP(Tabela5[[#This Row],[PREFIXO ]],Tabela4[#All],2,0),"CENTRO DE CUSTO")</f>
        <v>PULV AUTOPROP JOHN DEERE M4030</v>
      </c>
      <c r="E1670" s="18" t="s">
        <v>67</v>
      </c>
      <c r="F1670" s="21">
        <v>167</v>
      </c>
      <c r="G1670" s="22">
        <v>1709.64</v>
      </c>
      <c r="H1670" s="22"/>
      <c r="I1670" s="22">
        <f t="shared" si="27"/>
        <v>1709.64</v>
      </c>
      <c r="J1670" s="18" t="s">
        <v>1265</v>
      </c>
      <c r="K1670" s="18" t="s">
        <v>3797</v>
      </c>
      <c r="L1670" s="18" t="s">
        <v>3792</v>
      </c>
      <c r="M1670" s="18" t="s">
        <v>3793</v>
      </c>
      <c r="N1670" s="16" t="s">
        <v>3447</v>
      </c>
      <c r="O1670" s="18" t="s">
        <v>3794</v>
      </c>
      <c r="P1670" s="18" t="s">
        <v>3429</v>
      </c>
      <c r="Q1670" s="29" t="str" cm="1">
        <f t="array" ref="Q1670">_xlfn.IFS(
A1670="","",
AND(A1670&lt;&gt;"",B1670=""),"FALTA LANÇAMENTO",
AND(B1670&lt;&gt;"",M1670=""),"FALTA O PEDIDO",
AND(M1670&lt;&gt;"",O1670=""),"FALTA NF",
O1670&lt;&gt;"","CONCLUÍDO")</f>
        <v>CONCLUÍDO</v>
      </c>
      <c r="R1670" s="36"/>
    </row>
    <row r="1671" spans="1:18" hidden="1">
      <c r="A1671" s="16">
        <v>46169</v>
      </c>
      <c r="B1671" s="16">
        <v>46170</v>
      </c>
      <c r="C1671" s="21">
        <v>13130044</v>
      </c>
      <c r="D1671" s="16" t="str">
        <f>IFERROR(VLOOKUP(Tabela5[[#This Row],[PREFIXO ]],Tabela4[#All],2,0),"CENTRO DE CUSTO")</f>
        <v>PULV AUTOPROP JOHN DEERE M4030</v>
      </c>
      <c r="E1671" s="18" t="s">
        <v>67</v>
      </c>
      <c r="F1671" s="21">
        <v>169</v>
      </c>
      <c r="G1671" s="22">
        <v>1464.84</v>
      </c>
      <c r="H1671" s="22"/>
      <c r="I1671" s="22">
        <f t="shared" si="27"/>
        <v>1464.84</v>
      </c>
      <c r="J1671" s="18" t="s">
        <v>1265</v>
      </c>
      <c r="K1671" s="18" t="s">
        <v>3798</v>
      </c>
      <c r="L1671" s="18" t="s">
        <v>3786</v>
      </c>
      <c r="M1671" s="18" t="s">
        <v>3787</v>
      </c>
      <c r="N1671" s="16" t="s">
        <v>3447</v>
      </c>
      <c r="O1671" s="18" t="s">
        <v>3788</v>
      </c>
      <c r="P1671" s="18" t="s">
        <v>3429</v>
      </c>
      <c r="Q1671" s="29" t="str" cm="1">
        <f t="array" ref="Q1671">_xlfn.IFS(
A1671="","",
AND(A1671&lt;&gt;"",B1671=""),"FALTA LANÇAMENTO",
AND(B1671&lt;&gt;"",M1671=""),"FALTA O PEDIDO",
AND(M1671&lt;&gt;"",O1671=""),"FALTA NF",
O1671&lt;&gt;"","CONCLUÍDO")</f>
        <v>CONCLUÍDO</v>
      </c>
      <c r="R1671" s="36"/>
    </row>
    <row r="1672" spans="1:18" hidden="1">
      <c r="A1672" s="16">
        <v>46169</v>
      </c>
      <c r="B1672" s="16">
        <v>46170</v>
      </c>
      <c r="C1672" s="21">
        <v>13130034</v>
      </c>
      <c r="D1672" s="16" t="str">
        <f>IFERROR(VLOOKUP(Tabela5[[#This Row],[PREFIXO ]],Tabela4[#All],2,0),"CENTRO DE CUSTO")</f>
        <v>PULV AUTOPROP JOHN DEERE M4030</v>
      </c>
      <c r="E1672" s="18" t="s">
        <v>67</v>
      </c>
      <c r="F1672" s="21">
        <v>166</v>
      </c>
      <c r="G1672" s="22">
        <v>1192.32</v>
      </c>
      <c r="H1672" s="22"/>
      <c r="I1672" s="22">
        <f t="shared" si="27"/>
        <v>1192.32</v>
      </c>
      <c r="J1672" s="18" t="s">
        <v>1265</v>
      </c>
      <c r="K1672" s="18"/>
      <c r="L1672" s="18" t="s">
        <v>3792</v>
      </c>
      <c r="M1672" s="18" t="s">
        <v>3793</v>
      </c>
      <c r="N1672" s="16" t="s">
        <v>3447</v>
      </c>
      <c r="O1672" s="18" t="s">
        <v>3794</v>
      </c>
      <c r="P1672" s="18" t="s">
        <v>3429</v>
      </c>
      <c r="Q1672" s="29" t="str" cm="1">
        <f t="array" ref="Q1672">_xlfn.IFS(
A1672="","",
AND(A1672&lt;&gt;"",B1672=""),"FALTA LANÇAMENTO",
AND(B1672&lt;&gt;"",M1672=""),"FALTA O PEDIDO",
AND(M1672&lt;&gt;"",O1672=""),"FALTA NF",
O1672&lt;&gt;"","CONCLUÍDO")</f>
        <v>CONCLUÍDO</v>
      </c>
      <c r="R1672" s="36"/>
    </row>
    <row r="1673" spans="1:18" hidden="1">
      <c r="A1673" s="16">
        <v>46169</v>
      </c>
      <c r="B1673" s="16">
        <v>46170</v>
      </c>
      <c r="C1673" s="21">
        <v>900258</v>
      </c>
      <c r="D1673" s="16" t="str">
        <f>IFERROR(VLOOKUP(Tabela5[[#This Row],[PREFIXO ]],Tabela4[#All],2,0),"CENTRO DE CUSTO")</f>
        <v>PRENSA HIDRAULICA 150 TON</v>
      </c>
      <c r="E1673" s="18" t="s">
        <v>67</v>
      </c>
      <c r="F1673" s="21">
        <v>182</v>
      </c>
      <c r="G1673" s="22">
        <v>1125</v>
      </c>
      <c r="H1673" s="22"/>
      <c r="I1673" s="22">
        <f t="shared" si="27"/>
        <v>1125</v>
      </c>
      <c r="J1673" s="18" t="s">
        <v>1265</v>
      </c>
      <c r="K1673" s="18" t="s">
        <v>3799</v>
      </c>
      <c r="L1673" s="18" t="s">
        <v>3786</v>
      </c>
      <c r="M1673" s="18" t="s">
        <v>3787</v>
      </c>
      <c r="N1673" s="16" t="s">
        <v>3447</v>
      </c>
      <c r="O1673" s="18" t="s">
        <v>3788</v>
      </c>
      <c r="P1673" s="18" t="s">
        <v>3429</v>
      </c>
      <c r="Q1673" s="29" t="str" cm="1">
        <f t="array" ref="Q1673">_xlfn.IFS(
A1673="","",
AND(A1673&lt;&gt;"",B1673=""),"FALTA LANÇAMENTO",
AND(B1673&lt;&gt;"",M1673=""),"FALTA O PEDIDO",
AND(M1673&lt;&gt;"",O1673=""),"FALTA NF",
O1673&lt;&gt;"","CONCLUÍDO")</f>
        <v>CONCLUÍDO</v>
      </c>
      <c r="R1673" s="36"/>
    </row>
    <row r="1674" spans="1:18" hidden="1">
      <c r="A1674" s="16">
        <v>46169</v>
      </c>
      <c r="B1674" s="16">
        <v>46170</v>
      </c>
      <c r="C1674" s="21">
        <v>13130037</v>
      </c>
      <c r="D1674" s="16" t="str">
        <f>IFERROR(VLOOKUP(Tabela5[[#This Row],[PREFIXO ]],Tabela4[#All],2,0),"CENTRO DE CUSTO")</f>
        <v>PULV AUTOPROP JOHN DEERE M4030</v>
      </c>
      <c r="E1674" s="18" t="s">
        <v>67</v>
      </c>
      <c r="F1674" s="21">
        <v>170</v>
      </c>
      <c r="G1674" s="22">
        <v>824.8</v>
      </c>
      <c r="H1674" s="22"/>
      <c r="I1674" s="22">
        <f t="shared" si="27"/>
        <v>824.8</v>
      </c>
      <c r="J1674" s="18" t="s">
        <v>1265</v>
      </c>
      <c r="K1674" s="18"/>
      <c r="L1674" s="18" t="s">
        <v>3792</v>
      </c>
      <c r="M1674" s="18" t="s">
        <v>3793</v>
      </c>
      <c r="N1674" s="16" t="s">
        <v>3447</v>
      </c>
      <c r="O1674" s="18" t="s">
        <v>3794</v>
      </c>
      <c r="P1674" s="18" t="s">
        <v>3429</v>
      </c>
      <c r="Q1674" s="29" t="str" cm="1">
        <f t="array" ref="Q1674">_xlfn.IFS(
A1674="","",
AND(A1674&lt;&gt;"",B1674=""),"FALTA LANÇAMENTO",
AND(B1674&lt;&gt;"",M1674=""),"FALTA O PEDIDO",
AND(M1674&lt;&gt;"",O1674=""),"FALTA NF",
O1674&lt;&gt;"","CONCLUÍDO")</f>
        <v>CONCLUÍDO</v>
      </c>
      <c r="R1674" s="36"/>
    </row>
    <row r="1675" spans="1:18" hidden="1">
      <c r="A1675" s="16">
        <v>46169</v>
      </c>
      <c r="B1675" s="16">
        <v>46170</v>
      </c>
      <c r="C1675" s="21">
        <v>13130046</v>
      </c>
      <c r="D1675" s="16" t="str">
        <f>IFERROR(VLOOKUP(Tabela5[[#This Row],[PREFIXO ]],Tabela4[#All],2,0),"CENTRO DE CUSTO")</f>
        <v>PULV AUTOPROP JOHN DEERE M4030</v>
      </c>
      <c r="E1675" s="18" t="s">
        <v>67</v>
      </c>
      <c r="F1675" s="21">
        <v>171</v>
      </c>
      <c r="G1675" s="22">
        <v>467.4</v>
      </c>
      <c r="H1675" s="22"/>
      <c r="I1675" s="22">
        <f t="shared" si="27"/>
        <v>467.4</v>
      </c>
      <c r="J1675" s="18" t="s">
        <v>1265</v>
      </c>
      <c r="K1675" s="18" t="s">
        <v>3800</v>
      </c>
      <c r="L1675" s="18" t="s">
        <v>3786</v>
      </c>
      <c r="M1675" s="18" t="s">
        <v>3787</v>
      </c>
      <c r="N1675" s="16" t="s">
        <v>3447</v>
      </c>
      <c r="O1675" s="18" t="s">
        <v>3788</v>
      </c>
      <c r="P1675" s="18" t="s">
        <v>3429</v>
      </c>
      <c r="Q1675" s="29" t="str" cm="1">
        <f t="array" ref="Q1675">_xlfn.IFS(
A1675="","",
AND(A1675&lt;&gt;"",B1675=""),"FALTA LANÇAMENTO",
AND(B1675&lt;&gt;"",M1675=""),"FALTA O PEDIDO",
AND(M1675&lt;&gt;"",O1675=""),"FALTA NF",
O1675&lt;&gt;"","CONCLUÍDO")</f>
        <v>CONCLUÍDO</v>
      </c>
      <c r="R1675" s="36"/>
    </row>
    <row r="1676" spans="1:18" hidden="1">
      <c r="A1676" s="16">
        <v>46169</v>
      </c>
      <c r="B1676" s="16">
        <v>46182</v>
      </c>
      <c r="C1676" s="21">
        <v>51521049</v>
      </c>
      <c r="D1676" s="16" t="str">
        <f>IFERROR(VLOOKUP(Tabela5[[#This Row],[PREFIXO ]],Tabela4[#All],2,0),"CENTRO DE CUSTO")</f>
        <v>COLHED ALGODÃO JOHN DEERE CP 690</v>
      </c>
      <c r="E1676" s="18" t="s">
        <v>173</v>
      </c>
      <c r="F1676" s="21">
        <v>1044</v>
      </c>
      <c r="G1676" s="22">
        <v>5134.8</v>
      </c>
      <c r="H1676" s="22">
        <v>22320.63</v>
      </c>
      <c r="I1676" s="22">
        <f t="shared" si="27"/>
        <v>27455.43</v>
      </c>
      <c r="J1676" s="18" t="s">
        <v>1123</v>
      </c>
      <c r="K1676" s="18" t="s">
        <v>3801</v>
      </c>
      <c r="L1676" s="18" t="s">
        <v>3802</v>
      </c>
      <c r="M1676" s="18">
        <v>41888352</v>
      </c>
      <c r="N1676" s="16">
        <v>46188</v>
      </c>
      <c r="O1676" s="18" t="s">
        <v>3803</v>
      </c>
      <c r="P1676" s="18" t="s">
        <v>3804</v>
      </c>
      <c r="Q1676" s="29" t="str" cm="1">
        <f t="array" ref="Q1676">_xlfn.IFS(
A1676="","",
AND(A1676&lt;&gt;"",B1676=""),"FALTA LANÇAMENTO",
AND(B1676&lt;&gt;"",M1676=""),"FALTA O PEDIDO",
AND(M1676&lt;&gt;"",O1676=""),"FALTA NF",
O1676&lt;&gt;"","CONCLUÍDO")</f>
        <v>CONCLUÍDO</v>
      </c>
      <c r="R1676" s="36"/>
    </row>
    <row r="1677" spans="1:18" hidden="1">
      <c r="A1677" s="16">
        <v>46169</v>
      </c>
      <c r="B1677" s="16">
        <v>46182</v>
      </c>
      <c r="C1677" s="21">
        <v>51521057</v>
      </c>
      <c r="D1677" s="16" t="str">
        <f>IFERROR(VLOOKUP(Tabela5[[#This Row],[PREFIXO ]],Tabela4[#All],2,0),"CENTRO DE CUSTO")</f>
        <v>COLHED ALGODÃO JOHN DEERE CP 690</v>
      </c>
      <c r="E1677" s="18" t="s">
        <v>173</v>
      </c>
      <c r="F1677" s="21">
        <v>1045</v>
      </c>
      <c r="G1677" s="22">
        <v>20364.8</v>
      </c>
      <c r="H1677" s="22">
        <v>6234.42</v>
      </c>
      <c r="I1677" s="22">
        <f t="shared" si="27"/>
        <v>26599.22</v>
      </c>
      <c r="J1677" s="18" t="s">
        <v>1123</v>
      </c>
      <c r="K1677" s="18" t="s">
        <v>3805</v>
      </c>
      <c r="L1677" s="18" t="s">
        <v>3806</v>
      </c>
      <c r="M1677" s="18">
        <v>41885087</v>
      </c>
      <c r="N1677" s="16">
        <v>46183</v>
      </c>
      <c r="O1677" s="18" t="s">
        <v>3807</v>
      </c>
      <c r="P1677" s="18" t="s">
        <v>3808</v>
      </c>
      <c r="Q1677" s="29" t="str" cm="1">
        <f t="array" ref="Q1677">_xlfn.IFS(
A1677="","",
AND(A1677&lt;&gt;"",B1677=""),"FALTA LANÇAMENTO",
AND(B1677&lt;&gt;"",M1677=""),"FALTA O PEDIDO",
AND(M1677&lt;&gt;"",O1677=""),"FALTA NF",
O1677&lt;&gt;"","CONCLUÍDO")</f>
        <v>CONCLUÍDO</v>
      </c>
      <c r="R1677" s="36"/>
    </row>
    <row r="1678" spans="1:18" hidden="1">
      <c r="A1678" s="16">
        <v>46169</v>
      </c>
      <c r="B1678" s="16">
        <v>46182</v>
      </c>
      <c r="C1678" s="21">
        <v>51521050</v>
      </c>
      <c r="D1678" s="16" t="str">
        <f>IFERROR(VLOOKUP(Tabela5[[#This Row],[PREFIXO ]],Tabela4[#All],2,0),"CENTRO DE CUSTO")</f>
        <v>COLHED ALGODÃO JOHN DEERE CP 690</v>
      </c>
      <c r="E1678" s="18" t="s">
        <v>173</v>
      </c>
      <c r="F1678" s="21">
        <v>1043</v>
      </c>
      <c r="G1678" s="22">
        <v>20744.8</v>
      </c>
      <c r="H1678" s="22">
        <v>3319.92</v>
      </c>
      <c r="I1678" s="22">
        <f t="shared" si="27"/>
        <v>24064.720000000001</v>
      </c>
      <c r="J1678" s="18" t="s">
        <v>1123</v>
      </c>
      <c r="K1678" s="18" t="s">
        <v>3809</v>
      </c>
      <c r="L1678" s="18" t="s">
        <v>3810</v>
      </c>
      <c r="M1678" s="18">
        <v>41888350</v>
      </c>
      <c r="N1678" s="16">
        <v>46188</v>
      </c>
      <c r="O1678" s="18" t="s">
        <v>3811</v>
      </c>
      <c r="P1678" s="18" t="s">
        <v>3804</v>
      </c>
      <c r="Q1678" s="29" t="str" cm="1">
        <f t="array" ref="Q1678">_xlfn.IFS(
A1678="","",
AND(A1678&lt;&gt;"",B1678=""),"FALTA LANÇAMENTO",
AND(B1678&lt;&gt;"",M1678=""),"FALTA O PEDIDO",
AND(M1678&lt;&gt;"",O1678=""),"FALTA NF",
O1678&lt;&gt;"","CONCLUÍDO")</f>
        <v>CONCLUÍDO</v>
      </c>
      <c r="R1678" s="36"/>
    </row>
    <row r="1679" spans="1:18" hidden="1">
      <c r="A1679" s="16">
        <v>46169</v>
      </c>
      <c r="B1679" s="16">
        <v>46182</v>
      </c>
      <c r="C1679" s="21">
        <v>5173116</v>
      </c>
      <c r="D1679" s="16" t="str">
        <f>IFERROR(VLOOKUP(Tabela5[[#This Row],[PREFIXO ]],Tabela4[#All],2,0),"CENTRO DE CUSTO")</f>
        <v>COLHED ALGODÃO JOHN DEERE 7760</v>
      </c>
      <c r="E1679" s="18" t="s">
        <v>173</v>
      </c>
      <c r="F1679" s="21">
        <v>1042</v>
      </c>
      <c r="G1679" s="22">
        <v>2864.8</v>
      </c>
      <c r="H1679" s="22">
        <v>8503.27</v>
      </c>
      <c r="I1679" s="22">
        <f t="shared" si="27"/>
        <v>11368.07</v>
      </c>
      <c r="J1679" s="18" t="s">
        <v>1123</v>
      </c>
      <c r="K1679" s="18" t="s">
        <v>3812</v>
      </c>
      <c r="L1679" s="18" t="s">
        <v>3813</v>
      </c>
      <c r="M1679" s="18">
        <v>41885753</v>
      </c>
      <c r="N1679" s="16">
        <v>46184</v>
      </c>
      <c r="O1679" s="18" t="s">
        <v>3814</v>
      </c>
      <c r="P1679" s="18" t="s">
        <v>3808</v>
      </c>
      <c r="Q1679" s="29" t="str" cm="1">
        <f t="array" ref="Q1679">_xlfn.IFS(
A1679="","",
AND(A1679&lt;&gt;"",B1679=""),"FALTA LANÇAMENTO",
AND(B1679&lt;&gt;"",M1679=""),"FALTA O PEDIDO",
AND(M1679&lt;&gt;"",O1679=""),"FALTA NF",
O1679&lt;&gt;"","CONCLUÍDO")</f>
        <v>CONCLUÍDO</v>
      </c>
      <c r="R1679" s="36"/>
    </row>
    <row r="1680" spans="1:18" hidden="1">
      <c r="A1680" s="16">
        <v>46169</v>
      </c>
      <c r="B1680" s="16">
        <v>46182</v>
      </c>
      <c r="C1680" s="21">
        <v>51519061</v>
      </c>
      <c r="D1680" s="16" t="str">
        <f>IFERROR(VLOOKUP(Tabela5[[#This Row],[PREFIXO ]],Tabela4[#All],2,0),"CENTRO DE CUSTO")</f>
        <v>CENTRO DE CUSTO</v>
      </c>
      <c r="E1680" s="18" t="s">
        <v>173</v>
      </c>
      <c r="F1680" s="21">
        <v>1041</v>
      </c>
      <c r="G1680" s="22">
        <v>1030</v>
      </c>
      <c r="H1680" s="22">
        <v>914.45</v>
      </c>
      <c r="I1680" s="22">
        <f t="shared" si="27"/>
        <v>1944.45</v>
      </c>
      <c r="J1680" s="18" t="s">
        <v>1123</v>
      </c>
      <c r="K1680" s="18" t="s">
        <v>3815</v>
      </c>
      <c r="L1680" s="18" t="s">
        <v>3816</v>
      </c>
      <c r="M1680" s="18">
        <v>41885530</v>
      </c>
      <c r="N1680" s="16">
        <v>46183</v>
      </c>
      <c r="O1680" s="18" t="s">
        <v>3817</v>
      </c>
      <c r="P1680" s="18" t="s">
        <v>3818</v>
      </c>
      <c r="Q1680" s="29" t="str" cm="1">
        <f t="array" ref="Q1680">_xlfn.IFS(
A1680="","",
AND(A1680&lt;&gt;"",B1680=""),"FALTA LANÇAMENTO",
AND(B1680&lt;&gt;"",M1680=""),"FALTA O PEDIDO",
AND(M1680&lt;&gt;"",O1680=""),"FALTA NF",
O1680&lt;&gt;"","CONCLUÍDO")</f>
        <v>CONCLUÍDO</v>
      </c>
      <c r="R1680" s="36"/>
    </row>
    <row r="1681" spans="1:18" hidden="1">
      <c r="A1681" s="16">
        <v>46169</v>
      </c>
      <c r="B1681" s="16">
        <v>46175</v>
      </c>
      <c r="C1681" s="21">
        <v>1159005</v>
      </c>
      <c r="D1681" s="16" t="str">
        <f>IFERROR(VLOOKUP(Tabela5[[#This Row],[PREFIXO ]],Tabela4[#All],2,0),"CENTRO DE CUSTO")</f>
        <v>TRAT PN MED JOHN DEERE 7500</v>
      </c>
      <c r="E1681" s="18" t="s">
        <v>96</v>
      </c>
      <c r="F1681" s="21" t="s">
        <v>3819</v>
      </c>
      <c r="G1681" s="22">
        <v>100</v>
      </c>
      <c r="H1681" s="22">
        <v>1153.67</v>
      </c>
      <c r="I1681" s="22">
        <f t="shared" si="27"/>
        <v>1253.67</v>
      </c>
      <c r="J1681" s="18" t="s">
        <v>1199</v>
      </c>
      <c r="K1681" s="18" t="s">
        <v>3820</v>
      </c>
      <c r="L1681" s="18" t="s">
        <v>3821</v>
      </c>
      <c r="M1681" s="18" t="s">
        <v>3822</v>
      </c>
      <c r="N1681" s="16" t="s">
        <v>3429</v>
      </c>
      <c r="O1681" s="18" t="s">
        <v>3823</v>
      </c>
      <c r="P1681" s="18" t="s">
        <v>3824</v>
      </c>
      <c r="Q1681" s="29" t="str" cm="1">
        <f t="array" ref="Q1681">_xlfn.IFS(
A1681="","",
AND(A1681&lt;&gt;"",B1681=""),"FALTA LANÇAMENTO",
AND(B1681&lt;&gt;"",M1681=""),"FALTA O PEDIDO",
AND(M1681&lt;&gt;"",O1681=""),"FALTA NF",
O1681&lt;&gt;"","CONCLUÍDO")</f>
        <v>CONCLUÍDO</v>
      </c>
      <c r="R1681" s="36"/>
    </row>
    <row r="1682" spans="1:18" hidden="1">
      <c r="A1682" s="16">
        <v>46169</v>
      </c>
      <c r="B1682" s="16">
        <v>46177</v>
      </c>
      <c r="C1682" s="21">
        <v>15430003</v>
      </c>
      <c r="D1682" s="16" t="str">
        <f>IFERROR(VLOOKUP(Tabela5[[#This Row],[PREFIXO ]],Tabela4[#All],2,0),"CENTRO DE CUSTO")</f>
        <v>ATOMIZADOR TEC SPRAY ATOMAX</v>
      </c>
      <c r="E1682" s="18" t="s">
        <v>96</v>
      </c>
      <c r="F1682" s="21" t="s">
        <v>3825</v>
      </c>
      <c r="G1682" s="22">
        <v>567</v>
      </c>
      <c r="H1682" s="22">
        <v>339.52</v>
      </c>
      <c r="I1682" s="22">
        <f t="shared" si="27"/>
        <v>906.52</v>
      </c>
      <c r="J1682" s="18" t="s">
        <v>1199</v>
      </c>
      <c r="K1682" s="18" t="s">
        <v>3826</v>
      </c>
      <c r="L1682" s="18" t="s">
        <v>3827</v>
      </c>
      <c r="M1682" s="18" t="s">
        <v>3828</v>
      </c>
      <c r="N1682" s="16">
        <v>46177</v>
      </c>
      <c r="O1682" s="18" t="s">
        <v>3829</v>
      </c>
      <c r="P1682" s="18" t="s">
        <v>3680</v>
      </c>
      <c r="Q1682" s="29" t="str" cm="1">
        <f t="array" ref="Q1682">_xlfn.IFS(
A1682="","",
AND(A1682&lt;&gt;"",B1682=""),"FALTA LANÇAMENTO",
AND(B1682&lt;&gt;"",M1682=""),"FALTA O PEDIDO",
AND(M1682&lt;&gt;"",O1682=""),"FALTA NF",
O1682&lt;&gt;"","CONCLUÍDO")</f>
        <v>CONCLUÍDO</v>
      </c>
      <c r="R1682" s="36"/>
    </row>
    <row r="1683" spans="1:18" hidden="1">
      <c r="A1683" s="16">
        <v>46169</v>
      </c>
      <c r="B1683" s="16">
        <v>46177</v>
      </c>
      <c r="C1683" s="21">
        <v>17320832</v>
      </c>
      <c r="D1683" s="16" t="str">
        <f>IFERROR(VLOOKUP(Tabela5[[#This Row],[PREFIXO ]],Tabela4[#All],2,0),"CENTRO DE CUSTO")</f>
        <v>PLANTADEIRA CASE IH FAST RISER 6100</v>
      </c>
      <c r="E1683" s="18" t="s">
        <v>96</v>
      </c>
      <c r="F1683" s="21" t="s">
        <v>3830</v>
      </c>
      <c r="G1683" s="22">
        <v>486</v>
      </c>
      <c r="H1683" s="22">
        <v>259.99</v>
      </c>
      <c r="I1683" s="22">
        <f t="shared" si="27"/>
        <v>745.99</v>
      </c>
      <c r="J1683" s="18" t="s">
        <v>1199</v>
      </c>
      <c r="K1683" s="18" t="s">
        <v>3831</v>
      </c>
      <c r="L1683" s="18" t="s">
        <v>3832</v>
      </c>
      <c r="M1683" s="18" t="s">
        <v>3833</v>
      </c>
      <c r="N1683" s="16">
        <v>46177</v>
      </c>
      <c r="O1683" s="18" t="s">
        <v>3834</v>
      </c>
      <c r="P1683" s="18" t="s">
        <v>3680</v>
      </c>
      <c r="Q1683" s="29" t="str" cm="1">
        <f t="array" ref="Q1683">_xlfn.IFS(
A1683="","",
AND(A1683&lt;&gt;"",B1683=""),"FALTA LANÇAMENTO",
AND(B1683&lt;&gt;"",M1683=""),"FALTA O PEDIDO",
AND(M1683&lt;&gt;"",O1683=""),"FALTA NF",
O1683&lt;&gt;"","CONCLUÍDO")</f>
        <v>CONCLUÍDO</v>
      </c>
      <c r="R1683" s="36"/>
    </row>
    <row r="1684" spans="1:18" hidden="1">
      <c r="A1684" s="16">
        <v>46169</v>
      </c>
      <c r="B1684" s="16">
        <v>46177</v>
      </c>
      <c r="C1684" s="21">
        <v>51521069</v>
      </c>
      <c r="D1684" s="16" t="str">
        <f>IFERROR(VLOOKUP(Tabela5[[#This Row],[PREFIXO ]],Tabela4[#All],2,0),"CENTRO DE CUSTO")</f>
        <v>COLHED ALGODÃO JOHN DEERE CP 690</v>
      </c>
      <c r="E1684" s="18" t="s">
        <v>70</v>
      </c>
      <c r="F1684" s="21">
        <v>23183</v>
      </c>
      <c r="G1684" s="22">
        <v>22920</v>
      </c>
      <c r="H1684" s="22"/>
      <c r="I1684" s="22">
        <f t="shared" si="27"/>
        <v>22920</v>
      </c>
      <c r="J1684" s="18" t="s">
        <v>1123</v>
      </c>
      <c r="K1684" s="18" t="s">
        <v>3835</v>
      </c>
      <c r="L1684" s="18" t="s">
        <v>3836</v>
      </c>
      <c r="M1684" s="18">
        <v>41882125</v>
      </c>
      <c r="N1684" s="16">
        <v>46178</v>
      </c>
      <c r="O1684" s="18" t="s">
        <v>3837</v>
      </c>
      <c r="P1684" s="18" t="s">
        <v>3306</v>
      </c>
      <c r="Q1684" s="29" t="str" cm="1">
        <f t="array" ref="Q1684">_xlfn.IFS(
A1684="","",
AND(A1684&lt;&gt;"",B1684=""),"FALTA LANÇAMENTO",
AND(B1684&lt;&gt;"",M1684=""),"FALTA O PEDIDO",
AND(M1684&lt;&gt;"",O1684=""),"FALTA NF",
O1684&lt;&gt;"","CONCLUÍDO")</f>
        <v>CONCLUÍDO</v>
      </c>
      <c r="R1684" s="36"/>
    </row>
    <row r="1685" spans="1:18" hidden="1">
      <c r="A1685" s="16">
        <v>46169</v>
      </c>
      <c r="B1685" s="16">
        <v>46189</v>
      </c>
      <c r="C1685" s="21">
        <v>51521065</v>
      </c>
      <c r="D1685" s="16" t="str">
        <f>IFERROR(VLOOKUP(Tabela5[[#This Row],[PREFIXO ]],Tabela4[#All],2,0),"CENTRO DE CUSTO")</f>
        <v>COLHED ALGODÃO JOHN DEERE CP 690</v>
      </c>
      <c r="E1685" s="18" t="s">
        <v>71</v>
      </c>
      <c r="F1685" s="21">
        <v>7775</v>
      </c>
      <c r="G1685" s="22">
        <v>11750</v>
      </c>
      <c r="H1685" s="22">
        <v>2792.28</v>
      </c>
      <c r="I1685" s="22">
        <f t="shared" si="27"/>
        <v>14542.28</v>
      </c>
      <c r="J1685" s="18" t="s">
        <v>1123</v>
      </c>
      <c r="K1685" s="18" t="s">
        <v>3838</v>
      </c>
      <c r="L1685" s="18" t="s">
        <v>3839</v>
      </c>
      <c r="M1685" s="18">
        <v>41889571</v>
      </c>
      <c r="N1685" s="16">
        <v>46190</v>
      </c>
      <c r="O1685" s="18" t="s">
        <v>3840</v>
      </c>
      <c r="P1685" s="18" t="s">
        <v>3841</v>
      </c>
      <c r="Q1685" s="29" t="str" cm="1">
        <f t="array" ref="Q1685">_xlfn.IFS(
A1685="","",
AND(A1685&lt;&gt;"",B1685=""),"FALTA LANÇAMENTO",
AND(B1685&lt;&gt;"",M1685=""),"FALTA O PEDIDO",
AND(M1685&lt;&gt;"",O1685=""),"FALTA NF",
O1685&lt;&gt;"","CONCLUÍDO")</f>
        <v>CONCLUÍDO</v>
      </c>
      <c r="R1685" s="36"/>
    </row>
    <row r="1686" spans="1:18" hidden="1">
      <c r="A1686" s="16">
        <v>46169</v>
      </c>
      <c r="B1686" s="16">
        <v>46169</v>
      </c>
      <c r="C1686" s="21">
        <v>500580579</v>
      </c>
      <c r="D1686" s="16" t="str">
        <f>IFERROR(VLOOKUP(Tabela5[[#This Row],[PREFIXO ]],Tabela4[#All],2,0),"CENTRO DE CUSTO")</f>
        <v>Pátio de Vendas</v>
      </c>
      <c r="E1686" s="18" t="s">
        <v>224</v>
      </c>
      <c r="F1686" s="21" t="s">
        <v>3842</v>
      </c>
      <c r="G1686" s="22">
        <v>3945</v>
      </c>
      <c r="H1686" s="22"/>
      <c r="I1686" s="22">
        <f t="shared" si="27"/>
        <v>3945</v>
      </c>
      <c r="J1686" s="18" t="s">
        <v>3650</v>
      </c>
      <c r="K1686" s="18" t="s">
        <v>1095</v>
      </c>
      <c r="L1686" s="18" t="s">
        <v>3843</v>
      </c>
      <c r="M1686" s="18" t="s">
        <v>3844</v>
      </c>
      <c r="N1686" s="16"/>
      <c r="O1686" s="18" t="s">
        <v>3845</v>
      </c>
      <c r="P1686" s="18" t="s">
        <v>3846</v>
      </c>
      <c r="Q1686" s="29" t="str" cm="1">
        <f t="array" ref="Q1686">_xlfn.IFS(
A1686="","",
AND(A1686&lt;&gt;"",B1686=""),"FALTA LANÇAMENTO",
AND(B1686&lt;&gt;"",M1686=""),"FALTA O PEDIDO",
AND(M1686&lt;&gt;"",O1686=""),"FALTA NF",
O1686&lt;&gt;"","CONCLUÍDO")</f>
        <v>CONCLUÍDO</v>
      </c>
      <c r="R1686" s="36"/>
    </row>
    <row r="1687" spans="1:18" hidden="1">
      <c r="A1687" s="16">
        <v>46169</v>
      </c>
      <c r="B1687" s="16">
        <v>46177</v>
      </c>
      <c r="C1687" s="21">
        <v>11040016</v>
      </c>
      <c r="D1687" s="16" t="str">
        <f>IFERROR(VLOOKUP(Tabela5[[#This Row],[PREFIXO ]],Tabela4[#All],2,0),"CENTRO DE CUSTO")</f>
        <v>CAV MEC EXT PES SCANIA R500</v>
      </c>
      <c r="E1687" s="18" t="s">
        <v>235</v>
      </c>
      <c r="F1687" s="21">
        <v>2804</v>
      </c>
      <c r="G1687" s="22">
        <v>19720</v>
      </c>
      <c r="H1687" s="22">
        <v>21007</v>
      </c>
      <c r="I1687" s="22">
        <f t="shared" si="27"/>
        <v>40727</v>
      </c>
      <c r="J1687" s="18" t="s">
        <v>1085</v>
      </c>
      <c r="K1687" s="18" t="s">
        <v>3847</v>
      </c>
      <c r="L1687" s="18" t="s">
        <v>3848</v>
      </c>
      <c r="M1687" s="18">
        <v>41882129</v>
      </c>
      <c r="N1687" s="16">
        <v>46178</v>
      </c>
      <c r="O1687" s="18" t="s">
        <v>3849</v>
      </c>
      <c r="P1687" s="18" t="s">
        <v>3294</v>
      </c>
      <c r="Q1687" s="29" t="str" cm="1">
        <f t="array" ref="Q1687">_xlfn.IFS(
A1687="","",
AND(A1687&lt;&gt;"",B1687=""),"FALTA LANÇAMENTO",
AND(B1687&lt;&gt;"",M1687=""),"FALTA O PEDIDO",
AND(M1687&lt;&gt;"",O1687=""),"FALTA NF",
O1687&lt;&gt;"","CONCLUÍDO")</f>
        <v>CONCLUÍDO</v>
      </c>
      <c r="R1687" s="36"/>
    </row>
    <row r="1688" spans="1:18" hidden="1">
      <c r="A1688" s="16">
        <v>46169</v>
      </c>
      <c r="B1688" s="16">
        <v>46192</v>
      </c>
      <c r="C1688" s="21">
        <v>23220004</v>
      </c>
      <c r="D1688" s="16" t="str">
        <f>IFERROR(VLOOKUP(Tabela5[[#This Row],[PREFIXO ]],Tabela4[#All],2,0),"CENTRO DE CUSTO")</f>
        <v>COLHED ALGODÃO JOHN DEERE CP 770</v>
      </c>
      <c r="E1688" s="18" t="s">
        <v>162</v>
      </c>
      <c r="F1688" s="21">
        <v>186624</v>
      </c>
      <c r="G1688" s="22">
        <v>4.7</v>
      </c>
      <c r="H1688" s="22">
        <v>3120.72</v>
      </c>
      <c r="I1688" s="22">
        <f t="shared" si="27"/>
        <v>3125.4199999999996</v>
      </c>
      <c r="J1688" s="18" t="s">
        <v>1123</v>
      </c>
      <c r="K1688" s="18" t="s">
        <v>3850</v>
      </c>
      <c r="L1688" s="18" t="s">
        <v>3851</v>
      </c>
      <c r="M1688" s="18" t="s">
        <v>3852</v>
      </c>
      <c r="N1688" s="16">
        <v>46195</v>
      </c>
      <c r="O1688" s="18" t="s">
        <v>3853</v>
      </c>
      <c r="P1688" s="18" t="s">
        <v>3576</v>
      </c>
      <c r="Q1688" s="29" t="str" cm="1">
        <f t="array" ref="Q1688">_xlfn.IFS(
A1688="","",
AND(A1688&lt;&gt;"",B1688=""),"FALTA LANÇAMENTO",
AND(B1688&lt;&gt;"",M1688=""),"FALTA O PEDIDO",
AND(M1688&lt;&gt;"",O1688=""),"FALTA NF",
O1688&lt;&gt;"","CONCLUÍDO")</f>
        <v>CONCLUÍDO</v>
      </c>
      <c r="R1688" s="36"/>
    </row>
    <row r="1689" spans="1:18" hidden="1">
      <c r="A1689" s="16">
        <v>46169</v>
      </c>
      <c r="B1689" s="16">
        <v>46170</v>
      </c>
      <c r="C1689" s="21">
        <v>51521047</v>
      </c>
      <c r="D1689" s="16" t="str">
        <f>IFERROR(VLOOKUP(Tabela5[[#This Row],[PREFIXO ]],Tabela4[#All],2,0),"CENTRO DE CUSTO")</f>
        <v>COLHED ALGODÃO JOHN DEERE CP 690</v>
      </c>
      <c r="E1689" s="18" t="s">
        <v>255</v>
      </c>
      <c r="F1689" s="21">
        <v>983</v>
      </c>
      <c r="G1689" s="22">
        <v>1550</v>
      </c>
      <c r="H1689" s="22"/>
      <c r="I1689" s="22">
        <f t="shared" si="27"/>
        <v>1550</v>
      </c>
      <c r="J1689" s="18" t="s">
        <v>1123</v>
      </c>
      <c r="K1689" s="18" t="s">
        <v>3854</v>
      </c>
      <c r="L1689" s="18" t="s">
        <v>3855</v>
      </c>
      <c r="M1689" s="18" t="s">
        <v>3856</v>
      </c>
      <c r="N1689" s="16" t="s">
        <v>3714</v>
      </c>
      <c r="O1689" s="18" t="s">
        <v>1857</v>
      </c>
      <c r="P1689" s="18" t="s">
        <v>3557</v>
      </c>
      <c r="Q1689" s="29" t="str" cm="1">
        <f t="array" ref="Q1689">_xlfn.IFS(
A1689="","",
AND(A1689&lt;&gt;"",B1689=""),"FALTA LANÇAMENTO",
AND(B1689&lt;&gt;"",M1689=""),"FALTA O PEDIDO",
AND(M1689&lt;&gt;"",O1689=""),"FALTA NF",
O1689&lt;&gt;"","CONCLUÍDO")</f>
        <v>CONCLUÍDO</v>
      </c>
      <c r="R1689" s="36"/>
    </row>
    <row r="1690" spans="1:18" hidden="1">
      <c r="A1690" s="16">
        <v>46169</v>
      </c>
      <c r="B1690" s="16">
        <v>46170</v>
      </c>
      <c r="C1690" s="21">
        <v>51521066</v>
      </c>
      <c r="D1690" s="16" t="str">
        <f>IFERROR(VLOOKUP(Tabela5[[#This Row],[PREFIXO ]],Tabela4[#All],2,0),"CENTRO DE CUSTO")</f>
        <v>COLHED ALGODÃO JOHN DEERE CP 690</v>
      </c>
      <c r="E1690" s="18" t="s">
        <v>255</v>
      </c>
      <c r="F1690" s="21">
        <v>982</v>
      </c>
      <c r="G1690" s="22">
        <v>1450</v>
      </c>
      <c r="H1690" s="22"/>
      <c r="I1690" s="22">
        <f t="shared" si="27"/>
        <v>1450</v>
      </c>
      <c r="J1690" s="18" t="s">
        <v>1123</v>
      </c>
      <c r="K1690" s="18" t="s">
        <v>3857</v>
      </c>
      <c r="L1690" s="18" t="s">
        <v>3855</v>
      </c>
      <c r="M1690" s="18" t="s">
        <v>3856</v>
      </c>
      <c r="N1690" s="16" t="s">
        <v>3714</v>
      </c>
      <c r="O1690" s="18" t="s">
        <v>1857</v>
      </c>
      <c r="P1690" s="18" t="s">
        <v>3557</v>
      </c>
      <c r="Q1690" s="29" t="str" cm="1">
        <f t="array" ref="Q1690">_xlfn.IFS(
A1690="","",
AND(A1690&lt;&gt;"",B1690=""),"FALTA LANÇAMENTO",
AND(B1690&lt;&gt;"",M1690=""),"FALTA O PEDIDO",
AND(M1690&lt;&gt;"",O1690=""),"FALTA NF",
O1690&lt;&gt;"","CONCLUÍDO")</f>
        <v>CONCLUÍDO</v>
      </c>
      <c r="R1690" s="36"/>
    </row>
    <row r="1691" spans="1:18" hidden="1">
      <c r="A1691" s="16">
        <v>46169</v>
      </c>
      <c r="B1691" s="16">
        <v>46170</v>
      </c>
      <c r="C1691" s="21">
        <v>51521060</v>
      </c>
      <c r="D1691" s="16" t="str">
        <f>IFERROR(VLOOKUP(Tabela5[[#This Row],[PREFIXO ]],Tabela4[#All],2,0),"CENTRO DE CUSTO")</f>
        <v>COLHED ALGODÃO JOHN DEERE CP 690</v>
      </c>
      <c r="E1691" s="18" t="s">
        <v>255</v>
      </c>
      <c r="F1691" s="21">
        <v>976</v>
      </c>
      <c r="G1691" s="22">
        <v>1450</v>
      </c>
      <c r="H1691" s="22"/>
      <c r="I1691" s="22">
        <f t="shared" si="27"/>
        <v>1450</v>
      </c>
      <c r="J1691" s="18" t="s">
        <v>1123</v>
      </c>
      <c r="K1691" s="18" t="s">
        <v>3858</v>
      </c>
      <c r="L1691" s="18" t="s">
        <v>3855</v>
      </c>
      <c r="M1691" s="18" t="s">
        <v>3856</v>
      </c>
      <c r="N1691" s="16" t="s">
        <v>3714</v>
      </c>
      <c r="O1691" s="18" t="s">
        <v>1857</v>
      </c>
      <c r="P1691" s="18" t="s">
        <v>3557</v>
      </c>
      <c r="Q1691" s="29" t="str" cm="1">
        <f t="array" ref="Q1691">_xlfn.IFS(
A1691="","",
AND(A1691&lt;&gt;"",B1691=""),"FALTA LANÇAMENTO",
AND(B1691&lt;&gt;"",M1691=""),"FALTA O PEDIDO",
AND(M1691&lt;&gt;"",O1691=""),"FALTA NF",
O1691&lt;&gt;"","CONCLUÍDO")</f>
        <v>CONCLUÍDO</v>
      </c>
      <c r="R1691" s="36"/>
    </row>
    <row r="1692" spans="1:18" hidden="1">
      <c r="A1692" s="16">
        <v>46169</v>
      </c>
      <c r="B1692" s="16">
        <v>46170</v>
      </c>
      <c r="C1692" s="21">
        <v>51521058</v>
      </c>
      <c r="D1692" s="16" t="str">
        <f>IFERROR(VLOOKUP(Tabela5[[#This Row],[PREFIXO ]],Tabela4[#All],2,0),"CENTRO DE CUSTO")</f>
        <v>COLHED ALGODÃO JOHN DEERE CP 690</v>
      </c>
      <c r="E1692" s="18" t="s">
        <v>255</v>
      </c>
      <c r="F1692" s="21">
        <v>974</v>
      </c>
      <c r="G1692" s="22">
        <v>1350</v>
      </c>
      <c r="H1692" s="22"/>
      <c r="I1692" s="22">
        <f t="shared" si="27"/>
        <v>1350</v>
      </c>
      <c r="J1692" s="18" t="s">
        <v>1123</v>
      </c>
      <c r="K1692" s="18" t="s">
        <v>3859</v>
      </c>
      <c r="L1692" s="18" t="s">
        <v>3855</v>
      </c>
      <c r="M1692" s="18" t="s">
        <v>3856</v>
      </c>
      <c r="N1692" s="16" t="s">
        <v>3714</v>
      </c>
      <c r="O1692" s="18" t="s">
        <v>1857</v>
      </c>
      <c r="P1692" s="18" t="s">
        <v>3557</v>
      </c>
      <c r="Q1692" s="29" t="str" cm="1">
        <f t="array" ref="Q1692">_xlfn.IFS(
A1692="","",
AND(A1692&lt;&gt;"",B1692=""),"FALTA LANÇAMENTO",
AND(B1692&lt;&gt;"",M1692=""),"FALTA O PEDIDO",
AND(M1692&lt;&gt;"",O1692=""),"FALTA NF",
O1692&lt;&gt;"","CONCLUÍDO")</f>
        <v>CONCLUÍDO</v>
      </c>
      <c r="R1692" s="36"/>
    </row>
    <row r="1693" spans="1:18" hidden="1">
      <c r="A1693" s="16">
        <v>46169</v>
      </c>
      <c r="B1693" s="16">
        <v>46170</v>
      </c>
      <c r="C1693" s="21">
        <v>51519055</v>
      </c>
      <c r="D1693" s="16" t="str">
        <f>IFERROR(VLOOKUP(Tabela5[[#This Row],[PREFIXO ]],Tabela4[#All],2,0),"CENTRO DE CUSTO")</f>
        <v>COLHED ALGODÃO JOHN DEERE CP 770</v>
      </c>
      <c r="E1693" s="18" t="s">
        <v>255</v>
      </c>
      <c r="F1693" s="21">
        <v>977</v>
      </c>
      <c r="G1693" s="22">
        <v>1176</v>
      </c>
      <c r="H1693" s="22"/>
      <c r="I1693" s="22">
        <f t="shared" si="27"/>
        <v>1176</v>
      </c>
      <c r="J1693" s="18" t="s">
        <v>1123</v>
      </c>
      <c r="K1693" s="18" t="s">
        <v>3860</v>
      </c>
      <c r="L1693" s="18" t="s">
        <v>3855</v>
      </c>
      <c r="M1693" s="18" t="s">
        <v>3856</v>
      </c>
      <c r="N1693" s="16" t="s">
        <v>3714</v>
      </c>
      <c r="O1693" s="18" t="s">
        <v>1857</v>
      </c>
      <c r="P1693" s="18" t="s">
        <v>3557</v>
      </c>
      <c r="Q1693" s="29" t="str" cm="1">
        <f t="array" ref="Q1693">_xlfn.IFS(
A1693="","",
AND(A1693&lt;&gt;"",B1693=""),"FALTA LANÇAMENTO",
AND(B1693&lt;&gt;"",M1693=""),"FALTA O PEDIDO",
AND(M1693&lt;&gt;"",O1693=""),"FALTA NF",
O1693&lt;&gt;"","CONCLUÍDO")</f>
        <v>CONCLUÍDO</v>
      </c>
      <c r="R1693" s="36"/>
    </row>
    <row r="1694" spans="1:18" hidden="1">
      <c r="A1694" s="16">
        <v>46169</v>
      </c>
      <c r="B1694" s="16">
        <v>46170</v>
      </c>
      <c r="C1694" s="21">
        <v>51521056</v>
      </c>
      <c r="D1694" s="16" t="str">
        <f>IFERROR(VLOOKUP(Tabela5[[#This Row],[PREFIXO ]],Tabela4[#All],2,0),"CENTRO DE CUSTO")</f>
        <v>COLHED ALGODÃO JOHN DEERE CP 690</v>
      </c>
      <c r="E1694" s="18" t="s">
        <v>255</v>
      </c>
      <c r="F1694" s="21">
        <v>979</v>
      </c>
      <c r="G1694" s="22">
        <v>1125.92</v>
      </c>
      <c r="H1694" s="22"/>
      <c r="I1694" s="22">
        <f t="shared" si="27"/>
        <v>1125.92</v>
      </c>
      <c r="J1694" s="18" t="s">
        <v>1123</v>
      </c>
      <c r="K1694" s="18" t="s">
        <v>3861</v>
      </c>
      <c r="L1694" s="18" t="s">
        <v>3855</v>
      </c>
      <c r="M1694" s="18" t="s">
        <v>3856</v>
      </c>
      <c r="N1694" s="16" t="s">
        <v>3714</v>
      </c>
      <c r="O1694" s="18" t="s">
        <v>1857</v>
      </c>
      <c r="P1694" s="18" t="s">
        <v>3557</v>
      </c>
      <c r="Q1694" s="29" t="str" cm="1">
        <f t="array" ref="Q1694">_xlfn.IFS(
A1694="","",
AND(A1694&lt;&gt;"",B1694=""),"FALTA LANÇAMENTO",
AND(B1694&lt;&gt;"",M1694=""),"FALTA O PEDIDO",
AND(M1694&lt;&gt;"",O1694=""),"FALTA NF",
O1694&lt;&gt;"","CONCLUÍDO")</f>
        <v>CONCLUÍDO</v>
      </c>
      <c r="R1694" s="36"/>
    </row>
    <row r="1695" spans="1:18" hidden="1">
      <c r="A1695" s="16">
        <v>46169</v>
      </c>
      <c r="B1695" s="16">
        <v>46170</v>
      </c>
      <c r="C1695" s="21">
        <v>1173013</v>
      </c>
      <c r="D1695" s="16" t="str">
        <f>IFERROR(VLOOKUP(Tabela5[[#This Row],[PREFIXO ]],Tabela4[#All],2,0),"CENTRO DE CUSTO")</f>
        <v>TRAT PN MED N.HOLLAND 7630</v>
      </c>
      <c r="E1695" s="18" t="s">
        <v>255</v>
      </c>
      <c r="F1695" s="21">
        <v>981</v>
      </c>
      <c r="G1695" s="22">
        <v>1100</v>
      </c>
      <c r="H1695" s="22"/>
      <c r="I1695" s="22">
        <f t="shared" si="27"/>
        <v>1100</v>
      </c>
      <c r="J1695" s="18" t="s">
        <v>1123</v>
      </c>
      <c r="K1695" s="18" t="s">
        <v>3862</v>
      </c>
      <c r="L1695" s="18" t="s">
        <v>3855</v>
      </c>
      <c r="M1695" s="18" t="s">
        <v>3856</v>
      </c>
      <c r="N1695" s="16" t="s">
        <v>3714</v>
      </c>
      <c r="O1695" s="18" t="s">
        <v>1857</v>
      </c>
      <c r="P1695" s="18" t="s">
        <v>3557</v>
      </c>
      <c r="Q1695" s="29" t="str" cm="1">
        <f t="array" ref="Q1695">_xlfn.IFS(
A1695="","",
AND(A1695&lt;&gt;"",B1695=""),"FALTA LANÇAMENTO",
AND(B1695&lt;&gt;"",M1695=""),"FALTA O PEDIDO",
AND(M1695&lt;&gt;"",O1695=""),"FALTA NF",
O1695&lt;&gt;"","CONCLUÍDO")</f>
        <v>CONCLUÍDO</v>
      </c>
      <c r="R1695" s="36"/>
    </row>
    <row r="1696" spans="1:18" hidden="1">
      <c r="A1696" s="30">
        <v>46169</v>
      </c>
      <c r="B1696" s="30">
        <v>46170</v>
      </c>
      <c r="C1696" s="31">
        <v>15770028</v>
      </c>
      <c r="D1696" s="16" t="str">
        <f>IFERROR(VLOOKUP(Tabela5[[#This Row],[PREFIXO ]],Tabela4[#All],2,0),"CENTRO DE CUSTO")</f>
        <v>PLATAF ROÇAGEM WATANABE MAVERICK</v>
      </c>
      <c r="E1696" s="33" t="s">
        <v>255</v>
      </c>
      <c r="F1696" s="31">
        <v>980</v>
      </c>
      <c r="G1696" s="22">
        <v>900</v>
      </c>
      <c r="H1696" s="32"/>
      <c r="I1696" s="32">
        <f t="shared" si="27"/>
        <v>900</v>
      </c>
      <c r="J1696" s="18" t="s">
        <v>1123</v>
      </c>
      <c r="K1696" s="33" t="s">
        <v>3863</v>
      </c>
      <c r="L1696" s="33" t="s">
        <v>3855</v>
      </c>
      <c r="M1696" s="33" t="s">
        <v>3856</v>
      </c>
      <c r="N1696" s="30" t="s">
        <v>3714</v>
      </c>
      <c r="O1696" s="33" t="s">
        <v>1857</v>
      </c>
      <c r="P1696" s="33" t="s">
        <v>3557</v>
      </c>
      <c r="Q1696" s="39" t="str" cm="1">
        <f t="array" ref="Q1696">_xlfn.IFS(
A1696="","",
AND(A1696&lt;&gt;"",B1696=""),"FALTA LANÇAMENTO",
AND(B1696&lt;&gt;"",M1696=""),"FALTA O PEDIDO",
AND(M1696&lt;&gt;"",O1696=""),"FALTA NF",
O1696&lt;&gt;"","CONCLUÍDO")</f>
        <v>CONCLUÍDO</v>
      </c>
      <c r="R1696" s="37"/>
    </row>
    <row r="1697" spans="1:18" hidden="1">
      <c r="A1697" s="30">
        <v>46169</v>
      </c>
      <c r="B1697" s="30">
        <v>46170</v>
      </c>
      <c r="C1697" s="31">
        <v>11521004</v>
      </c>
      <c r="D1697" s="30" t="str">
        <f>IFERROR(VLOOKUP(Tabela5[[#This Row],[PREFIXO ]],Tabela4[#All],2,0),"CENTRO DE CUSTO")</f>
        <v>TRAT PN EXT PES CASE STEIGER 620</v>
      </c>
      <c r="E1697" s="18" t="s">
        <v>255</v>
      </c>
      <c r="F1697" s="31">
        <v>975</v>
      </c>
      <c r="G1697" s="32">
        <v>900</v>
      </c>
      <c r="H1697" s="32"/>
      <c r="I1697" s="32">
        <f t="shared" si="27"/>
        <v>900</v>
      </c>
      <c r="J1697" s="18" t="s">
        <v>1123</v>
      </c>
      <c r="K1697" s="33" t="s">
        <v>3864</v>
      </c>
      <c r="L1697" s="33" t="s">
        <v>3855</v>
      </c>
      <c r="M1697" s="33" t="s">
        <v>3856</v>
      </c>
      <c r="N1697" s="30" t="s">
        <v>3714</v>
      </c>
      <c r="O1697" s="33" t="s">
        <v>1857</v>
      </c>
      <c r="P1697" s="33" t="s">
        <v>3557</v>
      </c>
      <c r="Q1697" s="39" t="str" cm="1">
        <f t="array" ref="Q1697">_xlfn.IFS(
A1697="","",
AND(A1697&lt;&gt;"",B1697=""),"FALTA LANÇAMENTO",
AND(B1697&lt;&gt;"",M1697=""),"FALTA O PEDIDO",
AND(M1697&lt;&gt;"",O1697=""),"FALTA NF",
O1697&lt;&gt;"","CONCLUÍDO")</f>
        <v>CONCLUÍDO</v>
      </c>
      <c r="R1697" s="37"/>
    </row>
    <row r="1698" spans="1:18" hidden="1">
      <c r="A1698" s="30">
        <v>46169</v>
      </c>
      <c r="B1698" s="30">
        <v>46170</v>
      </c>
      <c r="C1698" s="31">
        <v>51521045</v>
      </c>
      <c r="D1698" s="30" t="str">
        <f>IFERROR(VLOOKUP(Tabela5[[#This Row],[PREFIXO ]],Tabela4[#All],2,0),"CENTRO DE CUSTO")</f>
        <v>COLHED ALGODÃO JOHN DEERE CP 690</v>
      </c>
      <c r="E1698" s="33" t="s">
        <v>255</v>
      </c>
      <c r="F1698" s="31">
        <v>978</v>
      </c>
      <c r="G1698" s="32">
        <v>400</v>
      </c>
      <c r="H1698" s="32"/>
      <c r="I1698" s="32">
        <f t="shared" si="27"/>
        <v>400</v>
      </c>
      <c r="J1698" s="18" t="s">
        <v>1123</v>
      </c>
      <c r="K1698" s="33" t="s">
        <v>3865</v>
      </c>
      <c r="L1698" s="33" t="s">
        <v>3855</v>
      </c>
      <c r="M1698" s="33" t="s">
        <v>3856</v>
      </c>
      <c r="N1698" s="30" t="s">
        <v>3714</v>
      </c>
      <c r="O1698" s="33" t="s">
        <v>1857</v>
      </c>
      <c r="P1698" s="33" t="s">
        <v>3557</v>
      </c>
      <c r="Q1698" s="39" t="str" cm="1">
        <f t="array" ref="Q1698">_xlfn.IFS(
A1698="","",
AND(A1698&lt;&gt;"",B1698=""),"FALTA LANÇAMENTO",
AND(B1698&lt;&gt;"",M1698=""),"FALTA O PEDIDO",
AND(M1698&lt;&gt;"",O1698=""),"FALTA NF",
O1698&lt;&gt;"","CONCLUÍDO")</f>
        <v>CONCLUÍDO</v>
      </c>
      <c r="R1698" s="37"/>
    </row>
    <row r="1699" spans="1:18" hidden="1">
      <c r="A1699" s="30">
        <v>46169</v>
      </c>
      <c r="B1699" s="30">
        <v>46177</v>
      </c>
      <c r="C1699" s="31">
        <v>31521018</v>
      </c>
      <c r="D1699" s="30" t="str">
        <f>IFERROR(VLOOKUP(Tabela5[[#This Row],[PREFIXO ]],Tabela4[#All],2,0),"CENTRO DE CUSTO")</f>
        <v>PULV AUTOPROP JACTO UNIPORT 3030</v>
      </c>
      <c r="E1699" s="33" t="s">
        <v>367</v>
      </c>
      <c r="F1699" s="31">
        <v>60</v>
      </c>
      <c r="G1699" s="32">
        <v>1498</v>
      </c>
      <c r="H1699" s="32"/>
      <c r="I1699" s="32">
        <f t="shared" si="27"/>
        <v>1498</v>
      </c>
      <c r="J1699" s="18" t="s">
        <v>1265</v>
      </c>
      <c r="K1699" s="33" t="s">
        <v>3866</v>
      </c>
      <c r="L1699" s="33" t="s">
        <v>3867</v>
      </c>
      <c r="M1699" s="33" t="s">
        <v>3868</v>
      </c>
      <c r="N1699" s="30" t="s">
        <v>3440</v>
      </c>
      <c r="O1699" s="33" t="s">
        <v>2886</v>
      </c>
      <c r="P1699" s="33" t="s">
        <v>3869</v>
      </c>
      <c r="Q1699" s="39" t="str" cm="1">
        <f t="array" ref="Q1699">_xlfn.IFS(
A1699="","",
AND(A1699&lt;&gt;"",B1699=""),"FALTA LANÇAMENTO",
AND(B1699&lt;&gt;"",M1699=""),"FALTA O PEDIDO",
AND(M1699&lt;&gt;"",O1699=""),"FALTA NF",
O1699&lt;&gt;"","CONCLUÍDO")</f>
        <v>CONCLUÍDO</v>
      </c>
      <c r="R1699" s="37"/>
    </row>
    <row r="1700" spans="1:18" hidden="1">
      <c r="A1700" s="30">
        <v>46169</v>
      </c>
      <c r="B1700" s="30">
        <v>46171</v>
      </c>
      <c r="C1700" s="31">
        <v>31521011</v>
      </c>
      <c r="D1700" s="30" t="str">
        <f>IFERROR(VLOOKUP(Tabela5[[#This Row],[PREFIXO ]],Tabela4[#All],2,0),"CENTRO DE CUSTO")</f>
        <v>PULV AUTOPROP JACTO UNIPORT 3030</v>
      </c>
      <c r="E1700" s="18" t="s">
        <v>67</v>
      </c>
      <c r="F1700" s="31">
        <v>181</v>
      </c>
      <c r="G1700" s="32">
        <v>645</v>
      </c>
      <c r="H1700" s="32"/>
      <c r="I1700" s="32">
        <f t="shared" si="27"/>
        <v>645</v>
      </c>
      <c r="J1700" s="18" t="s">
        <v>1265</v>
      </c>
      <c r="K1700" s="33" t="s">
        <v>3870</v>
      </c>
      <c r="L1700" s="33" t="s">
        <v>3782</v>
      </c>
      <c r="M1700" s="33" t="s">
        <v>3783</v>
      </c>
      <c r="N1700" s="30">
        <v>46171</v>
      </c>
      <c r="O1700" s="33" t="s">
        <v>3784</v>
      </c>
      <c r="P1700" s="33" t="s">
        <v>3557</v>
      </c>
      <c r="Q1700" s="39" t="str" cm="1">
        <f t="array" ref="Q1700">_xlfn.IFS(
A1700="","",
AND(A1700&lt;&gt;"",B1700=""),"FALTA LANÇAMENTO",
AND(B1700&lt;&gt;"",M1700=""),"FALTA O PEDIDO",
AND(M1700&lt;&gt;"",O1700=""),"FALTA NF",
O1700&lt;&gt;"","CONCLUÍDO")</f>
        <v>CONCLUÍDO</v>
      </c>
      <c r="R1700" s="36"/>
    </row>
    <row r="1701" spans="1:18" hidden="1">
      <c r="A1701" s="30">
        <v>46169</v>
      </c>
      <c r="B1701" s="30">
        <v>46171</v>
      </c>
      <c r="C1701" s="31">
        <v>51521053</v>
      </c>
      <c r="D1701" s="30" t="str">
        <f>IFERROR(VLOOKUP(Tabela5[[#This Row],[PREFIXO ]],Tabela4[#All],2,0),"CENTRO DE CUSTO")</f>
        <v>COLHED ALGODÃO JOHN DEERE CP 690</v>
      </c>
      <c r="E1701" s="33" t="s">
        <v>96</v>
      </c>
      <c r="F1701" s="31" t="s">
        <v>3871</v>
      </c>
      <c r="G1701" s="32">
        <v>2043</v>
      </c>
      <c r="H1701" s="32">
        <v>1372.39</v>
      </c>
      <c r="I1701" s="32">
        <f t="shared" si="27"/>
        <v>3415.3900000000003</v>
      </c>
      <c r="J1701" s="18" t="s">
        <v>1123</v>
      </c>
      <c r="K1701" s="33" t="s">
        <v>3872</v>
      </c>
      <c r="L1701" s="33" t="s">
        <v>3873</v>
      </c>
      <c r="M1701" s="33" t="s">
        <v>3874</v>
      </c>
      <c r="N1701" s="30">
        <v>46171</v>
      </c>
      <c r="O1701" s="33" t="s">
        <v>3875</v>
      </c>
      <c r="P1701" s="33" t="s">
        <v>3532</v>
      </c>
      <c r="Q1701" s="39" t="str" cm="1">
        <f t="array" ref="Q1701">_xlfn.IFS(
A1701="","",
AND(A1701&lt;&gt;"",B1701=""),"FALTA LANÇAMENTO",
AND(B1701&lt;&gt;"",M1701=""),"FALTA O PEDIDO",
AND(M1701&lt;&gt;"",O1701=""),"FALTA NF",
O1701&lt;&gt;"","CONCLUÍDO")</f>
        <v>CONCLUÍDO</v>
      </c>
      <c r="R1701" s="37"/>
    </row>
    <row r="1702" spans="1:18" hidden="1">
      <c r="A1702" s="30">
        <v>46169</v>
      </c>
      <c r="B1702" s="30">
        <v>46171</v>
      </c>
      <c r="C1702" s="31">
        <v>500580325</v>
      </c>
      <c r="D1702" s="30" t="str">
        <f>IFERROR(VLOOKUP(Tabela5[[#This Row],[PREFIXO ]],Tabela4[#All],2,0),"CENTRO DE CUSTO")</f>
        <v>Colheitad. Alg Auto</v>
      </c>
      <c r="E1702" s="33" t="s">
        <v>70</v>
      </c>
      <c r="F1702" s="31">
        <v>22887</v>
      </c>
      <c r="G1702" s="32">
        <v>5500</v>
      </c>
      <c r="H1702" s="32"/>
      <c r="I1702" s="32">
        <f t="shared" si="27"/>
        <v>5500</v>
      </c>
      <c r="J1702" s="18" t="s">
        <v>1123</v>
      </c>
      <c r="K1702" s="33" t="s">
        <v>3876</v>
      </c>
      <c r="L1702" s="33" t="s">
        <v>3877</v>
      </c>
      <c r="M1702" s="33" t="s">
        <v>3878</v>
      </c>
      <c r="N1702" s="30">
        <v>46171</v>
      </c>
      <c r="O1702" s="33" t="s">
        <v>3879</v>
      </c>
      <c r="P1702" s="33" t="s">
        <v>3880</v>
      </c>
      <c r="Q1702" s="39" t="str" cm="1">
        <f t="array" ref="Q1702">_xlfn.IFS(
A1702="","",
AND(A1702&lt;&gt;"",B1702=""),"FALTA LANÇAMENTO",
AND(B1702&lt;&gt;"",M1702=""),"FALTA O PEDIDO",
AND(M1702&lt;&gt;"",O1702=""),"FALTA NF",
O1702&lt;&gt;"","CONCLUÍDO")</f>
        <v>CONCLUÍDO</v>
      </c>
      <c r="R1702" s="37"/>
    </row>
    <row r="1703" spans="1:18" hidden="1">
      <c r="A1703" s="30">
        <v>46169</v>
      </c>
      <c r="B1703" s="30">
        <v>46171</v>
      </c>
      <c r="C1703" s="21">
        <v>51521057</v>
      </c>
      <c r="D1703" s="30" t="str">
        <f>IFERROR(VLOOKUP(Tabela5[[#This Row],[PREFIXO ]],Tabela4[#All],2,0),"CENTRO DE CUSTO")</f>
        <v>COLHED ALGODÃO JOHN DEERE CP 690</v>
      </c>
      <c r="E1703" s="33" t="s">
        <v>70</v>
      </c>
      <c r="F1703" s="31">
        <v>23188</v>
      </c>
      <c r="G1703" s="32">
        <v>7210</v>
      </c>
      <c r="H1703" s="32"/>
      <c r="I1703" s="32">
        <f t="shared" si="27"/>
        <v>7210</v>
      </c>
      <c r="J1703" s="18" t="s">
        <v>1123</v>
      </c>
      <c r="K1703" s="33" t="s">
        <v>3881</v>
      </c>
      <c r="L1703" s="33" t="s">
        <v>3882</v>
      </c>
      <c r="M1703" s="33" t="s">
        <v>3883</v>
      </c>
      <c r="N1703" s="30">
        <v>46181</v>
      </c>
      <c r="O1703" s="33" t="s">
        <v>3884</v>
      </c>
      <c r="P1703" s="33" t="s">
        <v>3880</v>
      </c>
      <c r="Q1703" s="39" t="str" cm="1">
        <f t="array" ref="Q1703">_xlfn.IFS(
A1703="","",
AND(A1703&lt;&gt;"",B1703=""),"FALTA LANÇAMENTO",
AND(B1703&lt;&gt;"",M1703=""),"FALTA O PEDIDO",
AND(M1703&lt;&gt;"",O1703=""),"FALTA NF",
O1703&lt;&gt;"","CONCLUÍDO")</f>
        <v>CONCLUÍDO</v>
      </c>
      <c r="R1703" s="37"/>
    </row>
    <row r="1704" spans="1:18" hidden="1">
      <c r="A1704" s="30">
        <v>46169</v>
      </c>
      <c r="B1704" s="16">
        <v>46171</v>
      </c>
      <c r="C1704" s="21">
        <v>51521054</v>
      </c>
      <c r="D1704" s="16" t="str">
        <f>IFERROR(VLOOKUP(Tabela5[[#This Row],[PREFIXO ]],Tabela4[#All],2,0),"CENTRO DE CUSTO")</f>
        <v>COLHED ALGODÃO JOHN DEERE CP 690</v>
      </c>
      <c r="E1704" s="18" t="s">
        <v>96</v>
      </c>
      <c r="F1704" s="21" t="s">
        <v>3885</v>
      </c>
      <c r="G1704" s="22">
        <v>1534.5</v>
      </c>
      <c r="H1704" s="22">
        <v>4289.4399999999996</v>
      </c>
      <c r="I1704" s="22">
        <f t="shared" si="27"/>
        <v>5823.94</v>
      </c>
      <c r="J1704" s="18" t="s">
        <v>1123</v>
      </c>
      <c r="K1704" s="18" t="s">
        <v>3886</v>
      </c>
      <c r="L1704" s="18" t="s">
        <v>3887</v>
      </c>
      <c r="M1704" s="18" t="s">
        <v>3888</v>
      </c>
      <c r="N1704" s="16">
        <v>46171</v>
      </c>
      <c r="O1704" s="18" t="s">
        <v>3889</v>
      </c>
      <c r="P1704" s="18" t="s">
        <v>3532</v>
      </c>
      <c r="Q1704" s="29" t="str" cm="1">
        <f t="array" ref="Q1704">_xlfn.IFS(
A1704="","",
AND(A1704&lt;&gt;"",B1704=""),"FALTA LANÇAMENTO",
AND(B1704&lt;&gt;"",M1704=""),"FALTA O PEDIDO",
AND(M1704&lt;&gt;"",O1704=""),"FALTA NF",
O1704&lt;&gt;"","CONCLUÍDO")</f>
        <v>CONCLUÍDO</v>
      </c>
      <c r="R1704" s="36"/>
    </row>
    <row r="1705" spans="1:18" hidden="1">
      <c r="A1705" s="30">
        <v>46169</v>
      </c>
      <c r="B1705" s="16">
        <v>46171</v>
      </c>
      <c r="C1705" s="21">
        <v>51521072</v>
      </c>
      <c r="D1705" s="16" t="str">
        <f>IFERROR(VLOOKUP(Tabela5[[#This Row],[PREFIXO ]],Tabela4[#All],2,0),"CENTRO DE CUSTO")</f>
        <v>COLHED ALGODÃO JOHN DEERE CP 690</v>
      </c>
      <c r="E1705" s="18" t="s">
        <v>70</v>
      </c>
      <c r="F1705" s="21">
        <v>23189</v>
      </c>
      <c r="G1705" s="22">
        <v>8920</v>
      </c>
      <c r="H1705" s="22"/>
      <c r="I1705" s="22">
        <f t="shared" si="27"/>
        <v>8920</v>
      </c>
      <c r="J1705" s="18" t="s">
        <v>1123</v>
      </c>
      <c r="K1705" s="18" t="s">
        <v>3890</v>
      </c>
      <c r="L1705" s="18" t="s">
        <v>3891</v>
      </c>
      <c r="M1705" s="18" t="s">
        <v>3892</v>
      </c>
      <c r="N1705" s="16">
        <v>46181</v>
      </c>
      <c r="O1705" s="18" t="s">
        <v>3893</v>
      </c>
      <c r="P1705" s="18" t="s">
        <v>3880</v>
      </c>
      <c r="Q1705" s="29" t="str" cm="1">
        <f t="array" ref="Q1705">_xlfn.IFS(
A1705="","",
AND(A1705&lt;&gt;"",B1705=""),"FALTA LANÇAMENTO",
AND(B1705&lt;&gt;"",M1705=""),"FALTA O PEDIDO",
AND(M1705&lt;&gt;"",O1705=""),"FALTA NF",
O1705&lt;&gt;"","CONCLUÍDO")</f>
        <v>CONCLUÍDO</v>
      </c>
      <c r="R1705" s="36"/>
    </row>
    <row r="1706" spans="1:18" hidden="1">
      <c r="A1706" s="30">
        <v>46170</v>
      </c>
      <c r="B1706" s="16">
        <v>46171</v>
      </c>
      <c r="C1706" s="21">
        <v>23220003</v>
      </c>
      <c r="D1706" s="16" t="str">
        <f>IFERROR(VLOOKUP(Tabela5[[#This Row],[PREFIXO ]],Tabela4[#All],2,0),"CENTRO DE CUSTO")</f>
        <v>COLHED ALGODÃO JOHN DEERE CP 770</v>
      </c>
      <c r="E1706" s="18" t="s">
        <v>162</v>
      </c>
      <c r="F1706" s="21">
        <v>75474</v>
      </c>
      <c r="G1706" s="22">
        <v>3802.3</v>
      </c>
      <c r="H1706" s="22"/>
      <c r="I1706" s="22">
        <f t="shared" si="27"/>
        <v>3802.3</v>
      </c>
      <c r="J1706" s="18" t="s">
        <v>1123</v>
      </c>
      <c r="K1706" s="18" t="s">
        <v>3894</v>
      </c>
      <c r="L1706" s="18" t="s">
        <v>3895</v>
      </c>
      <c r="M1706" s="18" t="s">
        <v>3896</v>
      </c>
      <c r="N1706" s="16">
        <v>46171</v>
      </c>
      <c r="O1706" s="18"/>
      <c r="P1706" s="18"/>
      <c r="Q1706" s="16" t="str" cm="1">
        <f t="array" ref="Q1706">_xlfn.IFS(
A1706="","",
AND(A1706&lt;&gt;"",B1706=""),"FALTA LANÇAMENTO",
AND(B1706&lt;&gt;"",M1706=""),"FALTA O PEDIDO",
AND(M1706&lt;&gt;"",O1706=""),"FALTA NF",
O1706&lt;&gt;"","CONCLUÍDO")</f>
        <v>FALTA NF</v>
      </c>
      <c r="R1706" s="36"/>
    </row>
    <row r="1707" spans="1:18" hidden="1">
      <c r="A1707" s="30">
        <v>46175</v>
      </c>
      <c r="B1707" s="16">
        <v>46184</v>
      </c>
      <c r="C1707" s="21">
        <v>500580263</v>
      </c>
      <c r="D1707" s="16" t="str">
        <f>IFERROR(VLOOKUP(Tabela5[[#This Row],[PREFIXO ]],Tabela4[#All],2,0),"CENTRO DE CUSTO")</f>
        <v>Colheit. Grãos-Axial</v>
      </c>
      <c r="E1707" s="18" t="s">
        <v>293</v>
      </c>
      <c r="F1707" s="21">
        <v>60</v>
      </c>
      <c r="G1707" s="22">
        <v>29132</v>
      </c>
      <c r="H1707" s="22"/>
      <c r="I1707" s="22">
        <f t="shared" si="27"/>
        <v>29132</v>
      </c>
      <c r="J1707" s="18" t="s">
        <v>1113</v>
      </c>
      <c r="K1707" s="18" t="s">
        <v>3897</v>
      </c>
      <c r="L1707" s="18" t="s">
        <v>3898</v>
      </c>
      <c r="M1707" s="18">
        <v>41887271</v>
      </c>
      <c r="N1707" s="16">
        <v>46185</v>
      </c>
      <c r="O1707" s="18" t="s">
        <v>3455</v>
      </c>
      <c r="P1707" s="18" t="s">
        <v>3291</v>
      </c>
      <c r="Q1707" s="16" t="str" cm="1">
        <f t="array" ref="Q1707">_xlfn.IFS(
A1707="","",
AND(A1707&lt;&gt;"",B1707=""),"FALTA LANÇAMENTO",
AND(B1707&lt;&gt;"",M1707=""),"FALTA O PEDIDO",
AND(M1707&lt;&gt;"",O1707=""),"FALTA NF",
O1707&lt;&gt;"","CONCLUÍDO")</f>
        <v>CONCLUÍDO</v>
      </c>
      <c r="R1707" s="36"/>
    </row>
    <row r="1708" spans="1:18" hidden="1">
      <c r="A1708" s="30">
        <v>46175</v>
      </c>
      <c r="B1708" s="16">
        <v>46178</v>
      </c>
      <c r="C1708" s="21">
        <v>51519055</v>
      </c>
      <c r="D1708" s="16" t="str">
        <f>IFERROR(VLOOKUP(Tabela5[[#This Row],[PREFIXO ]],Tabela4[#All],2,0),"CENTRO DE CUSTO")</f>
        <v>COLHED ALGODÃO JOHN DEERE CP 770</v>
      </c>
      <c r="E1708" s="18" t="s">
        <v>16</v>
      </c>
      <c r="F1708" s="21">
        <v>479</v>
      </c>
      <c r="G1708" s="22">
        <v>29920</v>
      </c>
      <c r="H1708" s="22"/>
      <c r="I1708" s="22">
        <f t="shared" si="27"/>
        <v>29920</v>
      </c>
      <c r="J1708" s="18" t="s">
        <v>1123</v>
      </c>
      <c r="K1708" s="18" t="s">
        <v>3899</v>
      </c>
      <c r="L1708" s="18" t="s">
        <v>3900</v>
      </c>
      <c r="M1708" s="18">
        <v>41882123</v>
      </c>
      <c r="N1708" s="16">
        <v>46178</v>
      </c>
      <c r="O1708" s="18" t="s">
        <v>2769</v>
      </c>
      <c r="P1708" s="18" t="s">
        <v>3901</v>
      </c>
      <c r="Q1708" s="16" t="str" cm="1">
        <f t="array" ref="Q1708">_xlfn.IFS(
A1708="","",
AND(A1708&lt;&gt;"",B1708=""),"FALTA LANÇAMENTO",
AND(B1708&lt;&gt;"",M1708=""),"FALTA O PEDIDO",
AND(M1708&lt;&gt;"",O1708=""),"FALTA NF",
O1708&lt;&gt;"","CONCLUÍDO")</f>
        <v>CONCLUÍDO</v>
      </c>
      <c r="R1708" s="36"/>
    </row>
    <row r="1709" spans="1:18" hidden="1">
      <c r="A1709" s="30">
        <v>46175</v>
      </c>
      <c r="B1709" s="16">
        <v>46188</v>
      </c>
      <c r="C1709" s="21">
        <v>51519059</v>
      </c>
      <c r="D1709" s="16" t="str">
        <f>IFERROR(VLOOKUP(Tabela5[[#This Row],[PREFIXO ]],Tabela4[#All],2,0),"CENTRO DE CUSTO")</f>
        <v>CENTRO DE CUSTO</v>
      </c>
      <c r="E1709" s="18" t="s">
        <v>16</v>
      </c>
      <c r="F1709" s="21">
        <v>480</v>
      </c>
      <c r="G1709" s="22">
        <v>29920</v>
      </c>
      <c r="H1709" s="22"/>
      <c r="I1709" s="22">
        <f t="shared" si="27"/>
        <v>29920</v>
      </c>
      <c r="J1709" s="18" t="s">
        <v>1123</v>
      </c>
      <c r="K1709" s="18" t="s">
        <v>3902</v>
      </c>
      <c r="L1709" s="18" t="s">
        <v>3903</v>
      </c>
      <c r="M1709" s="18">
        <v>41889230</v>
      </c>
      <c r="N1709" s="16">
        <v>46189</v>
      </c>
      <c r="O1709" s="18" t="s">
        <v>2688</v>
      </c>
      <c r="P1709" s="18" t="s">
        <v>3869</v>
      </c>
      <c r="Q1709" s="16" t="str" cm="1">
        <f t="array" ref="Q1709">_xlfn.IFS(
A1709="","",
AND(A1709&lt;&gt;"",B1709=""),"FALTA LANÇAMENTO",
AND(B1709&lt;&gt;"",M1709=""),"FALTA O PEDIDO",
AND(M1709&lt;&gt;"",O1709=""),"FALTA NF",
O1709&lt;&gt;"","CONCLUÍDO")</f>
        <v>CONCLUÍDO</v>
      </c>
      <c r="R1709" s="36"/>
    </row>
    <row r="1710" spans="1:18" hidden="1">
      <c r="A1710" s="30">
        <v>46175</v>
      </c>
      <c r="B1710" s="16">
        <v>46178</v>
      </c>
      <c r="C1710" s="21">
        <v>51521071</v>
      </c>
      <c r="D1710" s="16" t="str">
        <f>IFERROR(VLOOKUP(Tabela5[[#This Row],[PREFIXO ]],Tabela4[#All],2,0),"CENTRO DE CUSTO")</f>
        <v>COLHED ALGODÃO JOHN DEERE CP 690</v>
      </c>
      <c r="E1710" s="18" t="s">
        <v>16</v>
      </c>
      <c r="F1710" s="21">
        <v>473</v>
      </c>
      <c r="G1710" s="22">
        <v>7980</v>
      </c>
      <c r="H1710" s="22"/>
      <c r="I1710" s="22">
        <f t="shared" si="27"/>
        <v>7980</v>
      </c>
      <c r="J1710" s="18" t="s">
        <v>1123</v>
      </c>
      <c r="K1710" s="18" t="s">
        <v>3904</v>
      </c>
      <c r="L1710" s="18" t="s">
        <v>3900</v>
      </c>
      <c r="M1710" s="18">
        <v>41882123</v>
      </c>
      <c r="N1710" s="16">
        <v>46178</v>
      </c>
      <c r="O1710" s="18" t="s">
        <v>2769</v>
      </c>
      <c r="P1710" s="18" t="s">
        <v>3901</v>
      </c>
      <c r="Q1710" s="16" t="str" cm="1">
        <f t="array" ref="Q1710">_xlfn.IFS(
A1710="","",
AND(A1710&lt;&gt;"",B1710=""),"FALTA LANÇAMENTO",
AND(B1710&lt;&gt;"",M1710=""),"FALTA O PEDIDO",
AND(M1710&lt;&gt;"",O1710=""),"FALTA NF",
O1710&lt;&gt;"","CONCLUÍDO")</f>
        <v>CONCLUÍDO</v>
      </c>
      <c r="R1710" s="36"/>
    </row>
    <row r="1711" spans="1:18" hidden="1">
      <c r="A1711" s="30">
        <v>46175</v>
      </c>
      <c r="B1711" s="16">
        <v>46178</v>
      </c>
      <c r="C1711" s="21">
        <v>51521048</v>
      </c>
      <c r="D1711" s="16" t="str">
        <f>IFERROR(VLOOKUP(Tabela5[[#This Row],[PREFIXO ]],Tabela4[#All],2,0),"CENTRO DE CUSTO")</f>
        <v>COLHED ALGODÃO JOHN DEERE CP 690</v>
      </c>
      <c r="E1711" s="18" t="s">
        <v>16</v>
      </c>
      <c r="F1711" s="21">
        <v>474</v>
      </c>
      <c r="G1711" s="22">
        <v>7980</v>
      </c>
      <c r="H1711" s="22"/>
      <c r="I1711" s="22">
        <f t="shared" si="27"/>
        <v>7980</v>
      </c>
      <c r="J1711" s="18" t="s">
        <v>1123</v>
      </c>
      <c r="K1711" s="18" t="s">
        <v>3905</v>
      </c>
      <c r="L1711" s="18" t="s">
        <v>3900</v>
      </c>
      <c r="M1711" s="18">
        <v>41882123</v>
      </c>
      <c r="N1711" s="16">
        <v>46178</v>
      </c>
      <c r="O1711" s="18" t="s">
        <v>2769</v>
      </c>
      <c r="P1711" s="18" t="s">
        <v>3901</v>
      </c>
      <c r="Q1711" s="16" t="str" cm="1">
        <f t="array" ref="Q1711">_xlfn.IFS(
A1711="","",
AND(A1711&lt;&gt;"",B1711=""),"FALTA LANÇAMENTO",
AND(B1711&lt;&gt;"",M1711=""),"FALTA O PEDIDO",
AND(M1711&lt;&gt;"",O1711=""),"FALTA NF",
O1711&lt;&gt;"","CONCLUÍDO")</f>
        <v>CONCLUÍDO</v>
      </c>
      <c r="R1711" s="36"/>
    </row>
    <row r="1712" spans="1:18" hidden="1">
      <c r="A1712" s="30">
        <v>46175</v>
      </c>
      <c r="B1712" s="16">
        <v>46178</v>
      </c>
      <c r="C1712" s="21">
        <v>51521060</v>
      </c>
      <c r="D1712" s="16" t="str">
        <f>IFERROR(VLOOKUP(Tabela5[[#This Row],[PREFIXO ]],Tabela4[#All],2,0),"CENTRO DE CUSTO")</f>
        <v>COLHED ALGODÃO JOHN DEERE CP 690</v>
      </c>
      <c r="E1712" s="18" t="s">
        <v>16</v>
      </c>
      <c r="F1712" s="21">
        <v>475</v>
      </c>
      <c r="G1712" s="22">
        <v>7980</v>
      </c>
      <c r="H1712" s="22"/>
      <c r="I1712" s="22">
        <f t="shared" si="27"/>
        <v>7980</v>
      </c>
      <c r="J1712" s="18" t="s">
        <v>1123</v>
      </c>
      <c r="K1712" s="18" t="s">
        <v>3906</v>
      </c>
      <c r="L1712" s="18" t="s">
        <v>3900</v>
      </c>
      <c r="M1712" s="18">
        <v>41882123</v>
      </c>
      <c r="N1712" s="16">
        <v>46178</v>
      </c>
      <c r="O1712" s="18" t="s">
        <v>2769</v>
      </c>
      <c r="P1712" s="18" t="s">
        <v>3901</v>
      </c>
      <c r="Q1712" s="16" t="str" cm="1">
        <f t="array" ref="Q1712">_xlfn.IFS(
A1712="","",
AND(A1712&lt;&gt;"",B1712=""),"FALTA LANÇAMENTO",
AND(B1712&lt;&gt;"",M1712=""),"FALTA O PEDIDO",
AND(M1712&lt;&gt;"",O1712=""),"FALTA NF",
O1712&lt;&gt;"","CONCLUÍDO")</f>
        <v>CONCLUÍDO</v>
      </c>
      <c r="R1712" s="36"/>
    </row>
    <row r="1713" spans="1:18" hidden="1">
      <c r="A1713" s="30">
        <v>46175</v>
      </c>
      <c r="B1713" s="16">
        <v>46178</v>
      </c>
      <c r="C1713" s="21">
        <v>51521054</v>
      </c>
      <c r="D1713" s="16" t="str">
        <f>IFERROR(VLOOKUP(Tabela5[[#This Row],[PREFIXO ]],Tabela4[#All],2,0),"CENTRO DE CUSTO")</f>
        <v>COLHED ALGODÃO JOHN DEERE CP 690</v>
      </c>
      <c r="E1713" s="18" t="s">
        <v>16</v>
      </c>
      <c r="F1713" s="21">
        <v>476</v>
      </c>
      <c r="G1713" s="22">
        <v>7980</v>
      </c>
      <c r="H1713" s="22"/>
      <c r="I1713" s="22">
        <f t="shared" si="27"/>
        <v>7980</v>
      </c>
      <c r="J1713" s="18" t="s">
        <v>1123</v>
      </c>
      <c r="K1713" s="18" t="s">
        <v>3907</v>
      </c>
      <c r="L1713" s="18" t="s">
        <v>3900</v>
      </c>
      <c r="M1713" s="18">
        <v>41882123</v>
      </c>
      <c r="N1713" s="16">
        <v>46178</v>
      </c>
      <c r="O1713" s="18" t="s">
        <v>2769</v>
      </c>
      <c r="P1713" s="18" t="s">
        <v>3901</v>
      </c>
      <c r="Q1713" s="16" t="str" cm="1">
        <f t="array" ref="Q1713">_xlfn.IFS(
A1713="","",
AND(A1713&lt;&gt;"",B1713=""),"FALTA LANÇAMENTO",
AND(B1713&lt;&gt;"",M1713=""),"FALTA O PEDIDO",
AND(M1713&lt;&gt;"",O1713=""),"FALTA NF",
O1713&lt;&gt;"","CONCLUÍDO")</f>
        <v>CONCLUÍDO</v>
      </c>
      <c r="R1713" s="36"/>
    </row>
    <row r="1714" spans="1:18" hidden="1">
      <c r="A1714" s="30">
        <v>46175</v>
      </c>
      <c r="B1714" s="16">
        <v>46178</v>
      </c>
      <c r="C1714" s="21">
        <v>51521053</v>
      </c>
      <c r="D1714" s="16" t="str">
        <f>IFERROR(VLOOKUP(Tabela5[[#This Row],[PREFIXO ]],Tabela4[#All],2,0),"CENTRO DE CUSTO")</f>
        <v>COLHED ALGODÃO JOHN DEERE CP 690</v>
      </c>
      <c r="E1714" s="18" t="s">
        <v>16</v>
      </c>
      <c r="F1714" s="21">
        <v>477</v>
      </c>
      <c r="G1714" s="22">
        <v>7980</v>
      </c>
      <c r="H1714" s="22"/>
      <c r="I1714" s="22">
        <f t="shared" si="27"/>
        <v>7980</v>
      </c>
      <c r="J1714" s="18" t="s">
        <v>1123</v>
      </c>
      <c r="K1714" s="18" t="s">
        <v>3908</v>
      </c>
      <c r="L1714" s="18" t="s">
        <v>3900</v>
      </c>
      <c r="M1714" s="18">
        <v>41882123</v>
      </c>
      <c r="N1714" s="16">
        <v>46178</v>
      </c>
      <c r="O1714" s="18" t="s">
        <v>2769</v>
      </c>
      <c r="P1714" s="18" t="s">
        <v>3901</v>
      </c>
      <c r="Q1714" s="16" t="str" cm="1">
        <f t="array" ref="Q1714">_xlfn.IFS(
A1714="","",
AND(A1714&lt;&gt;"",B1714=""),"FALTA LANÇAMENTO",
AND(B1714&lt;&gt;"",M1714=""),"FALTA O PEDIDO",
AND(M1714&lt;&gt;"",O1714=""),"FALTA NF",
O1714&lt;&gt;"","CONCLUÍDO")</f>
        <v>CONCLUÍDO</v>
      </c>
      <c r="R1714" s="36"/>
    </row>
    <row r="1715" spans="1:18" hidden="1">
      <c r="A1715" s="30">
        <v>46175</v>
      </c>
      <c r="B1715" s="16">
        <v>46178</v>
      </c>
      <c r="C1715" s="21">
        <v>51521059</v>
      </c>
      <c r="D1715" s="16" t="str">
        <f>IFERROR(VLOOKUP(Tabela5[[#This Row],[PREFIXO ]],Tabela4[#All],2,0),"CENTRO DE CUSTO")</f>
        <v>COLHED ALGODÃO JOHN DEERE CP 690</v>
      </c>
      <c r="E1715" s="18" t="s">
        <v>16</v>
      </c>
      <c r="F1715" s="21">
        <v>478</v>
      </c>
      <c r="G1715" s="22">
        <v>7980</v>
      </c>
      <c r="H1715" s="22"/>
      <c r="I1715" s="22">
        <f t="shared" si="27"/>
        <v>7980</v>
      </c>
      <c r="J1715" s="18" t="s">
        <v>1123</v>
      </c>
      <c r="K1715" s="18" t="s">
        <v>3909</v>
      </c>
      <c r="L1715" s="18" t="s">
        <v>3900</v>
      </c>
      <c r="M1715" s="18">
        <v>41882123</v>
      </c>
      <c r="N1715" s="16">
        <v>46178</v>
      </c>
      <c r="O1715" s="18" t="s">
        <v>2769</v>
      </c>
      <c r="P1715" s="18" t="s">
        <v>3901</v>
      </c>
      <c r="Q1715" s="16" t="str" cm="1">
        <f t="array" ref="Q1715">_xlfn.IFS(
A1715="","",
AND(A1715&lt;&gt;"",B1715=""),"FALTA LANÇAMENTO",
AND(B1715&lt;&gt;"",M1715=""),"FALTA O PEDIDO",
AND(M1715&lt;&gt;"",O1715=""),"FALTA NF",
O1715&lt;&gt;"","CONCLUÍDO")</f>
        <v>CONCLUÍDO</v>
      </c>
      <c r="R1715" s="36"/>
    </row>
    <row r="1716" spans="1:18" hidden="1">
      <c r="A1716" s="30">
        <v>46175</v>
      </c>
      <c r="B1716" s="16">
        <v>46181</v>
      </c>
      <c r="C1716" s="21">
        <v>61521041</v>
      </c>
      <c r="D1716" s="16" t="str">
        <f>IFERROR(VLOOKUP(Tabela5[[#This Row],[PREFIXO ]],Tabela4[#All],2,0),"CENTRO DE CUSTO")</f>
        <v>ONIB RODOVIÁRIO MASCARELLO GRAN MIDI</v>
      </c>
      <c r="E1716" s="18" t="s">
        <v>24</v>
      </c>
      <c r="F1716" s="21" t="s">
        <v>3910</v>
      </c>
      <c r="G1716" s="22">
        <v>1980</v>
      </c>
      <c r="H1716" s="22">
        <v>58.5</v>
      </c>
      <c r="I1716" s="22">
        <f t="shared" si="27"/>
        <v>2038.5</v>
      </c>
      <c r="J1716" s="18" t="s">
        <v>1085</v>
      </c>
      <c r="K1716" s="18" t="s">
        <v>3911</v>
      </c>
      <c r="L1716" s="18" t="s">
        <v>3912</v>
      </c>
      <c r="M1716" s="18" t="s">
        <v>3913</v>
      </c>
      <c r="N1716" s="16">
        <v>46182</v>
      </c>
      <c r="O1716" s="18" t="s">
        <v>3914</v>
      </c>
      <c r="P1716" s="18" t="s">
        <v>3425</v>
      </c>
      <c r="Q1716" s="16" t="str" cm="1">
        <f t="array" ref="Q1716">_xlfn.IFS(
A1716="","",
AND(A1716&lt;&gt;"",B1716=""),"FALTA LANÇAMENTO",
AND(B1716&lt;&gt;"",M1716=""),"FALTA O PEDIDO",
AND(M1716&lt;&gt;"",O1716=""),"FALTA NF",
O1716&lt;&gt;"","CONCLUÍDO")</f>
        <v>CONCLUÍDO</v>
      </c>
      <c r="R1716" s="36"/>
    </row>
    <row r="1717" spans="1:18" hidden="1">
      <c r="A1717" s="30">
        <v>46175</v>
      </c>
      <c r="B1717" s="16">
        <v>46184</v>
      </c>
      <c r="C1717" s="21">
        <v>12060004</v>
      </c>
      <c r="D1717" s="16" t="str">
        <f>IFERROR(VLOOKUP(Tabela5[[#This Row],[PREFIXO ]],Tabela4[#All],2,0),"CENTRO DE CUSTO")</f>
        <v>ONIB RODOVIÁRIO MARCOPOLO NEOBUS MEGA</v>
      </c>
      <c r="E1717" s="18" t="s">
        <v>24</v>
      </c>
      <c r="F1717" s="21">
        <v>17363</v>
      </c>
      <c r="G1717" s="22">
        <v>445.5</v>
      </c>
      <c r="H1717" s="22"/>
      <c r="I1717" s="22">
        <f t="shared" si="27"/>
        <v>445.5</v>
      </c>
      <c r="J1717" s="18" t="s">
        <v>1085</v>
      </c>
      <c r="K1717" s="18" t="s">
        <v>3915</v>
      </c>
      <c r="L1717" s="18" t="s">
        <v>3916</v>
      </c>
      <c r="M1717" s="18" t="s">
        <v>3917</v>
      </c>
      <c r="N1717" s="16">
        <v>46186</v>
      </c>
      <c r="O1717" s="18" t="s">
        <v>3918</v>
      </c>
      <c r="P1717" s="18" t="s">
        <v>3808</v>
      </c>
      <c r="Q1717" s="16" t="str" cm="1">
        <f t="array" ref="Q1717">_xlfn.IFS(
A1717="","",
AND(A1717&lt;&gt;"",B1717=""),"FALTA LANÇAMENTO",
AND(B1717&lt;&gt;"",M1717=""),"FALTA O PEDIDO",
AND(M1717&lt;&gt;"",O1717=""),"FALTA NF",
O1717&lt;&gt;"","CONCLUÍDO")</f>
        <v>CONCLUÍDO</v>
      </c>
      <c r="R1717" s="36"/>
    </row>
    <row r="1718" spans="1:18" hidden="1">
      <c r="A1718" s="30">
        <v>46175</v>
      </c>
      <c r="B1718" s="16">
        <v>46197</v>
      </c>
      <c r="C1718" s="21">
        <v>61521083</v>
      </c>
      <c r="D1718" s="16" t="str">
        <f>IFERROR(VLOOKUP(Tabela5[[#This Row],[PREFIXO ]],Tabela4[#All],2,0),"CENTRO DE CUSTO")</f>
        <v>CAM COMBOIO VOLVO VM 330</v>
      </c>
      <c r="E1718" s="18" t="s">
        <v>29</v>
      </c>
      <c r="F1718" s="21">
        <v>55710</v>
      </c>
      <c r="G1718" s="22">
        <v>7628</v>
      </c>
      <c r="H1718" s="22">
        <v>32462</v>
      </c>
      <c r="I1718" s="22">
        <f t="shared" si="27"/>
        <v>40090</v>
      </c>
      <c r="J1718" s="18" t="s">
        <v>1085</v>
      </c>
      <c r="K1718" s="18" t="s">
        <v>3919</v>
      </c>
      <c r="L1718" s="18" t="s">
        <v>3920</v>
      </c>
      <c r="M1718" s="18" t="s">
        <v>3921</v>
      </c>
      <c r="N1718" s="16">
        <v>46213</v>
      </c>
      <c r="O1718" s="18"/>
      <c r="P1718" s="18"/>
      <c r="Q1718" s="16" t="str" cm="1">
        <f t="array" ref="Q1718">_xlfn.IFS(
A1718="","",
AND(A1718&lt;&gt;"",B1718=""),"FALTA LANÇAMENTO",
AND(B1718&lt;&gt;"",M1718=""),"FALTA O PEDIDO",
AND(M1718&lt;&gt;"",O1718=""),"FALTA NF",
O1718&lt;&gt;"","CONCLUÍDO")</f>
        <v>FALTA NF</v>
      </c>
      <c r="R1718" s="36"/>
    </row>
    <row r="1719" spans="1:18" hidden="1">
      <c r="A1719" s="30">
        <v>46175</v>
      </c>
      <c r="B1719" s="30">
        <v>46175</v>
      </c>
      <c r="C1719" s="31">
        <v>11040008</v>
      </c>
      <c r="D1719" s="30" t="s">
        <v>727</v>
      </c>
      <c r="E1719" s="18" t="s">
        <v>29</v>
      </c>
      <c r="F1719" s="31">
        <v>55632</v>
      </c>
      <c r="G1719" s="32">
        <v>5808</v>
      </c>
      <c r="H1719" s="32">
        <v>15380.73</v>
      </c>
      <c r="I1719" s="32">
        <f t="shared" si="27"/>
        <v>21188.73</v>
      </c>
      <c r="J1719" s="18" t="s">
        <v>1085</v>
      </c>
      <c r="K1719" s="33" t="s">
        <v>3922</v>
      </c>
      <c r="L1719" s="33" t="s">
        <v>3923</v>
      </c>
      <c r="M1719" s="33" t="s">
        <v>3924</v>
      </c>
      <c r="N1719" s="30" t="s">
        <v>3532</v>
      </c>
      <c r="O1719" s="33" t="s">
        <v>3925</v>
      </c>
      <c r="P1719" s="33" t="s">
        <v>3846</v>
      </c>
      <c r="Q1719" s="30" t="str" cm="1">
        <f t="array" ref="Q1719">_xlfn.IFS(
A1719="","",
AND(A1719&lt;&gt;"",B1719=""),"FALTA LANÇAMENTO",
AND(B1719&lt;&gt;"",M1719=""),"FALTA O PEDIDO",
AND(M1719&lt;&gt;"",O1719=""),"FALTA NF",
O1719&lt;&gt;"","CONCLUÍDO")</f>
        <v>CONCLUÍDO</v>
      </c>
      <c r="R1719" s="37"/>
    </row>
    <row r="1720" spans="1:18" hidden="1">
      <c r="A1720" s="30">
        <v>46175</v>
      </c>
      <c r="B1720" s="16">
        <v>46181</v>
      </c>
      <c r="C1720" s="31">
        <v>61521008</v>
      </c>
      <c r="D1720" s="30" t="str">
        <f>IFERROR(VLOOKUP(Tabela5[[#This Row],[PREFIXO ]],Tabela4[#All],2,0),"CENTRO DE CUSTO")</f>
        <v>CAV MEC PES MERC BENZ AXOR 2644</v>
      </c>
      <c r="E1720" s="33" t="s">
        <v>29</v>
      </c>
      <c r="F1720" s="31">
        <v>55619</v>
      </c>
      <c r="G1720" s="32">
        <v>3996</v>
      </c>
      <c r="H1720" s="32">
        <v>8945.51</v>
      </c>
      <c r="I1720" s="32">
        <f t="shared" si="27"/>
        <v>12941.51</v>
      </c>
      <c r="J1720" s="18" t="s">
        <v>1085</v>
      </c>
      <c r="K1720" s="33" t="s">
        <v>3926</v>
      </c>
      <c r="L1720" s="18" t="s">
        <v>3927</v>
      </c>
      <c r="M1720" s="33">
        <v>41884152</v>
      </c>
      <c r="N1720" s="30">
        <v>46182</v>
      </c>
      <c r="O1720" s="33" t="s">
        <v>3928</v>
      </c>
      <c r="P1720" s="18" t="s">
        <v>3680</v>
      </c>
      <c r="Q1720" s="30" t="str" cm="1">
        <f t="array" ref="Q1720">_xlfn.IFS(
A1720="","",
AND(A1720&lt;&gt;"",B1720=""),"FALTA LANÇAMENTO",
AND(B1720&lt;&gt;"",M1720=""),"FALTA O PEDIDO",
AND(M1720&lt;&gt;"",O1720=""),"FALTA NF",
O1720&lt;&gt;"","CONCLUÍDO")</f>
        <v>CONCLUÍDO</v>
      </c>
      <c r="R1720" s="37"/>
    </row>
    <row r="1721" spans="1:18" hidden="1">
      <c r="A1721" s="30">
        <v>46175</v>
      </c>
      <c r="B1721" s="16">
        <v>46181</v>
      </c>
      <c r="C1721" s="31">
        <v>8172116</v>
      </c>
      <c r="D1721" s="30" t="str">
        <f>IFERROR(VLOOKUP(Tabela5[[#This Row],[PREFIXO ]],Tabela4[#All],2,0),"CENTRO DE CUSTO")</f>
        <v>SEMI REBOQUE TANQUE RANDON 22.000L</v>
      </c>
      <c r="E1721" s="33" t="s">
        <v>29</v>
      </c>
      <c r="F1721" s="31">
        <v>55845</v>
      </c>
      <c r="G1721" s="32">
        <v>200</v>
      </c>
      <c r="H1721" s="32">
        <v>2862.3</v>
      </c>
      <c r="I1721" s="32">
        <f t="shared" si="27"/>
        <v>3062.3</v>
      </c>
      <c r="J1721" s="18" t="s">
        <v>1085</v>
      </c>
      <c r="K1721" s="33" t="s">
        <v>3929</v>
      </c>
      <c r="L1721" s="18" t="s">
        <v>3930</v>
      </c>
      <c r="M1721" s="33">
        <v>41884151</v>
      </c>
      <c r="N1721" s="30">
        <v>46182</v>
      </c>
      <c r="O1721" s="33" t="s">
        <v>3931</v>
      </c>
      <c r="P1721" s="33" t="s">
        <v>3680</v>
      </c>
      <c r="Q1721" s="30" t="str" cm="1">
        <f t="array" ref="Q1721">_xlfn.IFS(
A1721="","",
AND(A1721&lt;&gt;"",B1721=""),"FALTA LANÇAMENTO",
AND(B1721&lt;&gt;"",M1721=""),"FALTA O PEDIDO",
AND(M1721&lt;&gt;"",O1721=""),"FALTA NF",
O1721&lt;&gt;"","CONCLUÍDO")</f>
        <v>CONCLUÍDO</v>
      </c>
      <c r="R1721" s="37"/>
    </row>
    <row r="1722" spans="1:18" hidden="1">
      <c r="A1722" s="30">
        <v>46175</v>
      </c>
      <c r="B1722" s="16">
        <v>46181</v>
      </c>
      <c r="C1722" s="31">
        <v>8172116</v>
      </c>
      <c r="D1722" s="30" t="str">
        <f>IFERROR(VLOOKUP(Tabela5[[#This Row],[PREFIXO ]],Tabela4[#All],2,0),"CENTRO DE CUSTO")</f>
        <v>SEMI REBOQUE TANQUE RANDON 22.000L</v>
      </c>
      <c r="E1722" s="33" t="s">
        <v>29</v>
      </c>
      <c r="F1722" s="31">
        <v>55895</v>
      </c>
      <c r="G1722" s="32">
        <v>100</v>
      </c>
      <c r="H1722" s="32">
        <v>1579.2</v>
      </c>
      <c r="I1722" s="32">
        <f t="shared" si="27"/>
        <v>1679.2</v>
      </c>
      <c r="J1722" s="18" t="s">
        <v>1085</v>
      </c>
      <c r="K1722" s="33" t="s">
        <v>3932</v>
      </c>
      <c r="L1722" s="18" t="s">
        <v>3933</v>
      </c>
      <c r="M1722" s="33">
        <v>41883262</v>
      </c>
      <c r="N1722" s="30">
        <v>46181</v>
      </c>
      <c r="O1722" s="33" t="s">
        <v>3934</v>
      </c>
      <c r="P1722" s="18" t="s">
        <v>3294</v>
      </c>
      <c r="Q1722" s="30" t="str" cm="1">
        <f t="array" ref="Q1722">_xlfn.IFS(
A1722="","",
AND(A1722&lt;&gt;"",B1722=""),"FALTA LANÇAMENTO",
AND(B1722&lt;&gt;"",M1722=""),"FALTA O PEDIDO",
AND(M1722&lt;&gt;"",O1722=""),"FALTA NF",
O1722&lt;&gt;"","CONCLUÍDO")</f>
        <v>CONCLUÍDO</v>
      </c>
      <c r="R1722" s="37"/>
    </row>
    <row r="1723" spans="1:18" hidden="1">
      <c r="A1723" s="30">
        <v>46175</v>
      </c>
      <c r="B1723" s="16">
        <v>46181</v>
      </c>
      <c r="C1723" s="31">
        <v>61521030</v>
      </c>
      <c r="D1723" s="30" t="str">
        <f>IFERROR(VLOOKUP(Tabela5[[#This Row],[PREFIXO ]],Tabela4[#All],2,0),"CENTRO DE CUSTO")</f>
        <v>CAV MEC PES MERC BENZ ACTRO 2651</v>
      </c>
      <c r="E1723" s="33" t="s">
        <v>29</v>
      </c>
      <c r="F1723" s="31">
        <v>55847</v>
      </c>
      <c r="G1723" s="32">
        <v>1130</v>
      </c>
      <c r="H1723" s="32">
        <v>253.63</v>
      </c>
      <c r="I1723" s="32">
        <f t="shared" si="27"/>
        <v>1383.63</v>
      </c>
      <c r="J1723" s="18" t="s">
        <v>1085</v>
      </c>
      <c r="K1723" s="33" t="s">
        <v>3935</v>
      </c>
      <c r="L1723" s="18" t="s">
        <v>3936</v>
      </c>
      <c r="M1723" s="33">
        <v>41883261</v>
      </c>
      <c r="N1723" s="30">
        <v>46181</v>
      </c>
      <c r="O1723" s="33" t="s">
        <v>3937</v>
      </c>
      <c r="P1723" s="33" t="s">
        <v>3294</v>
      </c>
      <c r="Q1723" s="30" t="str" cm="1">
        <f t="array" ref="Q1723">_xlfn.IFS(
A1723="","",
AND(A1723&lt;&gt;"",B1723=""),"FALTA LANÇAMENTO",
AND(B1723&lt;&gt;"",M1723=""),"FALTA O PEDIDO",
AND(M1723&lt;&gt;"",O1723=""),"FALTA NF",
O1723&lt;&gt;"","CONCLUÍDO")</f>
        <v>CONCLUÍDO</v>
      </c>
      <c r="R1723" s="37"/>
    </row>
    <row r="1724" spans="1:18" hidden="1">
      <c r="A1724" s="30">
        <v>46175</v>
      </c>
      <c r="B1724" s="16">
        <v>46181</v>
      </c>
      <c r="C1724" s="31">
        <v>61521062</v>
      </c>
      <c r="D1724" s="30" t="str">
        <f>IFERROR(VLOOKUP(Tabela5[[#This Row],[PREFIXO ]],Tabela4[#All],2,0),"CENTRO DE CUSTO")</f>
        <v>ONIB RODOVIÁRIO MERC BENZ MARCOPOLO TORI</v>
      </c>
      <c r="E1724" s="33" t="s">
        <v>29</v>
      </c>
      <c r="F1724" s="31">
        <v>55793</v>
      </c>
      <c r="G1724" s="32">
        <v>100</v>
      </c>
      <c r="H1724" s="32">
        <v>1214.51</v>
      </c>
      <c r="I1724" s="32">
        <f t="shared" ref="I1724:I1787" si="28">G1724+H1724</f>
        <v>1314.51</v>
      </c>
      <c r="J1724" s="33" t="s">
        <v>1085</v>
      </c>
      <c r="K1724" s="33" t="s">
        <v>3938</v>
      </c>
      <c r="L1724" s="18" t="s">
        <v>3939</v>
      </c>
      <c r="M1724" s="33">
        <v>41883260</v>
      </c>
      <c r="N1724" s="30">
        <v>46181</v>
      </c>
      <c r="O1724" s="33" t="s">
        <v>3940</v>
      </c>
      <c r="P1724" s="33" t="s">
        <v>3941</v>
      </c>
      <c r="Q1724" s="30" t="str" cm="1">
        <f t="array" ref="Q1724">_xlfn.IFS(
A1724="","",
AND(A1724&lt;&gt;"",B1724=""),"FALTA LANÇAMENTO",
AND(B1724&lt;&gt;"",M1724=""),"FALTA O PEDIDO",
AND(M1724&lt;&gt;"",O1724=""),"FALTA NF",
O1724&lt;&gt;"","CONCLUÍDO")</f>
        <v>CONCLUÍDO</v>
      </c>
      <c r="R1724" s="37"/>
    </row>
    <row r="1725" spans="1:18" hidden="1">
      <c r="A1725" s="30">
        <v>46175</v>
      </c>
      <c r="B1725" s="16">
        <v>46181</v>
      </c>
      <c r="C1725" s="31">
        <v>61521012</v>
      </c>
      <c r="D1725" s="30" t="str">
        <f>IFERROR(VLOOKUP(Tabela5[[#This Row],[PREFIXO ]],Tabela4[#All],2,0),"CENTRO DE CUSTO")</f>
        <v>CAM COMBOIO MERC BENZ ATRON 2729</v>
      </c>
      <c r="E1725" s="33" t="s">
        <v>29</v>
      </c>
      <c r="F1725" s="31">
        <v>55877</v>
      </c>
      <c r="G1725" s="32">
        <v>95</v>
      </c>
      <c r="H1725" s="32">
        <v>1151.69</v>
      </c>
      <c r="I1725" s="32">
        <f t="shared" si="28"/>
        <v>1246.69</v>
      </c>
      <c r="J1725" s="33" t="s">
        <v>1085</v>
      </c>
      <c r="K1725" s="33" t="s">
        <v>3942</v>
      </c>
      <c r="L1725" s="18" t="s">
        <v>3943</v>
      </c>
      <c r="M1725" s="33">
        <v>41884078</v>
      </c>
      <c r="N1725" s="30">
        <v>46182</v>
      </c>
      <c r="O1725" s="33" t="s">
        <v>3944</v>
      </c>
      <c r="P1725" s="33" t="s">
        <v>3680</v>
      </c>
      <c r="Q1725" s="30" t="str" cm="1">
        <f t="array" ref="Q1725">_xlfn.IFS(
A1725="","",
AND(A1725&lt;&gt;"",B1725=""),"FALTA LANÇAMENTO",
AND(B1725&lt;&gt;"",M1725=""),"FALTA O PEDIDO",
AND(M1725&lt;&gt;"",O1725=""),"FALTA NF",
O1725&lt;&gt;"","CONCLUÍDO")</f>
        <v>CONCLUÍDO</v>
      </c>
      <c r="R1725" s="37"/>
    </row>
    <row r="1726" spans="1:18" hidden="1">
      <c r="A1726" s="30">
        <v>46175</v>
      </c>
      <c r="B1726" s="30">
        <v>46181</v>
      </c>
      <c r="C1726" s="31">
        <v>11040017</v>
      </c>
      <c r="D1726" s="30" t="str">
        <f>IFERROR(VLOOKUP(Tabela5[[#This Row],[PREFIXO ]],Tabela4[#All],2,0),"CENTRO DE CUSTO")</f>
        <v>CAV MEC EXT PES SCANIA R500</v>
      </c>
      <c r="E1726" s="33" t="s">
        <v>29</v>
      </c>
      <c r="F1726" s="31">
        <v>55829</v>
      </c>
      <c r="G1726" s="32">
        <v>680</v>
      </c>
      <c r="H1726" s="32">
        <v>341.88</v>
      </c>
      <c r="I1726" s="32">
        <f t="shared" si="28"/>
        <v>1021.88</v>
      </c>
      <c r="J1726" s="33" t="s">
        <v>1085</v>
      </c>
      <c r="K1726" s="33" t="s">
        <v>3945</v>
      </c>
      <c r="L1726" s="33" t="s">
        <v>3946</v>
      </c>
      <c r="M1726" s="33">
        <v>41884077</v>
      </c>
      <c r="N1726" s="30">
        <v>46182</v>
      </c>
      <c r="O1726" s="33" t="s">
        <v>3947</v>
      </c>
      <c r="P1726" s="33" t="s">
        <v>3680</v>
      </c>
      <c r="Q1726" s="30" t="str" cm="1">
        <f t="array" ref="Q1726">_xlfn.IFS(
A1726="","",
AND(A1726&lt;&gt;"",B1726=""),"FALTA LANÇAMENTO",
AND(B1726&lt;&gt;"",M1726=""),"FALTA O PEDIDO",
AND(M1726&lt;&gt;"",O1726=""),"FALTA NF",
O1726&lt;&gt;"","CONCLUÍDO")</f>
        <v>CONCLUÍDO</v>
      </c>
      <c r="R1726" s="37"/>
    </row>
    <row r="1727" spans="1:18" hidden="1">
      <c r="A1727" s="30">
        <v>46175</v>
      </c>
      <c r="B1727" s="30">
        <v>46181</v>
      </c>
      <c r="C1727" s="31">
        <v>61521041</v>
      </c>
      <c r="D1727" s="30" t="str">
        <f>IFERROR(VLOOKUP(Tabela5[[#This Row],[PREFIXO ]],Tabela4[#All],2,0),"CENTRO DE CUSTO")</f>
        <v>ONIB RODOVIÁRIO MASCARELLO GRAN MIDI</v>
      </c>
      <c r="E1727" s="33" t="s">
        <v>29</v>
      </c>
      <c r="F1727" s="31">
        <v>55863</v>
      </c>
      <c r="G1727" s="32">
        <v>100</v>
      </c>
      <c r="H1727" s="32">
        <v>841.3</v>
      </c>
      <c r="I1727" s="32">
        <f t="shared" si="28"/>
        <v>941.3</v>
      </c>
      <c r="J1727" s="33" t="s">
        <v>1085</v>
      </c>
      <c r="K1727" s="33" t="s">
        <v>3948</v>
      </c>
      <c r="L1727" s="33" t="s">
        <v>3949</v>
      </c>
      <c r="M1727" s="33">
        <v>41883258</v>
      </c>
      <c r="N1727" s="30">
        <v>46181</v>
      </c>
      <c r="O1727" s="33" t="s">
        <v>3950</v>
      </c>
      <c r="P1727" s="33" t="s">
        <v>3294</v>
      </c>
      <c r="Q1727" s="30" t="str" cm="1">
        <f t="array" ref="Q1727">_xlfn.IFS(
A1727="","",
AND(A1727&lt;&gt;"",B1727=""),"FALTA LANÇAMENTO",
AND(B1727&lt;&gt;"",M1727=""),"FALTA O PEDIDO",
AND(M1727&lt;&gt;"",O1727=""),"FALTA NF",
O1727&lt;&gt;"","CONCLUÍDO")</f>
        <v>CONCLUÍDO</v>
      </c>
      <c r="R1727" s="37"/>
    </row>
    <row r="1728" spans="1:18" hidden="1">
      <c r="A1728" s="30">
        <v>46175</v>
      </c>
      <c r="B1728" s="30">
        <v>46181</v>
      </c>
      <c r="C1728" s="31">
        <v>16170008</v>
      </c>
      <c r="D1728" s="30" t="str">
        <f>IFERROR(VLOOKUP(Tabela5[[#This Row],[PREFIXO ]],Tabela4[#All],2,0),"CENTRO DE CUSTO")</f>
        <v>SR TANQUE RODOTECNIC SRT TQ2 INOX</v>
      </c>
      <c r="E1728" s="33" t="s">
        <v>29</v>
      </c>
      <c r="F1728" s="31">
        <v>55699</v>
      </c>
      <c r="G1728" s="32">
        <v>70</v>
      </c>
      <c r="H1728" s="32">
        <v>164.39</v>
      </c>
      <c r="I1728" s="32">
        <f t="shared" si="28"/>
        <v>234.39</v>
      </c>
      <c r="J1728" s="33" t="s">
        <v>1085</v>
      </c>
      <c r="K1728" s="33" t="s">
        <v>3951</v>
      </c>
      <c r="L1728" s="33" t="s">
        <v>3952</v>
      </c>
      <c r="M1728" s="33" t="s">
        <v>3953</v>
      </c>
      <c r="N1728" s="30" t="s">
        <v>3429</v>
      </c>
      <c r="O1728" s="33" t="s">
        <v>3954</v>
      </c>
      <c r="P1728" s="33" t="s">
        <v>3534</v>
      </c>
      <c r="Q1728" s="30" t="str" cm="1">
        <f t="array" ref="Q1728">_xlfn.IFS(
A1728="","",
AND(A1728&lt;&gt;"",B1728=""),"FALTA LANÇAMENTO",
AND(B1728&lt;&gt;"",M1728=""),"FALTA O PEDIDO",
AND(M1728&lt;&gt;"",O1728=""),"FALTA NF",
O1728&lt;&gt;"","CONCLUÍDO")</f>
        <v>CONCLUÍDO</v>
      </c>
      <c r="R1728" s="37"/>
    </row>
    <row r="1729" spans="1:18" hidden="1">
      <c r="A1729" s="30">
        <v>46175</v>
      </c>
      <c r="B1729" s="30">
        <v>46185</v>
      </c>
      <c r="C1729" s="31">
        <v>65014011</v>
      </c>
      <c r="D1729" s="30" t="str">
        <f>IFERROR(VLOOKUP(Tabela5[[#This Row],[PREFIXO ]],Tabela4[#All],2,0),"CENTRO DE CUSTO")</f>
        <v>CENTRO DE CUSTO</v>
      </c>
      <c r="E1729" s="33" t="s">
        <v>34</v>
      </c>
      <c r="F1729" s="31">
        <v>40376</v>
      </c>
      <c r="G1729" s="32">
        <v>547.99</v>
      </c>
      <c r="H1729" s="32">
        <v>15</v>
      </c>
      <c r="I1729" s="32">
        <f t="shared" si="28"/>
        <v>562.99</v>
      </c>
      <c r="J1729" s="33" t="s">
        <v>1085</v>
      </c>
      <c r="K1729" s="33" t="s">
        <v>3955</v>
      </c>
      <c r="L1729" s="33" t="s">
        <v>3956</v>
      </c>
      <c r="M1729" s="33" t="s">
        <v>3957</v>
      </c>
      <c r="N1729" s="30">
        <v>46186</v>
      </c>
      <c r="O1729" s="33" t="s">
        <v>3958</v>
      </c>
      <c r="P1729" s="33" t="s">
        <v>3841</v>
      </c>
      <c r="Q1729" s="30" t="str" cm="1">
        <f t="array" ref="Q1729">_xlfn.IFS(
A1729="","",
AND(A1729&lt;&gt;"",B1729=""),"FALTA LANÇAMENTO",
AND(B1729&lt;&gt;"",M1729=""),"FALTA O PEDIDO",
AND(M1729&lt;&gt;"",O1729=""),"FALTA NF",
O1729&lt;&gt;"","CONCLUÍDO")</f>
        <v>CONCLUÍDO</v>
      </c>
      <c r="R1729" s="37"/>
    </row>
    <row r="1730" spans="1:18" hidden="1">
      <c r="A1730" s="30">
        <v>46175</v>
      </c>
      <c r="B1730" s="30">
        <v>46175</v>
      </c>
      <c r="C1730" s="31">
        <v>16170009</v>
      </c>
      <c r="D1730" s="30" t="str">
        <f>IFERROR(VLOOKUP(Tabela5[[#This Row],[PREFIXO ]],Tabela4[#All],2,0),"CENTRO DE CUSTO")</f>
        <v>SR TANQUE RODOTECNIC SRT TQ2 INOX</v>
      </c>
      <c r="E1730" s="33" t="s">
        <v>62</v>
      </c>
      <c r="F1730" s="31">
        <v>1345</v>
      </c>
      <c r="G1730" s="32">
        <v>19850</v>
      </c>
      <c r="H1730" s="32"/>
      <c r="I1730" s="32">
        <f t="shared" si="28"/>
        <v>19850</v>
      </c>
      <c r="J1730" s="33" t="s">
        <v>1199</v>
      </c>
      <c r="K1730" s="33" t="s">
        <v>3959</v>
      </c>
      <c r="L1730" s="33" t="s">
        <v>3960</v>
      </c>
      <c r="M1730" s="33" t="s">
        <v>3961</v>
      </c>
      <c r="N1730" s="30">
        <v>46176</v>
      </c>
      <c r="O1730" s="33" t="s">
        <v>3962</v>
      </c>
      <c r="P1730" s="33" t="s">
        <v>3901</v>
      </c>
      <c r="Q1730" s="30" t="str" cm="1">
        <f t="array" ref="Q1730">_xlfn.IFS(
A1730="","",
AND(A1730&lt;&gt;"",B1730=""),"FALTA LANÇAMENTO",
AND(B1730&lt;&gt;"",M1730=""),"FALTA O PEDIDO",
AND(M1730&lt;&gt;"",O1730=""),"FALTA NF",
O1730&lt;&gt;"","CONCLUÍDO")</f>
        <v>CONCLUÍDO</v>
      </c>
      <c r="R1730" s="37"/>
    </row>
    <row r="1731" spans="1:18" hidden="1">
      <c r="A1731" s="30">
        <v>46175</v>
      </c>
      <c r="B1731" s="30">
        <v>46175</v>
      </c>
      <c r="C1731" s="31">
        <v>81519219</v>
      </c>
      <c r="D1731" s="30" t="str">
        <f>IFERROR(VLOOKUP(Tabela5[[#This Row],[PREFIXO ]],Tabela4[#All],2,0),"CENTRO DE CUSTO")</f>
        <v>PLANT GRÃOS JOHN DEERE DB90 ME 60 LINHAS</v>
      </c>
      <c r="E1731" s="33" t="s">
        <v>62</v>
      </c>
      <c r="F1731" s="31">
        <v>1390</v>
      </c>
      <c r="G1731" s="32">
        <v>1900</v>
      </c>
      <c r="H1731" s="32"/>
      <c r="I1731" s="32">
        <f t="shared" si="28"/>
        <v>1900</v>
      </c>
      <c r="J1731" s="33" t="s">
        <v>1199</v>
      </c>
      <c r="K1731" s="33" t="s">
        <v>3963</v>
      </c>
      <c r="L1731" s="33" t="s">
        <v>3964</v>
      </c>
      <c r="M1731" s="33" t="s">
        <v>3965</v>
      </c>
      <c r="N1731" s="30" t="s">
        <v>3440</v>
      </c>
      <c r="O1731" s="33" t="s">
        <v>3966</v>
      </c>
      <c r="P1731" s="33" t="s">
        <v>3901</v>
      </c>
      <c r="Q1731" s="30" t="str" cm="1">
        <f t="array" ref="Q1731">_xlfn.IFS(
A1731="","",
AND(A1731&lt;&gt;"",B1731=""),"FALTA LANÇAMENTO",
AND(B1731&lt;&gt;"",M1731=""),"FALTA O PEDIDO",
AND(M1731&lt;&gt;"",O1731=""),"FALTA NF",
O1731&lt;&gt;"","CONCLUÍDO")</f>
        <v>CONCLUÍDO</v>
      </c>
      <c r="R1731" s="37"/>
    </row>
    <row r="1732" spans="1:18" hidden="1">
      <c r="A1732" s="30">
        <v>46175</v>
      </c>
      <c r="B1732" s="30">
        <v>46178</v>
      </c>
      <c r="C1732" s="31">
        <v>31521034</v>
      </c>
      <c r="D1732" s="30" t="str">
        <f>IFERROR(VLOOKUP(Tabela5[[#This Row],[PREFIXO ]],Tabela4[#All],2,0),"CENTRO DE CUSTO")</f>
        <v>ADUB AUTOPROP KUHN ACCURA ST 7000</v>
      </c>
      <c r="E1732" s="33" t="s">
        <v>62</v>
      </c>
      <c r="F1732" s="31">
        <v>1380</v>
      </c>
      <c r="G1732" s="32">
        <v>780</v>
      </c>
      <c r="H1732" s="32"/>
      <c r="I1732" s="32">
        <f t="shared" si="28"/>
        <v>780</v>
      </c>
      <c r="J1732" s="33" t="s">
        <v>1199</v>
      </c>
      <c r="K1732" s="33" t="s">
        <v>3967</v>
      </c>
      <c r="L1732" s="33" t="s">
        <v>3968</v>
      </c>
      <c r="M1732" s="33" t="s">
        <v>3969</v>
      </c>
      <c r="N1732" s="30" t="s">
        <v>3440</v>
      </c>
      <c r="O1732" s="33" t="s">
        <v>3970</v>
      </c>
      <c r="P1732" s="33" t="s">
        <v>3901</v>
      </c>
      <c r="Q1732" s="30" t="str" cm="1">
        <f t="array" ref="Q1732">_xlfn.IFS(
A1732="","",
AND(A1732&lt;&gt;"",B1732=""),"FALTA LANÇAMENTO",
AND(B1732&lt;&gt;"",M1732=""),"FALTA O PEDIDO",
AND(M1732&lt;&gt;"",O1732=""),"FALTA NF",
O1732&lt;&gt;"","CONCLUÍDO")</f>
        <v>CONCLUÍDO</v>
      </c>
      <c r="R1732" s="37"/>
    </row>
    <row r="1733" spans="1:18" hidden="1">
      <c r="A1733" s="30">
        <v>46175</v>
      </c>
      <c r="B1733" s="30">
        <v>46185</v>
      </c>
      <c r="C1733" s="31">
        <v>31521045</v>
      </c>
      <c r="D1733" s="30" t="str">
        <f>IFERROR(VLOOKUP(Tabela5[[#This Row],[PREFIXO ]],Tabela4[#All],2,0),"CENTRO DE CUSTO")</f>
        <v>PULV AUTOPROP JACTO UNIPORT 3030</v>
      </c>
      <c r="E1733" s="18" t="s">
        <v>67</v>
      </c>
      <c r="F1733" s="31" t="s">
        <v>3971</v>
      </c>
      <c r="G1733" s="32">
        <v>28020</v>
      </c>
      <c r="H1733" s="32"/>
      <c r="I1733" s="32">
        <f t="shared" si="28"/>
        <v>28020</v>
      </c>
      <c r="J1733" s="33" t="s">
        <v>1265</v>
      </c>
      <c r="K1733" s="33" t="s">
        <v>3972</v>
      </c>
      <c r="L1733" s="33" t="s">
        <v>3973</v>
      </c>
      <c r="M1733" s="33">
        <v>41888349</v>
      </c>
      <c r="N1733" s="30">
        <v>46188</v>
      </c>
      <c r="O1733" s="33" t="s">
        <v>2271</v>
      </c>
      <c r="P1733" s="18" t="s">
        <v>3579</v>
      </c>
      <c r="Q1733" s="30" t="str" cm="1">
        <f t="array" ref="Q1733">_xlfn.IFS(
A1733="","",
AND(A1733&lt;&gt;"",B1733=""),"FALTA LANÇAMENTO",
AND(B1733&lt;&gt;"",M1733=""),"FALTA O PEDIDO",
AND(M1733&lt;&gt;"",O1733=""),"FALTA NF",
O1733&lt;&gt;"","CONCLUÍDO")</f>
        <v>CONCLUÍDO</v>
      </c>
      <c r="R1733" s="37"/>
    </row>
    <row r="1734" spans="1:18" hidden="1">
      <c r="A1734" s="30">
        <v>46175</v>
      </c>
      <c r="B1734" s="30">
        <v>46181</v>
      </c>
      <c r="C1734" s="31">
        <v>85048067</v>
      </c>
      <c r="D1734" s="30" t="str">
        <f>IFERROR(VLOOKUP(Tabela5[[#This Row],[PREFIXO ]],Tabela4[#All],2,0),"CENTRO DE CUSTO")</f>
        <v>SUBSOLADOR GTS TERRUS DUO 15H</v>
      </c>
      <c r="E1734" s="33" t="s">
        <v>96</v>
      </c>
      <c r="F1734" s="31" t="s">
        <v>3974</v>
      </c>
      <c r="G1734" s="32">
        <v>100</v>
      </c>
      <c r="H1734" s="32">
        <v>970.06</v>
      </c>
      <c r="I1734" s="32">
        <f t="shared" si="28"/>
        <v>1070.06</v>
      </c>
      <c r="J1734" s="33" t="s">
        <v>1199</v>
      </c>
      <c r="K1734" s="33" t="s">
        <v>3975</v>
      </c>
      <c r="L1734" s="33" t="s">
        <v>3976</v>
      </c>
      <c r="M1734" s="33" t="s">
        <v>3977</v>
      </c>
      <c r="N1734" s="30">
        <v>46182</v>
      </c>
      <c r="O1734" s="33" t="s">
        <v>3978</v>
      </c>
      <c r="P1734" s="33" t="s">
        <v>3576</v>
      </c>
      <c r="Q1734" s="30" t="str" cm="1">
        <f t="array" ref="Q1734">_xlfn.IFS(
A1734="","",
AND(A1734&lt;&gt;"",B1734=""),"FALTA LANÇAMENTO",
AND(B1734&lt;&gt;"",M1734=""),"FALTA O PEDIDO",
AND(M1734&lt;&gt;"",O1734=""),"FALTA NF",
O1734&lt;&gt;"","CONCLUÍDO")</f>
        <v>CONCLUÍDO</v>
      </c>
      <c r="R1734" s="37"/>
    </row>
    <row r="1735" spans="1:18" hidden="1">
      <c r="A1735" s="30">
        <v>46175</v>
      </c>
      <c r="B1735" s="30">
        <v>46181</v>
      </c>
      <c r="C1735" s="31">
        <v>13100037</v>
      </c>
      <c r="D1735" s="30" t="str">
        <f>IFERROR(VLOOKUP(Tabela5[[#This Row],[PREFIXO ]],Tabela4[#All],2,0),"CENTRO DE CUSTO")</f>
        <v>CENTRO DE CUSTO</v>
      </c>
      <c r="E1735" s="33" t="s">
        <v>359</v>
      </c>
      <c r="F1735" s="31" t="s">
        <v>3979</v>
      </c>
      <c r="G1735" s="32">
        <v>1630</v>
      </c>
      <c r="H1735" s="32"/>
      <c r="I1735" s="32">
        <f t="shared" si="28"/>
        <v>1630</v>
      </c>
      <c r="J1735" s="33" t="s">
        <v>1199</v>
      </c>
      <c r="K1735" s="33" t="s">
        <v>3980</v>
      </c>
      <c r="L1735" s="33" t="s">
        <v>3981</v>
      </c>
      <c r="M1735" s="33">
        <v>41884063</v>
      </c>
      <c r="N1735" s="30">
        <v>46182</v>
      </c>
      <c r="O1735" s="33" t="s">
        <v>2478</v>
      </c>
      <c r="P1735" s="33" t="s">
        <v>3982</v>
      </c>
      <c r="Q1735" s="30" t="str" cm="1">
        <f t="array" ref="Q1735">_xlfn.IFS(
A1735="","",
AND(A1735&lt;&gt;"",B1735=""),"FALTA LANÇAMENTO",
AND(B1735&lt;&gt;"",M1735=""),"FALTA O PEDIDO",
AND(M1735&lt;&gt;"",O1735=""),"FALTA NF",
O1735&lt;&gt;"","CONCLUÍDO")</f>
        <v>CONCLUÍDO</v>
      </c>
      <c r="R1735" s="37"/>
    </row>
    <row r="1736" spans="1:18" hidden="1">
      <c r="A1736" s="30">
        <v>46175</v>
      </c>
      <c r="B1736" s="30">
        <v>46188</v>
      </c>
      <c r="C1736" s="31">
        <v>12060002</v>
      </c>
      <c r="D1736" s="30" t="str">
        <f>IFERROR(VLOOKUP(Tabela5[[#This Row],[PREFIXO ]],Tabela4[#All],2,0),"CENTRO DE CUSTO")</f>
        <v>ONIB RODOVIÁRIO MARCOPOLO NEOBUS MEGA</v>
      </c>
      <c r="E1736" s="33" t="s">
        <v>124</v>
      </c>
      <c r="F1736" s="31">
        <v>576</v>
      </c>
      <c r="G1736" s="32">
        <v>3890</v>
      </c>
      <c r="H1736" s="32">
        <v>24500.76</v>
      </c>
      <c r="I1736" s="32">
        <f t="shared" si="28"/>
        <v>28390.76</v>
      </c>
      <c r="J1736" s="33" t="s">
        <v>1085</v>
      </c>
      <c r="K1736" s="33" t="s">
        <v>3983</v>
      </c>
      <c r="L1736" s="33" t="s">
        <v>3984</v>
      </c>
      <c r="M1736" s="33">
        <v>41889231</v>
      </c>
      <c r="N1736" s="30">
        <v>46189</v>
      </c>
      <c r="O1736" s="33" t="s">
        <v>3985</v>
      </c>
      <c r="P1736" s="33" t="s">
        <v>3986</v>
      </c>
      <c r="Q1736" s="30" t="str" cm="1">
        <f t="array" ref="Q1736">_xlfn.IFS(
A1736="","",
AND(A1736&lt;&gt;"",B1736=""),"FALTA LANÇAMENTO",
AND(B1736&lt;&gt;"",M1736=""),"FALTA O PEDIDO",
AND(M1736&lt;&gt;"",O1736=""),"FALTA NF",
O1736&lt;&gt;"","CONCLUÍDO")</f>
        <v>CONCLUÍDO</v>
      </c>
      <c r="R1736" s="37"/>
    </row>
    <row r="1737" spans="1:18" hidden="1">
      <c r="A1737" s="30">
        <v>46175</v>
      </c>
      <c r="B1737" s="30">
        <v>46188</v>
      </c>
      <c r="C1737" s="31">
        <v>61521054</v>
      </c>
      <c r="D1737" s="30" t="str">
        <f>IFERROR(VLOOKUP(Tabela5[[#This Row],[PREFIXO ]],Tabela4[#All],2,0),"CENTRO DE CUSTO")</f>
        <v>CAM CARGA SECA MERC BENZ ATEGO 1719</v>
      </c>
      <c r="E1737" s="33" t="s">
        <v>124</v>
      </c>
      <c r="F1737" s="31">
        <v>566</v>
      </c>
      <c r="G1737" s="32">
        <v>4080</v>
      </c>
      <c r="H1737" s="32">
        <v>16752.8</v>
      </c>
      <c r="I1737" s="32">
        <f t="shared" si="28"/>
        <v>20832.8</v>
      </c>
      <c r="J1737" s="33" t="s">
        <v>1085</v>
      </c>
      <c r="K1737" s="33" t="s">
        <v>3987</v>
      </c>
      <c r="L1737" s="33" t="s">
        <v>3988</v>
      </c>
      <c r="M1737" s="33">
        <v>41889228</v>
      </c>
      <c r="N1737" s="30">
        <v>46189</v>
      </c>
      <c r="O1737" s="33" t="s">
        <v>3989</v>
      </c>
      <c r="P1737" s="33" t="s">
        <v>3986</v>
      </c>
      <c r="Q1737" s="30" t="str" cm="1">
        <f t="array" ref="Q1737">_xlfn.IFS(
A1737="","",
AND(A1737&lt;&gt;"",B1737=""),"FALTA LANÇAMENTO",
AND(B1737&lt;&gt;"",M1737=""),"FALTA O PEDIDO",
AND(M1737&lt;&gt;"",O1737=""),"FALTA NF",
O1737&lt;&gt;"","CONCLUÍDO")</f>
        <v>CONCLUÍDO</v>
      </c>
      <c r="R1737" s="37"/>
    </row>
    <row r="1738" spans="1:18" hidden="1">
      <c r="A1738" s="30">
        <v>46175</v>
      </c>
      <c r="B1738" s="30">
        <v>46175</v>
      </c>
      <c r="C1738" s="31">
        <v>61521043</v>
      </c>
      <c r="D1738" s="30" t="str">
        <f>IFERROR(VLOOKUP(Tabela5[[#This Row],[PREFIXO ]],Tabela4[#All],2,0),"CENTRO DE CUSTO")</f>
        <v>ONIB RODOVIÁRIO MASCARELLO GRAN MIDI</v>
      </c>
      <c r="E1738" s="33" t="s">
        <v>124</v>
      </c>
      <c r="F1738" s="31">
        <v>577</v>
      </c>
      <c r="G1738" s="32">
        <v>2465</v>
      </c>
      <c r="H1738" s="32">
        <v>5306.4</v>
      </c>
      <c r="I1738" s="32">
        <f t="shared" si="28"/>
        <v>7771.4</v>
      </c>
      <c r="J1738" s="33" t="s">
        <v>1085</v>
      </c>
      <c r="K1738" s="33" t="s">
        <v>3990</v>
      </c>
      <c r="L1738" s="33" t="s">
        <v>3991</v>
      </c>
      <c r="M1738" s="33">
        <v>41882027</v>
      </c>
      <c r="N1738" s="30">
        <v>46178</v>
      </c>
      <c r="O1738" s="33" t="s">
        <v>3992</v>
      </c>
      <c r="P1738" s="33" t="s">
        <v>3993</v>
      </c>
      <c r="Q1738" s="30" t="str" cm="1">
        <f t="array" ref="Q1738">_xlfn.IFS(
A1738="","",
AND(A1738&lt;&gt;"",B1738=""),"FALTA LANÇAMENTO",
AND(B1738&lt;&gt;"",M1738=""),"FALTA O PEDIDO",
AND(M1738&lt;&gt;"",O1738=""),"FALTA NF",
O1738&lt;&gt;"","CONCLUÍDO")</f>
        <v>CONCLUÍDO</v>
      </c>
      <c r="R1738" s="37"/>
    </row>
    <row r="1739" spans="1:18" hidden="1">
      <c r="A1739" s="30">
        <v>46175</v>
      </c>
      <c r="B1739" s="30">
        <v>46184</v>
      </c>
      <c r="C1739" s="31">
        <v>61521064</v>
      </c>
      <c r="D1739" s="30" t="str">
        <f>IFERROR(VLOOKUP(Tabela5[[#This Row],[PREFIXO ]],Tabela4[#All],2,0),"CENTRO DE CUSTO")</f>
        <v>CAM ROLL ON/OFF VOLVO VM 330</v>
      </c>
      <c r="E1739" s="33" t="s">
        <v>124</v>
      </c>
      <c r="F1739" s="31">
        <v>586</v>
      </c>
      <c r="G1739" s="32">
        <v>2193.6</v>
      </c>
      <c r="H1739" s="32"/>
      <c r="I1739" s="32">
        <f t="shared" si="28"/>
        <v>2193.6</v>
      </c>
      <c r="J1739" s="33" t="s">
        <v>1085</v>
      </c>
      <c r="K1739" s="33" t="s">
        <v>3994</v>
      </c>
      <c r="L1739" s="33" t="s">
        <v>3995</v>
      </c>
      <c r="M1739" s="33">
        <v>41887042</v>
      </c>
      <c r="N1739" s="30">
        <v>46185</v>
      </c>
      <c r="O1739" s="33" t="s">
        <v>3996</v>
      </c>
      <c r="P1739" s="33" t="s">
        <v>3291</v>
      </c>
      <c r="Q1739" s="30" t="str" cm="1">
        <f t="array" ref="Q1739">_xlfn.IFS(
A1739="","",
AND(A1739&lt;&gt;"",B1739=""),"FALTA LANÇAMENTO",
AND(B1739&lt;&gt;"",M1739=""),"FALTA O PEDIDO",
AND(M1739&lt;&gt;"",O1739=""),"FALTA NF",
O1739&lt;&gt;"","CONCLUÍDO")</f>
        <v>CONCLUÍDO</v>
      </c>
      <c r="R1739" s="37"/>
    </row>
    <row r="1740" spans="1:18" hidden="1">
      <c r="A1740" s="30">
        <v>46175</v>
      </c>
      <c r="B1740" s="30">
        <v>46184</v>
      </c>
      <c r="C1740" s="31">
        <v>12070008</v>
      </c>
      <c r="D1740" s="30" t="str">
        <f>IFERROR(VLOOKUP(Tabela5[[#This Row],[PREFIXO ]],Tabela4[#All],2,0),"CENTRO DE CUSTO")</f>
        <v>VAN MICROBUS FORD TRANSIT 410 B AUT</v>
      </c>
      <c r="E1740" s="33" t="s">
        <v>209</v>
      </c>
      <c r="F1740" s="31">
        <v>424</v>
      </c>
      <c r="G1740" s="32">
        <v>260</v>
      </c>
      <c r="H1740" s="32"/>
      <c r="I1740" s="32">
        <f t="shared" si="28"/>
        <v>260</v>
      </c>
      <c r="J1740" s="33" t="s">
        <v>1085</v>
      </c>
      <c r="K1740" s="33" t="s">
        <v>3997</v>
      </c>
      <c r="L1740" s="33" t="s">
        <v>3998</v>
      </c>
      <c r="M1740" s="33">
        <v>41886947</v>
      </c>
      <c r="N1740" s="30">
        <v>46185</v>
      </c>
      <c r="O1740" s="33" t="s">
        <v>3999</v>
      </c>
      <c r="P1740" s="33" t="s">
        <v>3764</v>
      </c>
      <c r="Q1740" s="30" t="str" cm="1">
        <f t="array" ref="Q1740">_xlfn.IFS(
A1740="","",
AND(A1740&lt;&gt;"",B1740=""),"FALTA LANÇAMENTO",
AND(B1740&lt;&gt;"",M1740=""),"FALTA O PEDIDO",
AND(M1740&lt;&gt;"",O1740=""),"FALTA NF",
O1740&lt;&gt;"","CONCLUÍDO")</f>
        <v>CONCLUÍDO</v>
      </c>
      <c r="R1740" s="37"/>
    </row>
    <row r="1741" spans="1:18" hidden="1">
      <c r="A1741" s="30">
        <v>46175</v>
      </c>
      <c r="B1741" s="30">
        <v>46175</v>
      </c>
      <c r="C1741" s="31">
        <v>31521026</v>
      </c>
      <c r="D1741" s="30" t="str">
        <f>IFERROR(VLOOKUP(Tabela5[[#This Row],[PREFIXO ]],Tabela4[#All],2,0),"CENTRO DE CUSTO")</f>
        <v>PULV AUTOPROP JACTO UNIPORT 3030</v>
      </c>
      <c r="E1741" s="33" t="s">
        <v>235</v>
      </c>
      <c r="F1741" s="31">
        <v>2809</v>
      </c>
      <c r="G1741" s="32">
        <v>250</v>
      </c>
      <c r="H1741" s="32">
        <v>2125</v>
      </c>
      <c r="I1741" s="32">
        <f t="shared" si="28"/>
        <v>2375</v>
      </c>
      <c r="J1741" s="33" t="s">
        <v>1080</v>
      </c>
      <c r="K1741" s="33" t="s">
        <v>4000</v>
      </c>
      <c r="L1741" s="33" t="s">
        <v>4001</v>
      </c>
      <c r="M1741" s="33" t="s">
        <v>4002</v>
      </c>
      <c r="N1741" s="30" t="s">
        <v>3532</v>
      </c>
      <c r="O1741" s="33" t="s">
        <v>4003</v>
      </c>
      <c r="P1741" s="33" t="s">
        <v>3534</v>
      </c>
      <c r="Q1741" s="30" t="str" cm="1">
        <f t="array" ref="Q1741">_xlfn.IFS(
A1741="","",
AND(A1741&lt;&gt;"",B1741=""),"FALTA LANÇAMENTO",
AND(B1741&lt;&gt;"",M1741=""),"FALTA O PEDIDO",
AND(M1741&lt;&gt;"",O1741=""),"FALTA NF",
O1741&lt;&gt;"","CONCLUÍDO")</f>
        <v>CONCLUÍDO</v>
      </c>
      <c r="R1741" s="37"/>
    </row>
    <row r="1742" spans="1:18" hidden="1">
      <c r="A1742" s="30">
        <v>46175</v>
      </c>
      <c r="B1742" s="30">
        <v>46177</v>
      </c>
      <c r="C1742" s="31">
        <v>23220004</v>
      </c>
      <c r="D1742" s="30" t="str">
        <f>IFERROR(VLOOKUP(Tabela5[[#This Row],[PREFIXO ]],Tabela4[#All],2,0),"CENTRO DE CUSTO")</f>
        <v>COLHED ALGODÃO JOHN DEERE CP 770</v>
      </c>
      <c r="E1742" s="33" t="s">
        <v>162</v>
      </c>
      <c r="F1742" s="31">
        <v>12882</v>
      </c>
      <c r="G1742" s="32">
        <v>7520</v>
      </c>
      <c r="H1742" s="32"/>
      <c r="I1742" s="32">
        <f t="shared" si="28"/>
        <v>7520</v>
      </c>
      <c r="J1742" s="33" t="s">
        <v>1123</v>
      </c>
      <c r="K1742" s="33" t="s">
        <v>4004</v>
      </c>
      <c r="L1742" s="33" t="s">
        <v>4005</v>
      </c>
      <c r="M1742" s="33">
        <v>41882017</v>
      </c>
      <c r="N1742" s="30">
        <v>46178</v>
      </c>
      <c r="O1742" s="33" t="s">
        <v>4006</v>
      </c>
      <c r="P1742" s="33" t="s">
        <v>3804</v>
      </c>
      <c r="Q1742" s="30" t="str" cm="1">
        <f t="array" ref="Q1742">_xlfn.IFS(
A1742="","",
AND(A1742&lt;&gt;"",B1742=""),"FALTA LANÇAMENTO",
AND(B1742&lt;&gt;"",M1742=""),"FALTA O PEDIDO",
AND(M1742&lt;&gt;"",O1742=""),"FALTA NF",
O1742&lt;&gt;"","CONCLUÍDO")</f>
        <v>CONCLUÍDO</v>
      </c>
      <c r="R1742" s="37"/>
    </row>
    <row r="1743" spans="1:18" hidden="1">
      <c r="A1743" s="30">
        <v>46175</v>
      </c>
      <c r="B1743" s="30">
        <v>46177</v>
      </c>
      <c r="C1743" s="31">
        <v>23220001</v>
      </c>
      <c r="D1743" s="30" t="str">
        <f>IFERROR(VLOOKUP(Tabela5[[#This Row],[PREFIXO ]],Tabela4[#All],2,0),"CENTRO DE CUSTO")</f>
        <v>CENTRO DE CUSTO</v>
      </c>
      <c r="E1743" s="33" t="s">
        <v>162</v>
      </c>
      <c r="F1743" s="31">
        <v>12938</v>
      </c>
      <c r="G1743" s="32">
        <v>7520</v>
      </c>
      <c r="H1743" s="32"/>
      <c r="I1743" s="32">
        <f t="shared" si="28"/>
        <v>7520</v>
      </c>
      <c r="J1743" s="33" t="s">
        <v>1123</v>
      </c>
      <c r="K1743" s="33" t="s">
        <v>4007</v>
      </c>
      <c r="L1743" s="33" t="s">
        <v>4005</v>
      </c>
      <c r="M1743" s="33" t="s">
        <v>4008</v>
      </c>
      <c r="N1743" s="30">
        <v>46178</v>
      </c>
      <c r="O1743" s="33" t="s">
        <v>4006</v>
      </c>
      <c r="P1743" s="33" t="s">
        <v>3804</v>
      </c>
      <c r="Q1743" s="30" t="str" cm="1">
        <f t="array" ref="Q1743">_xlfn.IFS(
A1743="","",
AND(A1743&lt;&gt;"",B1743=""),"FALTA LANÇAMENTO",
AND(B1743&lt;&gt;"",M1743=""),"FALTA O PEDIDO",
AND(M1743&lt;&gt;"",O1743=""),"FALTA NF",
O1743&lt;&gt;"","CONCLUÍDO")</f>
        <v>CONCLUÍDO</v>
      </c>
      <c r="R1743" s="37"/>
    </row>
    <row r="1744" spans="1:18" hidden="1">
      <c r="A1744" s="30">
        <v>46175</v>
      </c>
      <c r="B1744" s="30">
        <v>46184</v>
      </c>
      <c r="C1744" s="31">
        <v>31521011</v>
      </c>
      <c r="D1744" s="30" t="str">
        <f>IFERROR(VLOOKUP(Tabela5[[#This Row],[PREFIXO ]],Tabela4[#All],2,0),"CENTRO DE CUSTO")</f>
        <v>PULV AUTOPROP JACTO UNIPORT 3030</v>
      </c>
      <c r="E1744" s="33" t="s">
        <v>68</v>
      </c>
      <c r="F1744" s="31">
        <v>2360</v>
      </c>
      <c r="G1744" s="32">
        <v>1820</v>
      </c>
      <c r="H1744" s="32">
        <v>2490</v>
      </c>
      <c r="I1744" s="32">
        <f t="shared" si="28"/>
        <v>4310</v>
      </c>
      <c r="J1744" s="33" t="s">
        <v>1080</v>
      </c>
      <c r="K1744" s="33" t="s">
        <v>4009</v>
      </c>
      <c r="L1744" s="33" t="s">
        <v>4010</v>
      </c>
      <c r="M1744" s="33">
        <v>41887812</v>
      </c>
      <c r="N1744" s="30">
        <v>46188</v>
      </c>
      <c r="O1744" s="33" t="s">
        <v>4011</v>
      </c>
      <c r="P1744" s="33" t="s">
        <v>4012</v>
      </c>
      <c r="Q1744" s="30" t="str" cm="1">
        <f t="array" ref="Q1744">_xlfn.IFS(
A1744="","",
AND(A1744&lt;&gt;"",B1744=""),"FALTA LANÇAMENTO",
AND(B1744&lt;&gt;"",M1744=""),"FALTA O PEDIDO",
AND(M1744&lt;&gt;"",O1744=""),"FALTA NF",
O1744&lt;&gt;"","CONCLUÍDO")</f>
        <v>CONCLUÍDO</v>
      </c>
      <c r="R1744" s="37"/>
    </row>
    <row r="1745" spans="1:18" hidden="1">
      <c r="A1745" s="30">
        <v>46175</v>
      </c>
      <c r="B1745" s="30">
        <v>46181</v>
      </c>
      <c r="C1745" s="31">
        <v>61521043</v>
      </c>
      <c r="D1745" s="30" t="str">
        <f>IFERROR(VLOOKUP(Tabela5[[#This Row],[PREFIXO ]],Tabela4[#All],2,0),"CENTRO DE CUSTO")</f>
        <v>ONIB RODOVIÁRIO MASCARELLO GRAN MIDI</v>
      </c>
      <c r="E1745" s="33" t="s">
        <v>129</v>
      </c>
      <c r="F1745" s="31">
        <v>243</v>
      </c>
      <c r="G1745" s="32">
        <v>950</v>
      </c>
      <c r="H1745" s="32">
        <v>350</v>
      </c>
      <c r="I1745" s="32">
        <f t="shared" si="28"/>
        <v>1300</v>
      </c>
      <c r="J1745" s="33" t="s">
        <v>1085</v>
      </c>
      <c r="K1745" s="33" t="s">
        <v>4013</v>
      </c>
      <c r="L1745" s="33" t="s">
        <v>4014</v>
      </c>
      <c r="M1745" s="18">
        <v>41884073</v>
      </c>
      <c r="N1745" s="16">
        <v>46182</v>
      </c>
      <c r="O1745" s="33" t="s">
        <v>3491</v>
      </c>
      <c r="P1745" s="33" t="s">
        <v>3982</v>
      </c>
      <c r="Q1745" s="30" t="str" cm="1">
        <f t="array" ref="Q1745">_xlfn.IFS(
A1745="","",
AND(A1745&lt;&gt;"",B1745=""),"FALTA LANÇAMENTO",
AND(B1745&lt;&gt;"",M1745=""),"FALTA O PEDIDO",
AND(M1745&lt;&gt;"",O1745=""),"FALTA NF",
O1745&lt;&gt;"","CONCLUÍDO")</f>
        <v>CONCLUÍDO</v>
      </c>
      <c r="R1745" s="37"/>
    </row>
    <row r="1746" spans="1:18" hidden="1">
      <c r="A1746" s="30">
        <v>46175</v>
      </c>
      <c r="B1746" s="30">
        <v>46181</v>
      </c>
      <c r="C1746" s="31">
        <v>61521042</v>
      </c>
      <c r="D1746" s="30" t="str">
        <f>IFERROR(VLOOKUP(Tabela5[[#This Row],[PREFIXO ]],Tabela4[#All],2,0),"CENTRO DE CUSTO")</f>
        <v>ONIB RODOVIÁRIO MASCARELLO GRAN MIDI</v>
      </c>
      <c r="E1746" s="33" t="s">
        <v>129</v>
      </c>
      <c r="F1746" s="31">
        <v>244</v>
      </c>
      <c r="G1746" s="32">
        <v>950</v>
      </c>
      <c r="H1746" s="32"/>
      <c r="I1746" s="32">
        <f t="shared" si="28"/>
        <v>950</v>
      </c>
      <c r="J1746" s="18" t="s">
        <v>1085</v>
      </c>
      <c r="K1746" s="33" t="s">
        <v>4015</v>
      </c>
      <c r="L1746" s="33" t="s">
        <v>4016</v>
      </c>
      <c r="M1746" s="17">
        <v>41884072</v>
      </c>
      <c r="N1746" s="20">
        <v>46182</v>
      </c>
      <c r="O1746" s="33" t="s">
        <v>4017</v>
      </c>
      <c r="P1746" s="18" t="s">
        <v>3454</v>
      </c>
      <c r="Q1746" s="30" t="str" cm="1">
        <f t="array" ref="Q1746">_xlfn.IFS(
A1746="","",
AND(A1746&lt;&gt;"",B1746=""),"FALTA LANÇAMENTO",
AND(B1746&lt;&gt;"",M1746=""),"FALTA O PEDIDO",
AND(M1746&lt;&gt;"",O1746=""),"FALTA NF",
O1746&lt;&gt;"","CONCLUÍDO")</f>
        <v>CONCLUÍDO</v>
      </c>
      <c r="R1746" s="37"/>
    </row>
    <row r="1747" spans="1:18" hidden="1">
      <c r="A1747" s="30">
        <v>46175</v>
      </c>
      <c r="B1747" s="30">
        <v>46182</v>
      </c>
      <c r="C1747" s="31">
        <v>11522031</v>
      </c>
      <c r="D1747" s="30" t="str">
        <f>IFERROR(VLOOKUP(Tabela5[[#This Row],[PREFIXO ]],Tabela4[#All],2,0),"CENTRO DE CUSTO")</f>
        <v>CENTRO DE CUSTO</v>
      </c>
      <c r="E1747" s="33" t="s">
        <v>312</v>
      </c>
      <c r="F1747" s="31" t="s">
        <v>4018</v>
      </c>
      <c r="G1747" s="32">
        <v>18912.5</v>
      </c>
      <c r="H1747" s="32"/>
      <c r="I1747" s="32">
        <f t="shared" si="28"/>
        <v>18912.5</v>
      </c>
      <c r="J1747" s="33" t="s">
        <v>1199</v>
      </c>
      <c r="K1747" s="33">
        <v>9879781</v>
      </c>
      <c r="L1747" s="33">
        <v>946160</v>
      </c>
      <c r="M1747" s="33">
        <v>41884999</v>
      </c>
      <c r="N1747" s="30">
        <v>46183</v>
      </c>
      <c r="O1747" s="33" t="s">
        <v>2286</v>
      </c>
      <c r="P1747" s="33" t="s">
        <v>3454</v>
      </c>
      <c r="Q1747" s="30" t="str" cm="1">
        <f t="array" ref="Q1747">_xlfn.IFS(
A1747="","",
AND(A1747&lt;&gt;"",B1747=""),"FALTA LANÇAMENTO",
AND(B1747&lt;&gt;"",M1747=""),"FALTA O PEDIDO",
AND(M1747&lt;&gt;"",O1747=""),"FALTA NF",
O1747&lt;&gt;"","CONCLUÍDO")</f>
        <v>CONCLUÍDO</v>
      </c>
      <c r="R1747" s="37"/>
    </row>
    <row r="1748" spans="1:18" hidden="1">
      <c r="A1748" s="30">
        <v>46175</v>
      </c>
      <c r="B1748" s="30">
        <v>46177</v>
      </c>
      <c r="C1748" s="31">
        <v>11522015</v>
      </c>
      <c r="D1748" s="30" t="str">
        <f>IFERROR(VLOOKUP(Tabela5[[#This Row],[PREFIXO ]],Tabela4[#All],2,0),"CENTRO DE CUSTO")</f>
        <v>CENTRO DE CUSTO</v>
      </c>
      <c r="E1748" s="33" t="s">
        <v>312</v>
      </c>
      <c r="F1748" s="31" t="s">
        <v>4019</v>
      </c>
      <c r="G1748" s="32">
        <v>8800</v>
      </c>
      <c r="H1748" s="32"/>
      <c r="I1748" s="32">
        <f t="shared" si="28"/>
        <v>8800</v>
      </c>
      <c r="J1748" s="33" t="s">
        <v>1199</v>
      </c>
      <c r="K1748" s="33" t="s">
        <v>4020</v>
      </c>
      <c r="L1748" s="33" t="s">
        <v>4021</v>
      </c>
      <c r="M1748" s="33">
        <v>41882019</v>
      </c>
      <c r="N1748" s="30">
        <v>46178</v>
      </c>
      <c r="O1748" s="33" t="s">
        <v>3336</v>
      </c>
      <c r="P1748" s="18" t="s">
        <v>3901</v>
      </c>
      <c r="Q1748" s="30" t="str" cm="1">
        <f t="array" ref="Q1748">_xlfn.IFS(
A1748="","",
AND(A1748&lt;&gt;"",B1748=""),"FALTA LANÇAMENTO",
AND(B1748&lt;&gt;"",M1748=""),"FALTA O PEDIDO",
AND(M1748&lt;&gt;"",O1748=""),"FALTA NF",
O1748&lt;&gt;"","CONCLUÍDO")</f>
        <v>CONCLUÍDO</v>
      </c>
      <c r="R1748" s="37"/>
    </row>
    <row r="1749" spans="1:18" hidden="1">
      <c r="A1749" s="30">
        <v>46175</v>
      </c>
      <c r="B1749" s="30">
        <v>46177</v>
      </c>
      <c r="C1749" s="31">
        <v>13100003</v>
      </c>
      <c r="D1749" s="30" t="str">
        <f>IFERROR(VLOOKUP(Tabela5[[#This Row],[PREFIXO ]],Tabela4[#All],2,0),"CENTRO DE CUSTO")</f>
        <v>TRAT PN PES JOHN DEERE 8400R</v>
      </c>
      <c r="E1749" s="33" t="s">
        <v>312</v>
      </c>
      <c r="F1749" s="31" t="s">
        <v>4022</v>
      </c>
      <c r="G1749" s="32">
        <v>2655.88</v>
      </c>
      <c r="H1749" s="32"/>
      <c r="I1749" s="32">
        <f t="shared" si="28"/>
        <v>2655.88</v>
      </c>
      <c r="J1749" s="18" t="s">
        <v>1199</v>
      </c>
      <c r="K1749" s="33" t="s">
        <v>4023</v>
      </c>
      <c r="L1749" s="33" t="s">
        <v>4021</v>
      </c>
      <c r="M1749" s="33">
        <v>41882019</v>
      </c>
      <c r="N1749" s="30">
        <v>46178</v>
      </c>
      <c r="O1749" s="33" t="s">
        <v>3336</v>
      </c>
      <c r="P1749" s="33" t="s">
        <v>3901</v>
      </c>
      <c r="Q1749" s="30" t="str" cm="1">
        <f t="array" ref="Q1749">_xlfn.IFS(
A1749="","",
AND(A1749&lt;&gt;"",B1749=""),"FALTA LANÇAMENTO",
AND(B1749&lt;&gt;"",M1749=""),"FALTA O PEDIDO",
AND(M1749&lt;&gt;"",O1749=""),"FALTA NF",
O1749&lt;&gt;"","CONCLUÍDO")</f>
        <v>CONCLUÍDO</v>
      </c>
      <c r="R1749" s="37"/>
    </row>
    <row r="1750" spans="1:18" hidden="1">
      <c r="A1750" s="30">
        <v>46175</v>
      </c>
      <c r="B1750" s="30">
        <v>46177</v>
      </c>
      <c r="C1750" s="31">
        <v>15010004</v>
      </c>
      <c r="D1750" s="30" t="str">
        <f>IFERROR(VLOOKUP(Tabela5[[#This Row],[PREFIXO ]],Tabela4[#All],2,0),"CENTRO DE CUSTO")</f>
        <v>TRAT PN MED JOHN DEERE 6145J</v>
      </c>
      <c r="E1750" s="33" t="s">
        <v>312</v>
      </c>
      <c r="F1750" s="31" t="s">
        <v>4024</v>
      </c>
      <c r="G1750" s="32">
        <v>570.4</v>
      </c>
      <c r="H1750" s="32"/>
      <c r="I1750" s="32">
        <f t="shared" si="28"/>
        <v>570.4</v>
      </c>
      <c r="J1750" s="18" t="s">
        <v>1199</v>
      </c>
      <c r="K1750" s="33" t="s">
        <v>4025</v>
      </c>
      <c r="L1750" s="33" t="s">
        <v>4021</v>
      </c>
      <c r="M1750" s="33">
        <v>41882019</v>
      </c>
      <c r="N1750" s="30">
        <v>46178</v>
      </c>
      <c r="O1750" s="33" t="s">
        <v>3336</v>
      </c>
      <c r="P1750" s="33" t="s">
        <v>3901</v>
      </c>
      <c r="Q1750" s="30" t="str" cm="1">
        <f t="array" ref="Q1750">_xlfn.IFS(
A1750="","",
AND(A1750&lt;&gt;"",B1750=""),"FALTA LANÇAMENTO",
AND(B1750&lt;&gt;"",M1750=""),"FALTA O PEDIDO",
AND(M1750&lt;&gt;"",O1750=""),"FALTA NF",
O1750&lt;&gt;"","CONCLUÍDO")</f>
        <v>CONCLUÍDO</v>
      </c>
      <c r="R1750" s="37"/>
    </row>
    <row r="1751" spans="1:18" hidden="1">
      <c r="A1751" s="30">
        <v>46175</v>
      </c>
      <c r="B1751" s="30">
        <v>46176</v>
      </c>
      <c r="C1751" s="31">
        <v>22080167</v>
      </c>
      <c r="D1751" s="30" t="str">
        <f>IFERROR(VLOOKUP(Tabela5[[#This Row],[PREFIXO ]],Tabela4[#All],2,0),"CENTRO DE CUSTO")</f>
        <v>CENTRO DE CUSTO</v>
      </c>
      <c r="E1751" s="33" t="s">
        <v>39</v>
      </c>
      <c r="F1751" s="31"/>
      <c r="G1751" s="32">
        <v>1400</v>
      </c>
      <c r="H1751" s="32"/>
      <c r="I1751" s="32">
        <f t="shared" si="28"/>
        <v>1400</v>
      </c>
      <c r="J1751" s="18" t="s">
        <v>1085</v>
      </c>
      <c r="K1751" s="33" t="s">
        <v>4026</v>
      </c>
      <c r="L1751" s="33" t="s">
        <v>4027</v>
      </c>
      <c r="M1751" s="33" t="s">
        <v>4028</v>
      </c>
      <c r="N1751" s="30">
        <v>46178</v>
      </c>
      <c r="O1751" s="33" t="s">
        <v>4029</v>
      </c>
      <c r="P1751" s="33" t="s">
        <v>3454</v>
      </c>
      <c r="Q1751" s="30" t="str" cm="1">
        <f t="array" ref="Q1751">_xlfn.IFS(
A1751="","",
AND(A1751&lt;&gt;"",B1751=""),"FALTA LANÇAMENTO",
AND(B1751&lt;&gt;"",M1751=""),"FALTA O PEDIDO",
AND(M1751&lt;&gt;"",O1751=""),"FALTA NF",
O1751&lt;&gt;"","CONCLUÍDO")</f>
        <v>CONCLUÍDO</v>
      </c>
      <c r="R1751" s="37"/>
    </row>
    <row r="1752" spans="1:18" hidden="1">
      <c r="A1752" s="30">
        <v>46175</v>
      </c>
      <c r="B1752" s="30">
        <v>46176</v>
      </c>
      <c r="C1752" s="31">
        <v>22080169</v>
      </c>
      <c r="D1752" s="30" t="str">
        <f>IFERROR(VLOOKUP(Tabela5[[#This Row],[PREFIXO ]],Tabela4[#All],2,0),"CENTRO DE CUSTO")</f>
        <v>CENTRO DE CUSTO</v>
      </c>
      <c r="E1752" s="33" t="s">
        <v>39</v>
      </c>
      <c r="F1752" s="31"/>
      <c r="G1752" s="32">
        <v>1400</v>
      </c>
      <c r="H1752" s="32"/>
      <c r="I1752" s="32">
        <f t="shared" si="28"/>
        <v>1400</v>
      </c>
      <c r="J1752" s="18" t="s">
        <v>1085</v>
      </c>
      <c r="K1752" s="33" t="s">
        <v>4030</v>
      </c>
      <c r="L1752" s="33" t="s">
        <v>4031</v>
      </c>
      <c r="M1752" s="33" t="s">
        <v>4028</v>
      </c>
      <c r="N1752" s="30">
        <v>46178</v>
      </c>
      <c r="O1752" s="33" t="s">
        <v>4029</v>
      </c>
      <c r="P1752" s="33" t="s">
        <v>3454</v>
      </c>
      <c r="Q1752" s="30" t="str" cm="1">
        <f t="array" ref="Q1752">_xlfn.IFS(
A1752="","",
AND(A1752&lt;&gt;"",B1752=""),"FALTA LANÇAMENTO",
AND(B1752&lt;&gt;"",M1752=""),"FALTA O PEDIDO",
AND(M1752&lt;&gt;"",O1752=""),"FALTA NF",
O1752&lt;&gt;"","CONCLUÍDO")</f>
        <v>CONCLUÍDO</v>
      </c>
      <c r="R1752" s="37"/>
    </row>
    <row r="1753" spans="1:18" hidden="1">
      <c r="A1753" s="30">
        <v>46175</v>
      </c>
      <c r="B1753" s="30">
        <v>46176</v>
      </c>
      <c r="C1753" s="31">
        <v>61521052</v>
      </c>
      <c r="D1753" s="30" t="str">
        <f>IFERROR(VLOOKUP(Tabela5[[#This Row],[PREFIXO ]],Tabela4[#All],2,0),"CENTRO DE CUSTO")</f>
        <v>CAM CARGA SECA MERC BENZ ATEGO 1719</v>
      </c>
      <c r="E1753" s="33" t="s">
        <v>39</v>
      </c>
      <c r="F1753" s="31"/>
      <c r="G1753" s="32">
        <v>390</v>
      </c>
      <c r="H1753" s="32"/>
      <c r="I1753" s="32">
        <f t="shared" si="28"/>
        <v>390</v>
      </c>
      <c r="J1753" s="18" t="s">
        <v>1085</v>
      </c>
      <c r="K1753" s="33" t="s">
        <v>4032</v>
      </c>
      <c r="L1753" s="33" t="s">
        <v>4031</v>
      </c>
      <c r="M1753" s="33" t="s">
        <v>4028</v>
      </c>
      <c r="N1753" s="30">
        <v>46178</v>
      </c>
      <c r="O1753" s="33" t="s">
        <v>4029</v>
      </c>
      <c r="P1753" s="18" t="s">
        <v>3454</v>
      </c>
      <c r="Q1753" s="30" t="str" cm="1">
        <f t="array" ref="Q1753">_xlfn.IFS(
A1753="","",
AND(A1753&lt;&gt;"",B1753=""),"FALTA LANÇAMENTO",
AND(B1753&lt;&gt;"",M1753=""),"FALTA O PEDIDO",
AND(M1753&lt;&gt;"",O1753=""),"FALTA NF",
O1753&lt;&gt;"","CONCLUÍDO")</f>
        <v>CONCLUÍDO</v>
      </c>
      <c r="R1753" s="37"/>
    </row>
    <row r="1754" spans="1:18" hidden="1">
      <c r="A1754" s="30">
        <v>46175</v>
      </c>
      <c r="B1754" s="30">
        <v>46220</v>
      </c>
      <c r="C1754" s="31">
        <v>81726736</v>
      </c>
      <c r="D1754" s="30" t="str">
        <f>IFERROR(VLOOKUP(Tabela5[[#This Row],[PREFIXO ]],Tabela4[#All],2,0),"CENTRO DE CUSTO")</f>
        <v>CENTRO DE CUSTO</v>
      </c>
      <c r="E1754" s="18" t="s">
        <v>162</v>
      </c>
      <c r="F1754" s="31">
        <v>14031</v>
      </c>
      <c r="G1754" s="32">
        <v>10003.950000000001</v>
      </c>
      <c r="H1754" s="32"/>
      <c r="I1754" s="32">
        <f t="shared" si="28"/>
        <v>10003.950000000001</v>
      </c>
      <c r="J1754" s="33" t="s">
        <v>1123</v>
      </c>
      <c r="K1754" s="33" t="s">
        <v>4033</v>
      </c>
      <c r="L1754" s="33" t="s">
        <v>4034</v>
      </c>
      <c r="M1754" s="33"/>
      <c r="N1754" s="30"/>
      <c r="O1754" s="33"/>
      <c r="P1754" s="33"/>
      <c r="Q1754" s="30" t="str" cm="1">
        <f t="array" ref="Q1754">_xlfn.IFS(
A1754="","",
AND(A1754&lt;&gt;"",B1754=""),"FALTA LANÇAMENTO",
AND(B1754&lt;&gt;"",M1754=""),"FALTA O PEDIDO",
AND(M1754&lt;&gt;"",O1754=""),"FALTA NF",
O1754&lt;&gt;"","CONCLUÍDO")</f>
        <v>FALTA O PEDIDO</v>
      </c>
      <c r="R1754" s="37"/>
    </row>
    <row r="1755" spans="1:18" hidden="1">
      <c r="A1755" s="30">
        <v>46175</v>
      </c>
      <c r="B1755" s="30">
        <v>46185</v>
      </c>
      <c r="C1755" s="31">
        <v>500580325</v>
      </c>
      <c r="D1755" s="30" t="str">
        <f>IFERROR(VLOOKUP(Tabela5[[#This Row],[PREFIXO ]],Tabela4[#All],2,0),"CENTRO DE CUSTO")</f>
        <v>Colheitad. Alg Auto</v>
      </c>
      <c r="E1755" s="33" t="s">
        <v>246</v>
      </c>
      <c r="F1755" s="31">
        <v>500580325</v>
      </c>
      <c r="G1755" s="32">
        <v>6800</v>
      </c>
      <c r="H1755" s="32"/>
      <c r="I1755" s="32">
        <f t="shared" si="28"/>
        <v>6800</v>
      </c>
      <c r="J1755" s="33" t="s">
        <v>1123</v>
      </c>
      <c r="K1755" s="33" t="s">
        <v>4035</v>
      </c>
      <c r="L1755" s="33" t="s">
        <v>4036</v>
      </c>
      <c r="M1755" s="33" t="s">
        <v>4037</v>
      </c>
      <c r="N1755" s="30">
        <v>46189</v>
      </c>
      <c r="O1755" s="33" t="s">
        <v>2110</v>
      </c>
      <c r="P1755" s="33" t="s">
        <v>4038</v>
      </c>
      <c r="Q1755" s="30" t="str" cm="1">
        <f t="array" ref="Q1755">_xlfn.IFS(
A1755="","",
AND(A1755&lt;&gt;"",B1755=""),"FALTA LANÇAMENTO",
AND(B1755&lt;&gt;"",M1755=""),"FALTA O PEDIDO",
AND(M1755&lt;&gt;"",O1755=""),"FALTA NF",
O1755&lt;&gt;"","CONCLUÍDO")</f>
        <v>CONCLUÍDO</v>
      </c>
      <c r="R1755" s="37"/>
    </row>
    <row r="1756" spans="1:18" hidden="1">
      <c r="A1756" s="30">
        <v>46175</v>
      </c>
      <c r="B1756" s="30">
        <v>46184</v>
      </c>
      <c r="C1756" s="31">
        <v>61521083</v>
      </c>
      <c r="D1756" s="30" t="str">
        <f>IFERROR(VLOOKUP(Tabela5[[#This Row],[PREFIXO ]],Tabela4[#All],2,0),"CENTRO DE CUSTO")</f>
        <v>CAM COMBOIO VOLVO VM 330</v>
      </c>
      <c r="E1756" s="33" t="s">
        <v>24</v>
      </c>
      <c r="F1756" s="31" t="s">
        <v>4039</v>
      </c>
      <c r="G1756" s="32">
        <v>6791.4</v>
      </c>
      <c r="H1756" s="32">
        <v>4256.63</v>
      </c>
      <c r="I1756" s="32">
        <f t="shared" si="28"/>
        <v>11048.029999999999</v>
      </c>
      <c r="J1756" s="18" t="s">
        <v>1085</v>
      </c>
      <c r="K1756" s="33" t="s">
        <v>4040</v>
      </c>
      <c r="L1756" s="33" t="s">
        <v>4041</v>
      </c>
      <c r="M1756" s="33" t="s">
        <v>4042</v>
      </c>
      <c r="N1756" s="30">
        <v>46211</v>
      </c>
      <c r="O1756" s="33" t="s">
        <v>4043</v>
      </c>
      <c r="P1756" s="33" t="s">
        <v>4044</v>
      </c>
      <c r="Q1756" s="30" t="str" cm="1">
        <f t="array" ref="Q1756">_xlfn.IFS(
A1756="","",
AND(A1756&lt;&gt;"",B1756=""),"FALTA LANÇAMENTO",
AND(B1756&lt;&gt;"",M1756=""),"FALTA O PEDIDO",
AND(M1756&lt;&gt;"",O1756=""),"FALTA NF",
O1756&lt;&gt;"","CONCLUÍDO")</f>
        <v>CONCLUÍDO</v>
      </c>
      <c r="R1756" s="37"/>
    </row>
    <row r="1757" spans="1:18" hidden="1">
      <c r="A1757" s="30">
        <v>46175</v>
      </c>
      <c r="B1757" s="30">
        <v>46181</v>
      </c>
      <c r="C1757" s="31">
        <v>61521041</v>
      </c>
      <c r="D1757" s="30" t="str">
        <f>IFERROR(VLOOKUP(Tabela5[[#This Row],[PREFIXO ]],Tabela4[#All],2,0),"CENTRO DE CUSTO")</f>
        <v>ONIB RODOVIÁRIO MASCARELLO GRAN MIDI</v>
      </c>
      <c r="E1757" s="33" t="s">
        <v>24</v>
      </c>
      <c r="F1757" s="31" t="s">
        <v>4045</v>
      </c>
      <c r="G1757" s="32">
        <v>1980</v>
      </c>
      <c r="H1757" s="32">
        <v>58.5</v>
      </c>
      <c r="I1757" s="32">
        <f t="shared" si="28"/>
        <v>2038.5</v>
      </c>
      <c r="J1757" s="18" t="s">
        <v>1085</v>
      </c>
      <c r="K1757" s="33" t="s">
        <v>4046</v>
      </c>
      <c r="L1757" s="33" t="s">
        <v>4047</v>
      </c>
      <c r="M1757" s="33" t="s">
        <v>4048</v>
      </c>
      <c r="N1757" s="30">
        <v>46182</v>
      </c>
      <c r="O1757" s="33"/>
      <c r="P1757" s="33"/>
      <c r="Q1757" s="30" t="str" cm="1">
        <f t="array" ref="Q1757">_xlfn.IFS(
A1757="","",
AND(A1757&lt;&gt;"",B1757=""),"FALTA LANÇAMENTO",
AND(B1757&lt;&gt;"",M1757=""),"FALTA O PEDIDO",
AND(M1757&lt;&gt;"",O1757=""),"FALTA NF",
O1757&lt;&gt;"","CONCLUÍDO")</f>
        <v>FALTA NF</v>
      </c>
      <c r="R1757" s="37"/>
    </row>
    <row r="1758" spans="1:18" hidden="1">
      <c r="A1758" s="30">
        <v>46175</v>
      </c>
      <c r="B1758" s="30">
        <v>46181</v>
      </c>
      <c r="C1758" s="31">
        <v>16170007</v>
      </c>
      <c r="D1758" s="30" t="str">
        <f>IFERROR(VLOOKUP(Tabela5[[#This Row],[PREFIXO ]],Tabela4[#All],2,0),"CENTRO DE CUSTO")</f>
        <v>SR TANQUE RODOTECNIC SRT TQ2 INOX</v>
      </c>
      <c r="E1758" s="33" t="s">
        <v>29</v>
      </c>
      <c r="F1758" s="31">
        <v>55652</v>
      </c>
      <c r="G1758" s="32">
        <v>80</v>
      </c>
      <c r="H1758" s="32">
        <v>835.66</v>
      </c>
      <c r="I1758" s="32">
        <f t="shared" si="28"/>
        <v>915.66</v>
      </c>
      <c r="J1758" s="33" t="s">
        <v>1085</v>
      </c>
      <c r="K1758" s="33" t="s">
        <v>4049</v>
      </c>
      <c r="L1758" s="33" t="s">
        <v>4050</v>
      </c>
      <c r="M1758" s="33" t="s">
        <v>4051</v>
      </c>
      <c r="N1758" s="30">
        <v>46182</v>
      </c>
      <c r="O1758" s="33"/>
      <c r="P1758" s="33"/>
      <c r="Q1758" s="30" t="str" cm="1">
        <f t="array" ref="Q1758">_xlfn.IFS(
A1758="","",
AND(A1758&lt;&gt;"",B1758=""),"FALTA LANÇAMENTO",
AND(B1758&lt;&gt;"",M1758=""),"FALTA O PEDIDO",
AND(M1758&lt;&gt;"",O1758=""),"FALTA NF",
O1758&lt;&gt;"","CONCLUÍDO")</f>
        <v>FALTA NF</v>
      </c>
      <c r="R1758" s="37"/>
    </row>
    <row r="1759" spans="1:18" hidden="1">
      <c r="A1759" s="30">
        <v>46175</v>
      </c>
      <c r="B1759" s="16">
        <v>46198</v>
      </c>
      <c r="C1759" s="21">
        <v>61521011</v>
      </c>
      <c r="D1759" s="16" t="str">
        <f>IFERROR(VLOOKUP(Tabela5[[#This Row],[PREFIXO ]],Tabela4[#All],2,0),"CENTRO DE CUSTO")</f>
        <v>CAM COMBOIO MERC BENZ ATRON 2729</v>
      </c>
      <c r="E1759" s="18" t="s">
        <v>29</v>
      </c>
      <c r="F1759" s="21">
        <v>55633</v>
      </c>
      <c r="G1759" s="22">
        <v>22682</v>
      </c>
      <c r="H1759" s="22">
        <v>58727.06</v>
      </c>
      <c r="I1759" s="22">
        <f t="shared" si="28"/>
        <v>81409.06</v>
      </c>
      <c r="J1759" s="33" t="s">
        <v>1085</v>
      </c>
      <c r="K1759" s="18" t="s">
        <v>4052</v>
      </c>
      <c r="L1759" s="18" t="s">
        <v>4053</v>
      </c>
      <c r="M1759" s="18" t="s">
        <v>4054</v>
      </c>
      <c r="N1759" s="16">
        <v>46199</v>
      </c>
      <c r="O1759" s="18" t="s">
        <v>4055</v>
      </c>
      <c r="P1759" s="18" t="s">
        <v>4056</v>
      </c>
      <c r="Q1759" s="16" t="str" cm="1">
        <f t="array" ref="Q1759">_xlfn.IFS(
A1759="","",
AND(A1759&lt;&gt;"",B1759=""),"FALTA LANÇAMENTO",
AND(B1759&lt;&gt;"",M1759=""),"FALTA O PEDIDO",
AND(M1759&lt;&gt;"",O1759=""),"FALTA NF",
O1759&lt;&gt;"","CONCLUÍDO")</f>
        <v>CONCLUÍDO</v>
      </c>
      <c r="R1759" s="36"/>
    </row>
    <row r="1760" spans="1:18" hidden="1">
      <c r="A1760" s="30">
        <v>46175</v>
      </c>
      <c r="B1760" s="16">
        <v>46185</v>
      </c>
      <c r="C1760" s="21">
        <v>61521064</v>
      </c>
      <c r="D1760" s="16" t="str">
        <f>IFERROR(VLOOKUP(Tabela5[[#This Row],[PREFIXO ]],Tabela4[#All],2,0),"CENTRO DE CUSTO")</f>
        <v>CAM ROLL ON/OFF VOLVO VM 330</v>
      </c>
      <c r="E1760" s="18" t="s">
        <v>29</v>
      </c>
      <c r="F1760" s="21">
        <v>55635</v>
      </c>
      <c r="G1760" s="22">
        <v>33082</v>
      </c>
      <c r="H1760" s="22">
        <v>36331</v>
      </c>
      <c r="I1760" s="22">
        <f t="shared" si="28"/>
        <v>69413</v>
      </c>
      <c r="J1760" s="33" t="s">
        <v>1085</v>
      </c>
      <c r="K1760" s="18" t="s">
        <v>4057</v>
      </c>
      <c r="L1760" s="18" t="s">
        <v>4058</v>
      </c>
      <c r="M1760" s="18">
        <v>41891432</v>
      </c>
      <c r="N1760" s="16">
        <v>46192</v>
      </c>
      <c r="O1760" s="33" t="s">
        <v>4059</v>
      </c>
      <c r="P1760" s="18" t="s">
        <v>3579</v>
      </c>
      <c r="Q1760" s="16" t="str" cm="1">
        <f t="array" ref="Q1760">_xlfn.IFS(
A1760="","",
AND(A1760&lt;&gt;"",B1760=""),"FALTA LANÇAMENTO",
AND(B1760&lt;&gt;"",M1760=""),"FALTA O PEDIDO",
AND(M1760&lt;&gt;"",O1760=""),"FALTA NF",
O1760&lt;&gt;"","CONCLUÍDO")</f>
        <v>CONCLUÍDO</v>
      </c>
      <c r="R1760" s="36"/>
    </row>
    <row r="1761" spans="1:18" hidden="1">
      <c r="A1761" s="30">
        <v>46175</v>
      </c>
      <c r="B1761" s="16">
        <v>46175</v>
      </c>
      <c r="C1761" s="21">
        <v>500580579</v>
      </c>
      <c r="D1761" s="16" t="str">
        <f>IFERROR(VLOOKUP(Tabela5[[#This Row],[PREFIXO ]],Tabela4[#All],2,0),"CENTRO DE CUSTO")</f>
        <v>Pátio de Vendas</v>
      </c>
      <c r="E1761" s="18" t="s">
        <v>224</v>
      </c>
      <c r="F1761" s="21">
        <v>2683</v>
      </c>
      <c r="G1761" s="22">
        <v>1770</v>
      </c>
      <c r="H1761" s="22"/>
      <c r="I1761" s="22">
        <f t="shared" si="28"/>
        <v>1770</v>
      </c>
      <c r="J1761" s="18" t="s">
        <v>1152</v>
      </c>
      <c r="K1761" s="18"/>
      <c r="L1761" s="18" t="s">
        <v>4060</v>
      </c>
      <c r="M1761" s="18" t="s">
        <v>4061</v>
      </c>
      <c r="N1761" s="16">
        <v>46175</v>
      </c>
      <c r="O1761" s="18" t="s">
        <v>2418</v>
      </c>
      <c r="P1761" s="18" t="s">
        <v>3629</v>
      </c>
      <c r="Q1761" s="16" t="str" cm="1">
        <f t="array" ref="Q1761">_xlfn.IFS(
A1761="","",
AND(A1761&lt;&gt;"",B1761=""),"FALTA LANÇAMENTO",
AND(B1761&lt;&gt;"",M1761=""),"FALTA O PEDIDO",
AND(M1761&lt;&gt;"",O1761=""),"FALTA NF",
O1761&lt;&gt;"","CONCLUÍDO")</f>
        <v>CONCLUÍDO</v>
      </c>
      <c r="R1761" s="36"/>
    </row>
    <row r="1762" spans="1:18" hidden="1">
      <c r="A1762" s="30">
        <v>46175</v>
      </c>
      <c r="B1762" s="16">
        <v>46175</v>
      </c>
      <c r="C1762" s="21">
        <v>500580263</v>
      </c>
      <c r="D1762" s="16" t="str">
        <f>IFERROR(VLOOKUP(Tabela5[[#This Row],[PREFIXO ]],Tabela4[#All],2,0),"CENTRO DE CUSTO")</f>
        <v>Colheit. Grãos-Axial</v>
      </c>
      <c r="E1762" s="18" t="s">
        <v>308</v>
      </c>
      <c r="F1762" s="21" t="s">
        <v>2624</v>
      </c>
      <c r="G1762" s="22">
        <v>45296.75</v>
      </c>
      <c r="H1762" s="22"/>
      <c r="I1762" s="22">
        <f t="shared" si="28"/>
        <v>45296.75</v>
      </c>
      <c r="J1762" s="18" t="s">
        <v>1123</v>
      </c>
      <c r="K1762" s="18" t="s">
        <v>4062</v>
      </c>
      <c r="L1762" s="18" t="s">
        <v>4063</v>
      </c>
      <c r="M1762" s="18" t="s">
        <v>4064</v>
      </c>
      <c r="N1762" s="16">
        <v>46176</v>
      </c>
      <c r="O1762" s="18" t="s">
        <v>3336</v>
      </c>
      <c r="P1762" s="18" t="s">
        <v>3532</v>
      </c>
      <c r="Q1762" s="16" t="str" cm="1">
        <f t="array" ref="Q1762">_xlfn.IFS(
A1762="","",
AND(A1762&lt;&gt;"",B1762=""),"FALTA LANÇAMENTO",
AND(B1762&lt;&gt;"",M1762=""),"FALTA O PEDIDO",
AND(M1762&lt;&gt;"",O1762=""),"FALTA NF",
O1762&lt;&gt;"","CONCLUÍDO")</f>
        <v>CONCLUÍDO</v>
      </c>
      <c r="R1762" s="36"/>
    </row>
    <row r="1763" spans="1:18" hidden="1">
      <c r="A1763" s="30">
        <v>46175</v>
      </c>
      <c r="B1763" s="16">
        <v>46175</v>
      </c>
      <c r="C1763" s="21">
        <v>51519062</v>
      </c>
      <c r="D1763" s="16" t="str">
        <f>IFERROR(VLOOKUP(Tabela5[[#This Row],[PREFIXO ]],Tabela4[#All],2,0),"CENTRO DE CUSTO")</f>
        <v>CENTRO DE CUSTO</v>
      </c>
      <c r="E1763" s="18" t="s">
        <v>17</v>
      </c>
      <c r="F1763" s="21">
        <v>43637</v>
      </c>
      <c r="G1763" s="22">
        <v>73306.42</v>
      </c>
      <c r="H1763" s="22">
        <v>79569.64</v>
      </c>
      <c r="I1763" s="22">
        <f t="shared" si="28"/>
        <v>152876.06</v>
      </c>
      <c r="J1763" s="18" t="s">
        <v>1123</v>
      </c>
      <c r="K1763" s="18" t="s">
        <v>4065</v>
      </c>
      <c r="L1763" s="18" t="s">
        <v>4066</v>
      </c>
      <c r="M1763" s="18" t="s">
        <v>4067</v>
      </c>
      <c r="N1763" s="16">
        <v>46175</v>
      </c>
      <c r="O1763" s="18" t="s">
        <v>4068</v>
      </c>
      <c r="P1763" s="18" t="s">
        <v>3532</v>
      </c>
      <c r="Q1763" s="16" t="str" cm="1">
        <f t="array" ref="Q1763">_xlfn.IFS(
A1763="","",
AND(A1763&lt;&gt;"",B1763=""),"FALTA LANÇAMENTO",
AND(B1763&lt;&gt;"",M1763=""),"FALTA O PEDIDO",
AND(M1763&lt;&gt;"",O1763=""),"FALTA NF",
O1763&lt;&gt;"","CONCLUÍDO")</f>
        <v>CONCLUÍDO</v>
      </c>
      <c r="R1763" s="36"/>
    </row>
    <row r="1764" spans="1:18" hidden="1">
      <c r="A1764" s="30">
        <v>46176</v>
      </c>
      <c r="B1764" s="16">
        <v>46178</v>
      </c>
      <c r="C1764" s="21">
        <v>500580090</v>
      </c>
      <c r="D1764" s="16" t="str">
        <f>IFERROR(VLOOKUP(Tabela5[[#This Row],[PREFIXO ]],Tabela4[#All],2,0),"CENTRO DE CUSTO")</f>
        <v>Plantadeiras</v>
      </c>
      <c r="E1764" s="18" t="s">
        <v>96</v>
      </c>
      <c r="F1764" s="21" t="s">
        <v>4069</v>
      </c>
      <c r="G1764" s="22">
        <v>540</v>
      </c>
      <c r="H1764" s="22">
        <v>4200</v>
      </c>
      <c r="I1764" s="22">
        <f t="shared" si="28"/>
        <v>4740</v>
      </c>
      <c r="J1764" s="18" t="s">
        <v>1199</v>
      </c>
      <c r="K1764" s="18" t="s">
        <v>4070</v>
      </c>
      <c r="L1764" s="18" t="s">
        <v>4071</v>
      </c>
      <c r="M1764" s="18" t="s">
        <v>4072</v>
      </c>
      <c r="N1764" s="16">
        <v>46181</v>
      </c>
      <c r="O1764" s="18" t="s">
        <v>4073</v>
      </c>
      <c r="P1764" s="18" t="s">
        <v>3680</v>
      </c>
      <c r="Q1764" s="16" t="str" cm="1">
        <f t="array" ref="Q1764">_xlfn.IFS(
A1764="","",
AND(A1764&lt;&gt;"",B1764=""),"FALTA LANÇAMENTO",
AND(B1764&lt;&gt;"",M1764=""),"FALTA O PEDIDO",
AND(M1764&lt;&gt;"",O1764=""),"FALTA NF",
O1764&lt;&gt;"","CONCLUÍDO")</f>
        <v>CONCLUÍDO</v>
      </c>
      <c r="R1764" s="36"/>
    </row>
    <row r="1765" spans="1:18" hidden="1">
      <c r="A1765" s="30">
        <v>46176</v>
      </c>
      <c r="B1765" s="16">
        <v>46184</v>
      </c>
      <c r="C1765" s="21">
        <v>61521083</v>
      </c>
      <c r="D1765" s="16" t="str">
        <f>IFERROR(VLOOKUP(Tabela5[[#This Row],[PREFIXO ]],Tabela4[#All],2,0),"CENTRO DE CUSTO")</f>
        <v>CAM COMBOIO VOLVO VM 330</v>
      </c>
      <c r="E1765" s="18" t="s">
        <v>347</v>
      </c>
      <c r="F1765" s="21">
        <v>1248</v>
      </c>
      <c r="G1765" s="22">
        <v>580</v>
      </c>
      <c r="H1765" s="22"/>
      <c r="I1765" s="22">
        <f t="shared" si="28"/>
        <v>580</v>
      </c>
      <c r="J1765" s="33" t="s">
        <v>1199</v>
      </c>
      <c r="K1765" s="18" t="s">
        <v>4074</v>
      </c>
      <c r="L1765" s="18" t="s">
        <v>4075</v>
      </c>
      <c r="M1765" s="18">
        <v>41886949</v>
      </c>
      <c r="N1765" s="16">
        <v>46185</v>
      </c>
      <c r="O1765" s="18" t="s">
        <v>3562</v>
      </c>
      <c r="P1765" s="18" t="s">
        <v>3982</v>
      </c>
      <c r="Q1765" s="16" t="str" cm="1">
        <f t="array" ref="Q1765">_xlfn.IFS(
A1765="","",
AND(A1765&lt;&gt;"",B1765=""),"FALTA LANÇAMENTO",
AND(B1765&lt;&gt;"",M1765=""),"FALTA O PEDIDO",
AND(M1765&lt;&gt;"",O1765=""),"FALTA NF",
O1765&lt;&gt;"","CONCLUÍDO")</f>
        <v>CONCLUÍDO</v>
      </c>
      <c r="R1765" s="36"/>
    </row>
    <row r="1766" spans="1:18" hidden="1">
      <c r="A1766" s="30">
        <v>46176</v>
      </c>
      <c r="B1766" s="16">
        <v>46178</v>
      </c>
      <c r="C1766" s="21">
        <v>17020051</v>
      </c>
      <c r="D1766" s="16" t="str">
        <f>IFERROR(VLOOKUP(Tabela5[[#This Row],[PREFIXO ]],Tabela4[#All],2,0),"CENTRO DE CUSTO")</f>
        <v>SOPRADOR COSTAL STIHL BR800</v>
      </c>
      <c r="E1766" s="18" t="s">
        <v>40</v>
      </c>
      <c r="F1766" s="21">
        <v>139262</v>
      </c>
      <c r="G1766" s="22">
        <v>286</v>
      </c>
      <c r="H1766" s="22">
        <v>1558.68</v>
      </c>
      <c r="I1766" s="22">
        <f t="shared" si="28"/>
        <v>1844.68</v>
      </c>
      <c r="J1766" s="33" t="s">
        <v>1085</v>
      </c>
      <c r="K1766" s="18" t="s">
        <v>4076</v>
      </c>
      <c r="L1766" s="18" t="s">
        <v>4077</v>
      </c>
      <c r="M1766" s="18">
        <v>41883166</v>
      </c>
      <c r="N1766" s="16">
        <v>46181</v>
      </c>
      <c r="O1766" s="33" t="s">
        <v>4078</v>
      </c>
      <c r="P1766" s="18" t="s">
        <v>3846</v>
      </c>
      <c r="Q1766" s="16" t="str" cm="1">
        <f t="array" ref="Q1766">_xlfn.IFS(
A1766="","",
AND(A1766&lt;&gt;"",B1766=""),"FALTA LANÇAMENTO",
AND(B1766&lt;&gt;"",M1766=""),"FALTA O PEDIDO",
AND(M1766&lt;&gt;"",O1766=""),"FALTA NF",
O1766&lt;&gt;"","CONCLUÍDO")</f>
        <v>CONCLUÍDO</v>
      </c>
      <c r="R1766" s="36"/>
    </row>
    <row r="1767" spans="1:18" hidden="1">
      <c r="A1767" s="30">
        <v>46176</v>
      </c>
      <c r="B1767" s="16">
        <v>46178</v>
      </c>
      <c r="C1767" s="21">
        <v>17020055</v>
      </c>
      <c r="D1767" s="16" t="str">
        <f>IFERROR(VLOOKUP(Tabela5[[#This Row],[PREFIXO ]],Tabela4[#All],2,0),"CENTRO DE CUSTO")</f>
        <v>SOPRADOR COSTAL STIHL BR600</v>
      </c>
      <c r="E1767" s="18" t="s">
        <v>40</v>
      </c>
      <c r="F1767" s="21">
        <v>140998</v>
      </c>
      <c r="G1767" s="22">
        <v>286</v>
      </c>
      <c r="H1767" s="22">
        <v>1021.93</v>
      </c>
      <c r="I1767" s="22">
        <f t="shared" si="28"/>
        <v>1307.9299999999998</v>
      </c>
      <c r="J1767" s="33" t="s">
        <v>1085</v>
      </c>
      <c r="K1767" s="18" t="s">
        <v>4079</v>
      </c>
      <c r="L1767" s="18" t="s">
        <v>4080</v>
      </c>
      <c r="M1767" s="18">
        <v>41883171</v>
      </c>
      <c r="N1767" s="16">
        <v>46181</v>
      </c>
      <c r="O1767" s="18" t="s">
        <v>4081</v>
      </c>
      <c r="P1767" s="18" t="s">
        <v>3846</v>
      </c>
      <c r="Q1767" s="16" t="str" cm="1">
        <f t="array" ref="Q1767">_xlfn.IFS(
A1767="","",
AND(A1767&lt;&gt;"",B1767=""),"FALTA LANÇAMENTO",
AND(B1767&lt;&gt;"",M1767=""),"FALTA O PEDIDO",
AND(M1767&lt;&gt;"",O1767=""),"FALTA NF",
O1767&lt;&gt;"","CONCLUÍDO")</f>
        <v>CONCLUÍDO</v>
      </c>
      <c r="R1767" s="36"/>
    </row>
    <row r="1768" spans="1:18" hidden="1">
      <c r="A1768" s="30">
        <v>46176</v>
      </c>
      <c r="B1768" s="16">
        <v>46178</v>
      </c>
      <c r="C1768" s="21">
        <v>901627</v>
      </c>
      <c r="D1768" s="16" t="str">
        <f>IFERROR(VLOOKUP(Tabela5[[#This Row],[PREFIXO ]],Tabela4[#All],2,0),"CENTRO DE CUSTO")</f>
        <v>SOPRADOR COSTAL BR600</v>
      </c>
      <c r="E1768" s="18" t="s">
        <v>40</v>
      </c>
      <c r="F1768" s="21">
        <v>140997</v>
      </c>
      <c r="G1768" s="22">
        <v>286</v>
      </c>
      <c r="H1768" s="22">
        <v>933.43</v>
      </c>
      <c r="I1768" s="22">
        <f t="shared" si="28"/>
        <v>1219.4299999999998</v>
      </c>
      <c r="J1768" s="33" t="s">
        <v>1085</v>
      </c>
      <c r="K1768" s="18" t="s">
        <v>4082</v>
      </c>
      <c r="L1768" s="18" t="s">
        <v>4083</v>
      </c>
      <c r="M1768" s="18">
        <v>41883169</v>
      </c>
      <c r="N1768" s="16">
        <v>46181</v>
      </c>
      <c r="O1768" s="18" t="s">
        <v>4084</v>
      </c>
      <c r="P1768" s="18" t="s">
        <v>3846</v>
      </c>
      <c r="Q1768" s="16" t="str" cm="1">
        <f t="array" ref="Q1768">_xlfn.IFS(
A1768="","",
AND(A1768&lt;&gt;"",B1768=""),"FALTA LANÇAMENTO",
AND(B1768&lt;&gt;"",M1768=""),"FALTA O PEDIDO",
AND(M1768&lt;&gt;"",O1768=""),"FALTA NF",
O1768&lt;&gt;"","CONCLUÍDO")</f>
        <v>CONCLUÍDO</v>
      </c>
      <c r="R1768" s="36"/>
    </row>
    <row r="1769" spans="1:18" hidden="1">
      <c r="A1769" s="30">
        <v>46176</v>
      </c>
      <c r="B1769" s="16">
        <v>46178</v>
      </c>
      <c r="C1769" s="21">
        <v>17020053</v>
      </c>
      <c r="D1769" s="16" t="str">
        <f>IFERROR(VLOOKUP(Tabela5[[#This Row],[PREFIXO ]],Tabela4[#All],2,0),"CENTRO DE CUSTO")</f>
        <v>SOPRADOR COSTAL STIHL BR800</v>
      </c>
      <c r="E1769" s="18" t="s">
        <v>40</v>
      </c>
      <c r="F1769" s="21">
        <v>140996</v>
      </c>
      <c r="G1769" s="22">
        <v>286</v>
      </c>
      <c r="H1769" s="22">
        <v>467.83</v>
      </c>
      <c r="I1769" s="22">
        <f t="shared" si="28"/>
        <v>753.82999999999993</v>
      </c>
      <c r="J1769" s="18" t="s">
        <v>1085</v>
      </c>
      <c r="K1769" s="18" t="s">
        <v>4085</v>
      </c>
      <c r="L1769" s="18" t="s">
        <v>4086</v>
      </c>
      <c r="M1769" s="18">
        <v>41883168</v>
      </c>
      <c r="N1769" s="16">
        <v>46181</v>
      </c>
      <c r="O1769" s="18" t="s">
        <v>4087</v>
      </c>
      <c r="P1769" s="18" t="s">
        <v>4088</v>
      </c>
      <c r="Q1769" s="16" t="str" cm="1">
        <f t="array" ref="Q1769">_xlfn.IFS(
A1769="","",
AND(A1769&lt;&gt;"",B1769=""),"FALTA LANÇAMENTO",
AND(B1769&lt;&gt;"",M1769=""),"FALTA O PEDIDO",
AND(M1769&lt;&gt;"",O1769=""),"FALTA NF",
O1769&lt;&gt;"","CONCLUÍDO")</f>
        <v>CONCLUÍDO</v>
      </c>
      <c r="R1769" s="36"/>
    </row>
    <row r="1770" spans="1:18" hidden="1">
      <c r="A1770" s="30">
        <v>46176</v>
      </c>
      <c r="B1770" s="16">
        <v>46191</v>
      </c>
      <c r="C1770" s="21">
        <v>500580097</v>
      </c>
      <c r="D1770" s="16" t="str">
        <f>IFERROR(VLOOKUP(Tabela5[[#This Row],[PREFIXO ]],Tabela4[#All],2,0),"CENTRO DE CUSTO")</f>
        <v>Subsoladores</v>
      </c>
      <c r="E1770" s="18" t="s">
        <v>66</v>
      </c>
      <c r="F1770" s="21">
        <v>9858</v>
      </c>
      <c r="G1770" s="22">
        <v>1800</v>
      </c>
      <c r="H1770" s="22">
        <v>8824.66</v>
      </c>
      <c r="I1770" s="22">
        <f t="shared" si="28"/>
        <v>10624.66</v>
      </c>
      <c r="J1770" s="18" t="s">
        <v>1199</v>
      </c>
      <c r="K1770" s="18" t="s">
        <v>4089</v>
      </c>
      <c r="L1770" s="18" t="s">
        <v>4090</v>
      </c>
      <c r="M1770" s="18" t="s">
        <v>4091</v>
      </c>
      <c r="N1770" s="16">
        <v>46191</v>
      </c>
      <c r="O1770" s="18" t="s">
        <v>4092</v>
      </c>
      <c r="P1770" s="18" t="s">
        <v>4093</v>
      </c>
      <c r="Q1770" s="16" t="str" cm="1">
        <f t="array" ref="Q1770">_xlfn.IFS(
A1770="","",
AND(A1770&lt;&gt;"",B1770=""),"FALTA LANÇAMENTO",
AND(B1770&lt;&gt;"",M1770=""),"FALTA O PEDIDO",
AND(M1770&lt;&gt;"",O1770=""),"FALTA NF",
O1770&lt;&gt;"","CONCLUÍDO")</f>
        <v>CONCLUÍDO</v>
      </c>
      <c r="R1770" s="36"/>
    </row>
    <row r="1771" spans="1:18" hidden="1">
      <c r="A1771" s="30">
        <v>46176</v>
      </c>
      <c r="B1771" s="16">
        <v>46181</v>
      </c>
      <c r="C1771" s="21">
        <v>15730003</v>
      </c>
      <c r="D1771" s="16" t="str">
        <f>IFERROR(VLOOKUP(Tabela5[[#This Row],[PREFIXO ]],Tabela4[#All],2,0),"CENTRO DE CUSTO")</f>
        <v>IMPL COLHEIT GRÃOS COLOMBO TWIN MASTER 3</v>
      </c>
      <c r="E1771" s="18" t="s">
        <v>66</v>
      </c>
      <c r="F1771" s="21">
        <v>9859</v>
      </c>
      <c r="G1771" s="22">
        <v>1300</v>
      </c>
      <c r="H1771" s="22">
        <v>6308.8</v>
      </c>
      <c r="I1771" s="22">
        <f t="shared" si="28"/>
        <v>7608.8</v>
      </c>
      <c r="J1771" s="18" t="s">
        <v>1199</v>
      </c>
      <c r="K1771" s="18" t="s">
        <v>4094</v>
      </c>
      <c r="L1771" s="18" t="s">
        <v>4095</v>
      </c>
      <c r="M1771" s="18">
        <v>41884145</v>
      </c>
      <c r="N1771" s="16">
        <v>46182</v>
      </c>
      <c r="O1771" s="18" t="s">
        <v>4096</v>
      </c>
      <c r="P1771" s="18" t="s">
        <v>3454</v>
      </c>
      <c r="Q1771" s="16" t="str" cm="1">
        <f t="array" ref="Q1771">_xlfn.IFS(
A1771="","",
AND(A1771&lt;&gt;"",B1771=""),"FALTA LANÇAMENTO",
AND(B1771&lt;&gt;"",M1771=""),"FALTA O PEDIDO",
AND(M1771&lt;&gt;"",O1771=""),"FALTA NF",
O1771&lt;&gt;"","CONCLUÍDO")</f>
        <v>CONCLUÍDO</v>
      </c>
      <c r="R1771" s="36"/>
    </row>
    <row r="1772" spans="1:18" hidden="1">
      <c r="A1772" s="30">
        <v>46176</v>
      </c>
      <c r="B1772" s="16">
        <v>46181</v>
      </c>
      <c r="C1772" s="21">
        <v>15430003</v>
      </c>
      <c r="D1772" s="16" t="str">
        <f>IFERROR(VLOOKUP(Tabela5[[#This Row],[PREFIXO ]],Tabela4[#All],2,0),"CENTRO DE CUSTO")</f>
        <v>ATOMIZADOR TEC SPRAY ATOMAX</v>
      </c>
      <c r="E1772" s="18" t="s">
        <v>66</v>
      </c>
      <c r="F1772" s="21">
        <v>9860</v>
      </c>
      <c r="G1772" s="22">
        <v>1900</v>
      </c>
      <c r="H1772" s="22">
        <v>749.82</v>
      </c>
      <c r="I1772" s="22">
        <f t="shared" si="28"/>
        <v>2649.82</v>
      </c>
      <c r="J1772" s="18" t="s">
        <v>1199</v>
      </c>
      <c r="K1772" s="18" t="s">
        <v>4097</v>
      </c>
      <c r="L1772" s="18" t="s">
        <v>4098</v>
      </c>
      <c r="M1772" s="18">
        <v>41884146</v>
      </c>
      <c r="N1772" s="16">
        <v>46182</v>
      </c>
      <c r="O1772" s="33" t="s">
        <v>4099</v>
      </c>
      <c r="P1772" s="18" t="s">
        <v>3454</v>
      </c>
      <c r="Q1772" s="16" t="str" cm="1">
        <f t="array" ref="Q1772">_xlfn.IFS(
A1772="","",
AND(A1772&lt;&gt;"",B1772=""),"FALTA LANÇAMENTO",
AND(B1772&lt;&gt;"",M1772=""),"FALTA O PEDIDO",
AND(M1772&lt;&gt;"",O1772=""),"FALTA NF",
O1772&lt;&gt;"","CONCLUÍDO")</f>
        <v>CONCLUÍDO</v>
      </c>
      <c r="R1772" s="36"/>
    </row>
    <row r="1773" spans="1:18" hidden="1">
      <c r="A1773" s="30">
        <v>46176</v>
      </c>
      <c r="B1773" s="16">
        <v>46178</v>
      </c>
      <c r="C1773" s="21">
        <v>31521028</v>
      </c>
      <c r="D1773" s="16" t="str">
        <f>IFERROR(VLOOKUP(Tabela5[[#This Row],[PREFIXO ]],Tabela4[#All],2,0),"CENTRO DE CUSTO")</f>
        <v>PULV AUTOPROP JACTO UNIPORT 3030</v>
      </c>
      <c r="E1773" s="18" t="s">
        <v>96</v>
      </c>
      <c r="F1773" s="21" t="s">
        <v>4100</v>
      </c>
      <c r="G1773" s="22">
        <v>1143</v>
      </c>
      <c r="H1773" s="22">
        <v>1507.02</v>
      </c>
      <c r="I1773" s="22">
        <f t="shared" si="28"/>
        <v>2650.02</v>
      </c>
      <c r="J1773" s="18" t="s">
        <v>1080</v>
      </c>
      <c r="K1773" s="18" t="s">
        <v>4101</v>
      </c>
      <c r="L1773" s="18" t="s">
        <v>4102</v>
      </c>
      <c r="M1773" s="18" t="s">
        <v>4103</v>
      </c>
      <c r="N1773" s="16">
        <v>46181</v>
      </c>
      <c r="O1773" s="18" t="s">
        <v>4104</v>
      </c>
      <c r="P1773" s="18" t="s">
        <v>3680</v>
      </c>
      <c r="Q1773" s="16" t="str" cm="1">
        <f t="array" ref="Q1773">_xlfn.IFS(
A1773="","",
AND(A1773&lt;&gt;"",B1773=""),"FALTA LANÇAMENTO",
AND(B1773&lt;&gt;"",M1773=""),"FALTA O PEDIDO",
AND(M1773&lt;&gt;"",O1773=""),"FALTA NF",
O1773&lt;&gt;"","CONCLUÍDO")</f>
        <v>CONCLUÍDO</v>
      </c>
      <c r="R1773" s="36"/>
    </row>
    <row r="1774" spans="1:18" hidden="1">
      <c r="A1774" s="30">
        <v>46176</v>
      </c>
      <c r="B1774" s="16">
        <v>46189</v>
      </c>
      <c r="C1774" s="21">
        <v>1159005</v>
      </c>
      <c r="D1774" s="16" t="str">
        <f>IFERROR(VLOOKUP(Tabela5[[#This Row],[PREFIXO ]],Tabela4[#All],2,0),"CENTRO DE CUSTO")</f>
        <v>TRAT PN MED JOHN DEERE 7500</v>
      </c>
      <c r="E1774" s="18" t="s">
        <v>71</v>
      </c>
      <c r="F1774" s="21">
        <v>7797</v>
      </c>
      <c r="G1774" s="22">
        <v>1795</v>
      </c>
      <c r="H1774" s="22">
        <v>366.98</v>
      </c>
      <c r="I1774" s="22">
        <f t="shared" si="28"/>
        <v>2161.98</v>
      </c>
      <c r="J1774" s="18" t="s">
        <v>1199</v>
      </c>
      <c r="K1774" s="18" t="s">
        <v>4105</v>
      </c>
      <c r="L1774" s="18" t="s">
        <v>4106</v>
      </c>
      <c r="M1774" s="18">
        <v>41890747</v>
      </c>
      <c r="N1774" s="16">
        <v>46191</v>
      </c>
      <c r="O1774" s="18" t="s">
        <v>4107</v>
      </c>
      <c r="P1774" s="18" t="s">
        <v>4108</v>
      </c>
      <c r="Q1774" s="16" t="str" cm="1">
        <f t="array" ref="Q1774">_xlfn.IFS(
A1774="","",
AND(A1774&lt;&gt;"",B1774=""),"FALTA LANÇAMENTO",
AND(B1774&lt;&gt;"",M1774=""),"FALTA O PEDIDO",
AND(M1774&lt;&gt;"",O1774=""),"FALTA NF",
O1774&lt;&gt;"","CONCLUÍDO")</f>
        <v>CONCLUÍDO</v>
      </c>
      <c r="R1774" s="36"/>
    </row>
    <row r="1775" spans="1:18" hidden="1">
      <c r="A1775" s="30">
        <v>46176</v>
      </c>
      <c r="B1775" s="16">
        <v>46181</v>
      </c>
      <c r="C1775" s="21">
        <v>22030259</v>
      </c>
      <c r="D1775" s="16" t="str">
        <f>IFERROR(VLOOKUP(Tabela5[[#This Row],[PREFIXO ]],Tabela4[#All],2,0),"CENTRO DE CUSTO")</f>
        <v>CENTRO DE CUSTO</v>
      </c>
      <c r="E1775" s="18" t="s">
        <v>328</v>
      </c>
      <c r="F1775" s="21">
        <v>7645</v>
      </c>
      <c r="G1775" s="22">
        <v>1020</v>
      </c>
      <c r="H1775" s="22">
        <v>787.92</v>
      </c>
      <c r="I1775" s="22">
        <f t="shared" si="28"/>
        <v>1807.92</v>
      </c>
      <c r="J1775" s="18" t="s">
        <v>1085</v>
      </c>
      <c r="K1775" s="18" t="s">
        <v>4109</v>
      </c>
      <c r="L1775" s="18" t="s">
        <v>4110</v>
      </c>
      <c r="M1775" s="18">
        <v>41883226</v>
      </c>
      <c r="N1775" s="16">
        <v>46181</v>
      </c>
      <c r="O1775" s="18" t="s">
        <v>4111</v>
      </c>
      <c r="P1775" s="18" t="s">
        <v>3306</v>
      </c>
      <c r="Q1775" s="16" t="str" cm="1">
        <f t="array" ref="Q1775">_xlfn.IFS(
A1775="","",
AND(A1775&lt;&gt;"",B1775=""),"FALTA LANÇAMENTO",
AND(B1775&lt;&gt;"",M1775=""),"FALTA O PEDIDO",
AND(M1775&lt;&gt;"",O1775=""),"FALTA NF",
O1775&lt;&gt;"","CONCLUÍDO")</f>
        <v>CONCLUÍDO</v>
      </c>
      <c r="R1775" s="36"/>
    </row>
    <row r="1776" spans="1:18" hidden="1">
      <c r="A1776" s="30">
        <v>46176</v>
      </c>
      <c r="B1776" s="16">
        <v>46181</v>
      </c>
      <c r="C1776" s="21">
        <v>22030123</v>
      </c>
      <c r="D1776" s="16" t="str">
        <f>IFERROR(VLOOKUP(Tabela5[[#This Row],[PREFIXO ]],Tabela4[#All],2,0),"CENTRO DE CUSTO")</f>
        <v>AUTOMOVEL FIAT FIORINO ENDURANCE</v>
      </c>
      <c r="E1776" s="18" t="s">
        <v>328</v>
      </c>
      <c r="F1776" s="21">
        <v>7548</v>
      </c>
      <c r="G1776" s="22">
        <v>40</v>
      </c>
      <c r="H1776" s="22">
        <v>1279</v>
      </c>
      <c r="I1776" s="22">
        <f t="shared" si="28"/>
        <v>1319</v>
      </c>
      <c r="J1776" s="18" t="s">
        <v>1085</v>
      </c>
      <c r="K1776" s="18" t="s">
        <v>4112</v>
      </c>
      <c r="L1776" s="18" t="s">
        <v>4113</v>
      </c>
      <c r="M1776" s="18">
        <v>41883216</v>
      </c>
      <c r="N1776" s="16">
        <v>46181</v>
      </c>
      <c r="O1776" s="18" t="s">
        <v>4114</v>
      </c>
      <c r="P1776" s="18" t="s">
        <v>3306</v>
      </c>
      <c r="Q1776" s="16" t="str" cm="1">
        <f t="array" ref="Q1776">_xlfn.IFS(
A1776="","",
AND(A1776&lt;&gt;"",B1776=""),"FALTA LANÇAMENTO",
AND(B1776&lt;&gt;"",M1776=""),"FALTA O PEDIDO",
AND(M1776&lt;&gt;"",O1776=""),"FALTA NF",
O1776&lt;&gt;"","CONCLUÍDO")</f>
        <v>CONCLUÍDO</v>
      </c>
      <c r="R1776" s="36"/>
    </row>
    <row r="1777" spans="1:21" hidden="1">
      <c r="A1777" s="30">
        <v>46176</v>
      </c>
      <c r="B1777" s="16">
        <v>46181</v>
      </c>
      <c r="C1777" s="21">
        <v>1173061</v>
      </c>
      <c r="D1777" s="16" t="str">
        <f>IFERROR(VLOOKUP(Tabela5[[#This Row],[PREFIXO ]],Tabela4[#All],2,0),"CENTRO DE CUSTO")</f>
        <v>TRAT PN MED M FERGUSON MF 297</v>
      </c>
      <c r="E1777" s="18" t="s">
        <v>347</v>
      </c>
      <c r="F1777" s="21">
        <v>1205</v>
      </c>
      <c r="G1777" s="22">
        <v>1860</v>
      </c>
      <c r="H1777" s="22">
        <v>8579</v>
      </c>
      <c r="I1777" s="22">
        <f t="shared" si="28"/>
        <v>10439</v>
      </c>
      <c r="J1777" s="18" t="s">
        <v>1199</v>
      </c>
      <c r="K1777" s="18" t="s">
        <v>4115</v>
      </c>
      <c r="L1777" s="18" t="s">
        <v>4116</v>
      </c>
      <c r="M1777" s="18">
        <v>41884153</v>
      </c>
      <c r="N1777" s="16">
        <v>46182</v>
      </c>
      <c r="O1777" s="18" t="s">
        <v>4117</v>
      </c>
      <c r="P1777" s="18" t="s">
        <v>3846</v>
      </c>
      <c r="Q1777" s="16" t="str" cm="1">
        <f t="array" ref="Q1777">_xlfn.IFS(
A1777="","",
AND(A1777&lt;&gt;"",B1777=""),"FALTA LANÇAMENTO",
AND(B1777&lt;&gt;"",M1777=""),"FALTA O PEDIDO",
AND(M1777&lt;&gt;"",O1777=""),"FALTA NF",
O1777&lt;&gt;"","CONCLUÍDO")</f>
        <v>CONCLUÍDO</v>
      </c>
      <c r="R1777" s="36"/>
    </row>
    <row r="1778" spans="1:21" hidden="1">
      <c r="A1778" s="30">
        <v>46176</v>
      </c>
      <c r="B1778" s="16">
        <v>46177</v>
      </c>
      <c r="C1778" s="21" t="s">
        <v>4118</v>
      </c>
      <c r="D1778" s="16" t="str">
        <f>IFERROR(VLOOKUP(Tabela5[[#This Row],[PREFIXO ]],Tabela4[#All],2,0),"CENTRO DE CUSTO")</f>
        <v>CENTRO DE CUSTO</v>
      </c>
      <c r="E1778" s="18" t="s">
        <v>252</v>
      </c>
      <c r="F1778" s="21">
        <v>202624</v>
      </c>
      <c r="G1778" s="22">
        <v>1140</v>
      </c>
      <c r="H1778" s="22"/>
      <c r="I1778" s="22">
        <f t="shared" si="28"/>
        <v>1140</v>
      </c>
      <c r="J1778" s="33" t="s">
        <v>1085</v>
      </c>
      <c r="K1778" s="18" t="s">
        <v>4119</v>
      </c>
      <c r="L1778" s="18">
        <v>943186</v>
      </c>
      <c r="M1778" s="18" t="s">
        <v>4120</v>
      </c>
      <c r="N1778" s="16">
        <v>46146</v>
      </c>
      <c r="O1778" s="18" t="s">
        <v>4121</v>
      </c>
      <c r="P1778" s="18" t="s">
        <v>4122</v>
      </c>
      <c r="Q1778" s="16" t="str" cm="1">
        <f t="array" ref="Q1778">_xlfn.IFS(
A1778="","",
AND(A1778&lt;&gt;"",B1778=""),"FALTA LANÇAMENTO",
AND(B1778&lt;&gt;"",M1778=""),"FALTA O PEDIDO",
AND(M1778&lt;&gt;"",O1778=""),"FALTA NF",
O1778&lt;&gt;"","CONCLUÍDO")</f>
        <v>CONCLUÍDO</v>
      </c>
      <c r="R1778" s="36"/>
    </row>
    <row r="1779" spans="1:21" hidden="1">
      <c r="A1779" s="30">
        <v>46176</v>
      </c>
      <c r="B1779" s="16">
        <v>46181</v>
      </c>
      <c r="C1779" s="21">
        <v>51521065</v>
      </c>
      <c r="D1779" s="16" t="str">
        <f>IFERROR(VLOOKUP(Tabela5[[#This Row],[PREFIXO ]],Tabela4[#All],2,0),"CENTRO DE CUSTO")</f>
        <v>COLHED ALGODÃO JOHN DEERE CP 690</v>
      </c>
      <c r="E1779" s="18" t="s">
        <v>255</v>
      </c>
      <c r="F1779" s="21">
        <v>987</v>
      </c>
      <c r="G1779" s="22">
        <v>2500</v>
      </c>
      <c r="H1779" s="22"/>
      <c r="I1779" s="22">
        <f t="shared" si="28"/>
        <v>2500</v>
      </c>
      <c r="J1779" s="33" t="s">
        <v>1123</v>
      </c>
      <c r="K1779" s="18" t="s">
        <v>4123</v>
      </c>
      <c r="L1779" s="18" t="s">
        <v>4124</v>
      </c>
      <c r="M1779" s="18">
        <v>41883527</v>
      </c>
      <c r="N1779" s="16">
        <v>46181</v>
      </c>
      <c r="O1779" s="18" t="s">
        <v>1859</v>
      </c>
      <c r="P1779" s="18" t="s">
        <v>3629</v>
      </c>
      <c r="Q1779" s="16" t="str" cm="1">
        <f t="array" ref="Q1779">_xlfn.IFS(
A1779="","",
AND(A1779&lt;&gt;"",B1779=""),"FALTA LANÇAMENTO",
AND(B1779&lt;&gt;"",M1779=""),"FALTA O PEDIDO",
AND(M1779&lt;&gt;"",O1779=""),"FALTA NF",
O1779&lt;&gt;"","CONCLUÍDO")</f>
        <v>CONCLUÍDO</v>
      </c>
      <c r="R1779" s="36"/>
    </row>
    <row r="1780" spans="1:21" hidden="1">
      <c r="A1780" s="30">
        <v>46176</v>
      </c>
      <c r="B1780" s="16">
        <v>46181</v>
      </c>
      <c r="C1780" s="21">
        <v>51521064</v>
      </c>
      <c r="D1780" s="16" t="str">
        <f>IFERROR(VLOOKUP(Tabela5[[#This Row],[PREFIXO ]],Tabela4[#All],2,0),"CENTRO DE CUSTO")</f>
        <v>COLHED ALGODÃO JOHN DEERE CP 690</v>
      </c>
      <c r="E1780" s="18" t="s">
        <v>255</v>
      </c>
      <c r="F1780" s="21">
        <v>986</v>
      </c>
      <c r="G1780" s="22">
        <v>2500</v>
      </c>
      <c r="H1780" s="22"/>
      <c r="I1780" s="22">
        <f t="shared" si="28"/>
        <v>2500</v>
      </c>
      <c r="J1780" s="18" t="s">
        <v>1123</v>
      </c>
      <c r="K1780" s="18" t="s">
        <v>4125</v>
      </c>
      <c r="L1780" s="18" t="s">
        <v>4124</v>
      </c>
      <c r="M1780" s="18">
        <v>41883527</v>
      </c>
      <c r="N1780" s="16">
        <v>46181</v>
      </c>
      <c r="O1780" s="18" t="s">
        <v>1859</v>
      </c>
      <c r="P1780" s="18" t="s">
        <v>3629</v>
      </c>
      <c r="Q1780" s="16" t="str" cm="1">
        <f t="array" ref="Q1780">_xlfn.IFS(
A1780="","",
AND(A1780&lt;&gt;"",B1780=""),"FALTA LANÇAMENTO",
AND(B1780&lt;&gt;"",M1780=""),"FALTA O PEDIDO",
AND(M1780&lt;&gt;"",O1780=""),"FALTA NF",
O1780&lt;&gt;"","CONCLUÍDO")</f>
        <v>CONCLUÍDO</v>
      </c>
      <c r="R1780" s="36"/>
    </row>
    <row r="1781" spans="1:21" hidden="1">
      <c r="A1781" s="30">
        <v>46176</v>
      </c>
      <c r="B1781" s="30">
        <v>46181</v>
      </c>
      <c r="C1781" s="31">
        <v>51521052</v>
      </c>
      <c r="D1781" s="30" t="str">
        <f>IFERROR(VLOOKUP(Tabela5[[#This Row],[PREFIXO ]],Tabela4[#All],2,0),"CENTRO DE CUSTO")</f>
        <v>COLHED ALGODÃO JOHN DEERE CP 690</v>
      </c>
      <c r="E1781" s="18" t="s">
        <v>255</v>
      </c>
      <c r="F1781" s="31">
        <v>989</v>
      </c>
      <c r="G1781" s="32">
        <v>2500</v>
      </c>
      <c r="H1781" s="32"/>
      <c r="I1781" s="32">
        <f t="shared" si="28"/>
        <v>2500</v>
      </c>
      <c r="J1781" s="18" t="s">
        <v>1123</v>
      </c>
      <c r="K1781" s="33" t="s">
        <v>4126</v>
      </c>
      <c r="L1781" s="18" t="s">
        <v>4124</v>
      </c>
      <c r="M1781" s="33">
        <v>41883527</v>
      </c>
      <c r="N1781" s="30">
        <v>46181</v>
      </c>
      <c r="O1781" s="33" t="s">
        <v>1859</v>
      </c>
      <c r="P1781" s="33" t="s">
        <v>3629</v>
      </c>
      <c r="Q1781" s="30" t="str" cm="1">
        <f t="array" ref="Q1781">_xlfn.IFS(
A1781="","",
AND(A1781&lt;&gt;"",B1781=""),"FALTA LANÇAMENTO",
AND(B1781&lt;&gt;"",M1781=""),"FALTA O PEDIDO",
AND(M1781&lt;&gt;"",O1781=""),"FALTA NF",
O1781&lt;&gt;"","CONCLUÍDO")</f>
        <v>CONCLUÍDO</v>
      </c>
      <c r="R1781" s="37"/>
    </row>
    <row r="1782" spans="1:21" hidden="1">
      <c r="A1782" s="30">
        <v>46176</v>
      </c>
      <c r="B1782" s="30">
        <v>46181</v>
      </c>
      <c r="C1782" s="31">
        <v>51521060</v>
      </c>
      <c r="D1782" s="30" t="str">
        <f>IFERROR(VLOOKUP(Tabela5[[#This Row],[PREFIXO ]],Tabela4[#All],2,0),"CENTRO DE CUSTO")</f>
        <v>COLHED ALGODÃO JOHN DEERE CP 690</v>
      </c>
      <c r="E1782" s="18" t="s">
        <v>255</v>
      </c>
      <c r="F1782" s="31">
        <v>985</v>
      </c>
      <c r="G1782" s="32">
        <v>1600</v>
      </c>
      <c r="H1782" s="32"/>
      <c r="I1782" s="32">
        <f t="shared" si="28"/>
        <v>1600</v>
      </c>
      <c r="J1782" s="18" t="s">
        <v>1123</v>
      </c>
      <c r="K1782" s="33" t="s">
        <v>4127</v>
      </c>
      <c r="L1782" s="18" t="s">
        <v>4124</v>
      </c>
      <c r="M1782" s="33">
        <v>41883527</v>
      </c>
      <c r="N1782" s="30">
        <v>46181</v>
      </c>
      <c r="O1782" s="33" t="s">
        <v>1859</v>
      </c>
      <c r="P1782" s="33" t="s">
        <v>3629</v>
      </c>
      <c r="Q1782" s="30" t="str" cm="1">
        <f t="array" ref="Q1782">_xlfn.IFS(
A1782="","",
AND(A1782&lt;&gt;"",B1782=""),"FALTA LANÇAMENTO",
AND(B1782&lt;&gt;"",M1782=""),"FALTA O PEDIDO",
AND(M1782&lt;&gt;"",O1782=""),"FALTA NF",
O1782&lt;&gt;"","CONCLUÍDO")</f>
        <v>CONCLUÍDO</v>
      </c>
      <c r="R1782" s="33"/>
    </row>
    <row r="1783" spans="1:21" hidden="1">
      <c r="A1783" s="30">
        <v>46176</v>
      </c>
      <c r="B1783" s="16">
        <v>46181</v>
      </c>
      <c r="C1783" s="21">
        <v>51519055</v>
      </c>
      <c r="D1783" s="16" t="str">
        <f>IFERROR(VLOOKUP(Tabela5[[#This Row],[PREFIXO ]],Tabela4[#All],2,0),"CENTRO DE CUSTO")</f>
        <v>COLHED ALGODÃO JOHN DEERE CP 770</v>
      </c>
      <c r="E1783" s="18" t="s">
        <v>255</v>
      </c>
      <c r="F1783" s="21">
        <v>984</v>
      </c>
      <c r="G1783" s="22">
        <v>1550</v>
      </c>
      <c r="H1783" s="22"/>
      <c r="I1783" s="22">
        <f t="shared" si="28"/>
        <v>1550</v>
      </c>
      <c r="J1783" s="18" t="s">
        <v>1123</v>
      </c>
      <c r="K1783" s="18" t="s">
        <v>4128</v>
      </c>
      <c r="L1783" s="18" t="s">
        <v>4124</v>
      </c>
      <c r="M1783" s="18">
        <v>41883527</v>
      </c>
      <c r="N1783" s="30">
        <v>46181</v>
      </c>
      <c r="O1783" s="18" t="s">
        <v>1859</v>
      </c>
      <c r="P1783" s="18" t="s">
        <v>3629</v>
      </c>
      <c r="Q1783" s="16" t="str" cm="1">
        <f t="array" ref="Q1783">_xlfn.IFS(
A1783="","",
AND(A1783&lt;&gt;"",B1783=""),"FALTA LANÇAMENTO",
AND(B1783&lt;&gt;"",M1783=""),"FALTA O PEDIDO",
AND(M1783&lt;&gt;"",O1783=""),"FALTA NF",
O1783&lt;&gt;"","CONCLUÍDO")</f>
        <v>CONCLUÍDO</v>
      </c>
      <c r="R1783" s="18"/>
    </row>
    <row r="1784" spans="1:21" hidden="1">
      <c r="A1784" s="30">
        <v>46176</v>
      </c>
      <c r="B1784" s="16">
        <v>46190</v>
      </c>
      <c r="C1784" s="21">
        <v>23110001</v>
      </c>
      <c r="D1784" s="16" t="str">
        <f>IFERROR(VLOOKUP(Tabela5[[#This Row],[PREFIXO ]],Tabela4[#All],2,0),"CENTRO DE CUSTO")</f>
        <v>TRAT PN EXT PES FENDT VARIO 1050</v>
      </c>
      <c r="E1784" s="18" t="s">
        <v>259</v>
      </c>
      <c r="F1784" s="21" t="s">
        <v>4129</v>
      </c>
      <c r="G1784" s="22">
        <v>50.43</v>
      </c>
      <c r="H1784" s="22">
        <v>546.16</v>
      </c>
      <c r="I1784" s="22">
        <f t="shared" si="28"/>
        <v>596.58999999999992</v>
      </c>
      <c r="J1784" s="18" t="s">
        <v>1199</v>
      </c>
      <c r="K1784" s="18" t="s">
        <v>4130</v>
      </c>
      <c r="L1784" s="18" t="s">
        <v>4131</v>
      </c>
      <c r="M1784" s="18">
        <v>41890143</v>
      </c>
      <c r="N1784" s="41">
        <v>46190</v>
      </c>
      <c r="O1784" s="18" t="s">
        <v>4132</v>
      </c>
      <c r="P1784" s="18" t="s">
        <v>4133</v>
      </c>
      <c r="Q1784" s="16" t="str" cm="1">
        <f t="array" ref="Q1784">_xlfn.IFS(
A1784="","",
AND(A1784&lt;&gt;"",B1784=""),"FALTA LANÇAMENTO",
AND(B1784&lt;&gt;"",M1784=""),"FALTA O PEDIDO",
AND(M1784&lt;&gt;"",O1784=""),"FALTA NF",
O1784&lt;&gt;"","CONCLUÍDO")</f>
        <v>CONCLUÍDO</v>
      </c>
      <c r="R1784" s="18"/>
    </row>
    <row r="1785" spans="1:21" hidden="1">
      <c r="A1785" s="30">
        <v>46176</v>
      </c>
      <c r="B1785" s="16">
        <v>46196</v>
      </c>
      <c r="C1785" s="21">
        <v>12010015</v>
      </c>
      <c r="D1785" s="16" t="str">
        <f>IFERROR(VLOOKUP(Tabela5[[#This Row],[PREFIXO ]],Tabela4[#All],2,0),"CENTRO DE CUSTO")</f>
        <v>CAMINHONETE FORD RANGER XL 2.0 4X4 M</v>
      </c>
      <c r="E1785" s="18" t="s">
        <v>284</v>
      </c>
      <c r="F1785" s="21">
        <v>4231</v>
      </c>
      <c r="G1785" s="22">
        <v>640.03</v>
      </c>
      <c r="H1785" s="22">
        <v>1912.97</v>
      </c>
      <c r="I1785" s="22">
        <f t="shared" si="28"/>
        <v>2553</v>
      </c>
      <c r="J1785" s="18" t="s">
        <v>1085</v>
      </c>
      <c r="K1785" s="18" t="s">
        <v>4134</v>
      </c>
      <c r="L1785" s="33" t="s">
        <v>4135</v>
      </c>
      <c r="M1785" s="18" t="s">
        <v>4136</v>
      </c>
      <c r="N1785" s="41">
        <v>46197</v>
      </c>
      <c r="O1785" s="18"/>
      <c r="P1785" s="18"/>
      <c r="Q1785" s="16" t="str" cm="1">
        <f t="array" ref="Q1785">_xlfn.IFS(
A1785="","",
AND(A1785&lt;&gt;"",B1785=""),"FALTA LANÇAMENTO",
AND(B1785&lt;&gt;"",M1785=""),"FALTA O PEDIDO",
AND(M1785&lt;&gt;"",O1785=""),"FALTA NF",
O1785&lt;&gt;"","CONCLUÍDO")</f>
        <v>FALTA NF</v>
      </c>
      <c r="R1785" s="18"/>
    </row>
    <row r="1786" spans="1:21" hidden="1">
      <c r="A1786" s="30">
        <v>46176</v>
      </c>
      <c r="B1786" s="30">
        <v>46203</v>
      </c>
      <c r="C1786" s="31">
        <v>61521065</v>
      </c>
      <c r="D1786" s="30" t="str">
        <f>IFERROR(VLOOKUP(Tabela5[[#This Row],[PREFIXO ]],Tabela4[#All],2,0),"CENTRO DE CUSTO")</f>
        <v>CAM ROLL ON/OFF VOLVO VM 330</v>
      </c>
      <c r="E1786" s="33" t="s">
        <v>347</v>
      </c>
      <c r="F1786" s="31">
        <v>1228</v>
      </c>
      <c r="G1786" s="32">
        <v>12212</v>
      </c>
      <c r="H1786" s="32">
        <v>26444</v>
      </c>
      <c r="I1786" s="32">
        <f t="shared" si="28"/>
        <v>38656</v>
      </c>
      <c r="J1786" s="18" t="s">
        <v>1199</v>
      </c>
      <c r="K1786" s="33" t="s">
        <v>4137</v>
      </c>
      <c r="L1786" s="33" t="s">
        <v>4138</v>
      </c>
      <c r="M1786" s="33" t="s">
        <v>4139</v>
      </c>
      <c r="N1786" s="30">
        <v>46205</v>
      </c>
      <c r="O1786" s="33" t="s">
        <v>1899</v>
      </c>
      <c r="P1786" s="33" t="s">
        <v>4140</v>
      </c>
      <c r="Q1786" s="30" t="str" cm="1">
        <f t="array" ref="Q1786">_xlfn.IFS(
A1786="","",
AND(A1786&lt;&gt;"",B1786=""),"FALTA LANÇAMENTO",
AND(B1786&lt;&gt;"",M1786=""),"FALTA O PEDIDO",
AND(M1786&lt;&gt;"",O1786=""),"FALTA NF",
O1786&lt;&gt;"","CONCLUÍDO")</f>
        <v>CONCLUÍDO</v>
      </c>
      <c r="R1786" s="33"/>
      <c r="S1786" s="17"/>
      <c r="T1786" s="17"/>
      <c r="U1786" s="17"/>
    </row>
    <row r="1787" spans="1:21" hidden="1">
      <c r="A1787" s="30">
        <v>46177</v>
      </c>
      <c r="B1787" s="30">
        <v>46185</v>
      </c>
      <c r="C1787" s="31">
        <v>500580349</v>
      </c>
      <c r="D1787" s="30" t="str">
        <f>IFERROR(VLOOKUP(Tabela5[[#This Row],[PREFIXO ]],Tabela4[#All],2,0),"CENTRO DE CUSTO")</f>
        <v>ADUBADORES AUTOPROPE</v>
      </c>
      <c r="E1787" s="33" t="s">
        <v>51</v>
      </c>
      <c r="F1787" s="31">
        <v>343</v>
      </c>
      <c r="G1787" s="32">
        <v>26645</v>
      </c>
      <c r="H1787" s="32"/>
      <c r="I1787" s="32">
        <f t="shared" si="28"/>
        <v>26645</v>
      </c>
      <c r="J1787" s="33" t="s">
        <v>1265</v>
      </c>
      <c r="K1787" s="33" t="s">
        <v>4141</v>
      </c>
      <c r="L1787" s="33" t="s">
        <v>4142</v>
      </c>
      <c r="M1787" s="33" t="s">
        <v>4143</v>
      </c>
      <c r="N1787" s="30">
        <v>46189</v>
      </c>
      <c r="O1787" s="33" t="s">
        <v>1308</v>
      </c>
      <c r="P1787" s="33" t="s">
        <v>3764</v>
      </c>
      <c r="Q1787" s="30" t="str" cm="1">
        <f t="array" ref="Q1787">_xlfn.IFS(
A1787="","",
AND(A1787&lt;&gt;"",B1787=""),"FALTA LANÇAMENTO",
AND(B1787&lt;&gt;"",M1787=""),"FALTA O PEDIDO",
AND(M1787&lt;&gt;"",O1787=""),"FALTA NF",
O1787&lt;&gt;"","CONCLUÍDO")</f>
        <v>CONCLUÍDO</v>
      </c>
      <c r="R1787" s="33"/>
      <c r="S1787" s="17"/>
      <c r="T1787" s="17"/>
      <c r="U1787" s="17"/>
    </row>
    <row r="1788" spans="1:21" hidden="1">
      <c r="A1788" s="30">
        <v>46178</v>
      </c>
      <c r="B1788" s="16">
        <v>46184</v>
      </c>
      <c r="C1788" s="21">
        <v>15730001</v>
      </c>
      <c r="D1788" s="16" t="str">
        <f>IFERROR(VLOOKUP(Tabela5[[#This Row],[PREFIXO ]],Tabela4[#All],2,0),"CENTRO DE CUSTO")</f>
        <v>IMPL COLHEIT GRÃOS COLOMBO TWIN MASTER 3</v>
      </c>
      <c r="E1788" s="18" t="s">
        <v>62</v>
      </c>
      <c r="F1788" s="21">
        <v>1399</v>
      </c>
      <c r="G1788" s="22">
        <v>2990</v>
      </c>
      <c r="H1788" s="22"/>
      <c r="I1788" s="22">
        <f t="shared" ref="I1788:I1851" si="29">G1788+H1788</f>
        <v>2990</v>
      </c>
      <c r="J1788" s="18" t="s">
        <v>1199</v>
      </c>
      <c r="K1788" s="18" t="s">
        <v>4144</v>
      </c>
      <c r="L1788" s="18" t="s">
        <v>4145</v>
      </c>
      <c r="M1788" s="18">
        <v>41886549</v>
      </c>
      <c r="N1788" s="30">
        <v>46185</v>
      </c>
      <c r="O1788" s="18" t="s">
        <v>1746</v>
      </c>
      <c r="P1788" s="18" t="s">
        <v>3576</v>
      </c>
      <c r="Q1788" s="16" t="str" cm="1">
        <f t="array" ref="Q1788">_xlfn.IFS(
A1788="","",
AND(A1788&lt;&gt;"",B1788=""),"FALTA LANÇAMENTO",
AND(B1788&lt;&gt;"",M1788=""),"FALTA O PEDIDO",
AND(M1788&lt;&gt;"",O1788=""),"FALTA NF",
O1788&lt;&gt;"","CONCLUÍDO")</f>
        <v>CONCLUÍDO</v>
      </c>
      <c r="R1788" s="18"/>
      <c r="S1788" s="17"/>
      <c r="T1788" s="17"/>
      <c r="U1788" s="17"/>
    </row>
    <row r="1789" spans="1:21" hidden="1">
      <c r="A1789" s="30">
        <v>46178</v>
      </c>
      <c r="B1789" s="16">
        <v>46184</v>
      </c>
      <c r="C1789" s="21">
        <v>51521056</v>
      </c>
      <c r="D1789" s="16" t="str">
        <f>IFERROR(VLOOKUP(Tabela5[[#This Row],[PREFIXO ]],Tabela4[#All],2,0),"CENTRO DE CUSTO")</f>
        <v>COLHED ALGODÃO JOHN DEERE CP 690</v>
      </c>
      <c r="E1789" s="18" t="s">
        <v>96</v>
      </c>
      <c r="F1789" s="21" t="s">
        <v>4146</v>
      </c>
      <c r="G1789" s="22">
        <v>648.79</v>
      </c>
      <c r="H1789" s="22">
        <v>910</v>
      </c>
      <c r="I1789" s="22">
        <f t="shared" si="29"/>
        <v>1558.79</v>
      </c>
      <c r="J1789" s="18" t="s">
        <v>1113</v>
      </c>
      <c r="K1789" s="18" t="s">
        <v>4147</v>
      </c>
      <c r="L1789" s="18" t="s">
        <v>4148</v>
      </c>
      <c r="M1789" s="18" t="s">
        <v>4149</v>
      </c>
      <c r="N1789" s="41">
        <v>46185</v>
      </c>
      <c r="O1789" s="18" t="s">
        <v>4150</v>
      </c>
      <c r="P1789" s="18" t="s">
        <v>4151</v>
      </c>
      <c r="Q1789" s="16" t="str" cm="1">
        <f t="array" ref="Q1789">_xlfn.IFS(
A1789="","",
AND(A1789&lt;&gt;"",B1789=""),"FALTA LANÇAMENTO",
AND(B1789&lt;&gt;"",M1789=""),"FALTA O PEDIDO",
AND(M1789&lt;&gt;"",O1789=""),"FALTA NF",
O1789&lt;&gt;"","CONCLUÍDO")</f>
        <v>CONCLUÍDO</v>
      </c>
      <c r="R1789" s="18"/>
      <c r="S1789" s="17"/>
      <c r="T1789" s="17"/>
      <c r="U1789" s="17"/>
    </row>
    <row r="1790" spans="1:21" hidden="1">
      <c r="A1790" s="30">
        <v>46178</v>
      </c>
      <c r="B1790" s="16">
        <v>46184</v>
      </c>
      <c r="C1790" s="21">
        <v>51521072</v>
      </c>
      <c r="D1790" s="16" t="str">
        <f>IFERROR(VLOOKUP(Tabela5[[#This Row],[PREFIXO ]],Tabela4[#All],2,0),"CENTRO DE CUSTO")</f>
        <v>COLHED ALGODÃO JOHN DEERE CP 690</v>
      </c>
      <c r="E1790" s="18" t="s">
        <v>96</v>
      </c>
      <c r="F1790" s="21" t="s">
        <v>4152</v>
      </c>
      <c r="G1790" s="22">
        <v>113.17</v>
      </c>
      <c r="H1790" s="22">
        <v>324</v>
      </c>
      <c r="I1790" s="22">
        <f t="shared" si="29"/>
        <v>437.17</v>
      </c>
      <c r="J1790" s="18" t="s">
        <v>1113</v>
      </c>
      <c r="K1790" s="18" t="s">
        <v>4153</v>
      </c>
      <c r="L1790" s="18" t="s">
        <v>4154</v>
      </c>
      <c r="M1790" s="18" t="s">
        <v>4155</v>
      </c>
      <c r="N1790" s="41">
        <v>46185</v>
      </c>
      <c r="O1790" s="18" t="s">
        <v>4156</v>
      </c>
      <c r="P1790" s="18" t="s">
        <v>4133</v>
      </c>
      <c r="Q1790" s="16" t="str" cm="1">
        <f t="array" ref="Q1790">_xlfn.IFS(
A1790="","",
AND(A1790&lt;&gt;"",B1790=""),"FALTA LANÇAMENTO",
AND(B1790&lt;&gt;"",M1790=""),"FALTA O PEDIDO",
AND(M1790&lt;&gt;"",O1790=""),"FALTA NF",
O1790&lt;&gt;"","CONCLUÍDO")</f>
        <v>CONCLUÍDO</v>
      </c>
      <c r="R1790" s="18"/>
    </row>
    <row r="1791" spans="1:21" hidden="1">
      <c r="A1791" s="30">
        <v>46178</v>
      </c>
      <c r="B1791" s="16">
        <v>46185</v>
      </c>
      <c r="C1791" s="21">
        <v>51521063</v>
      </c>
      <c r="D1791" s="16" t="str">
        <f>IFERROR(VLOOKUP(Tabela5[[#This Row],[PREFIXO ]],Tabela4[#All],2,0),"CENTRO DE CUSTO")</f>
        <v>COLHED ALGODÃO JOHN DEERE CP 690</v>
      </c>
      <c r="E1791" s="18" t="s">
        <v>96</v>
      </c>
      <c r="F1791" s="21" t="s">
        <v>4157</v>
      </c>
      <c r="G1791" s="22">
        <v>333</v>
      </c>
      <c r="H1791" s="22">
        <v>170.77</v>
      </c>
      <c r="I1791" s="22">
        <f t="shared" si="29"/>
        <v>503.77</v>
      </c>
      <c r="J1791" s="18" t="s">
        <v>1113</v>
      </c>
      <c r="K1791" s="18" t="s">
        <v>4158</v>
      </c>
      <c r="L1791" s="18" t="s">
        <v>4159</v>
      </c>
      <c r="M1791" s="18" t="s">
        <v>4160</v>
      </c>
      <c r="N1791" s="41">
        <v>46185</v>
      </c>
      <c r="O1791" s="18" t="s">
        <v>4161</v>
      </c>
      <c r="P1791" s="18" t="s">
        <v>4133</v>
      </c>
      <c r="Q1791" s="16" t="str" cm="1">
        <f t="array" ref="Q1791">_xlfn.IFS(
A1791="","",
AND(A1791&lt;&gt;"",B1791=""),"FALTA LANÇAMENTO",
AND(B1791&lt;&gt;"",M1791=""),"FALTA O PEDIDO",
AND(M1791&lt;&gt;"",O1791=""),"FALTA NF",
O1791&lt;&gt;"","CONCLUÍDO")</f>
        <v>CONCLUÍDO</v>
      </c>
      <c r="R1791" s="18"/>
    </row>
    <row r="1792" spans="1:21" hidden="1">
      <c r="A1792" s="30">
        <v>46178</v>
      </c>
      <c r="B1792" s="30">
        <v>46184</v>
      </c>
      <c r="C1792" s="31">
        <v>61521083</v>
      </c>
      <c r="D1792" s="30" t="str">
        <f>IFERROR(VLOOKUP(Tabela5[[#This Row],[PREFIXO ]],Tabela4[#All],2,0),"CENTRO DE CUSTO")</f>
        <v>CAM COMBOIO VOLVO VM 330</v>
      </c>
      <c r="E1792" s="33" t="s">
        <v>227</v>
      </c>
      <c r="F1792" s="31" t="s">
        <v>4162</v>
      </c>
      <c r="G1792" s="32">
        <v>1320.12</v>
      </c>
      <c r="H1792" s="32"/>
      <c r="I1792" s="32">
        <f t="shared" si="29"/>
        <v>1320.12</v>
      </c>
      <c r="J1792" s="33" t="s">
        <v>1085</v>
      </c>
      <c r="K1792" s="33" t="s">
        <v>4163</v>
      </c>
      <c r="L1792" s="33" t="s">
        <v>4164</v>
      </c>
      <c r="M1792" s="33" t="s">
        <v>4165</v>
      </c>
      <c r="N1792" s="30">
        <v>46189</v>
      </c>
      <c r="O1792" s="33" t="s">
        <v>4166</v>
      </c>
      <c r="P1792" s="33" t="s">
        <v>3804</v>
      </c>
      <c r="Q1792" s="30" t="str" cm="1">
        <f t="array" ref="Q1792">_xlfn.IFS(
A1792="","",
AND(A1792&lt;&gt;"",B1792=""),"FALTA LANÇAMENTO",
AND(B1792&lt;&gt;"",M1792=""),"FALTA O PEDIDO",
AND(M1792&lt;&gt;"",O1792=""),"FALTA NF",
O1792&lt;&gt;"","CONCLUÍDO")</f>
        <v>CONCLUÍDO</v>
      </c>
      <c r="R1792" s="33"/>
    </row>
    <row r="1793" spans="1:18" hidden="1">
      <c r="A1793" s="30">
        <v>46178</v>
      </c>
      <c r="B1793" s="30">
        <v>46184</v>
      </c>
      <c r="C1793" s="31" t="s">
        <v>4167</v>
      </c>
      <c r="D1793" s="30" t="str">
        <f>IFERROR(VLOOKUP(Tabela5[[#This Row],[PREFIXO ]],Tabela4[#All],2,0),"CENTRO DE CUSTO")</f>
        <v>CENTRO DE CUSTO</v>
      </c>
      <c r="E1793" s="33" t="s">
        <v>312</v>
      </c>
      <c r="F1793" s="31" t="s">
        <v>4168</v>
      </c>
      <c r="G1793" s="32">
        <v>20599</v>
      </c>
      <c r="H1793" s="32"/>
      <c r="I1793" s="32">
        <f t="shared" si="29"/>
        <v>20599</v>
      </c>
      <c r="J1793" s="33" t="s">
        <v>1199</v>
      </c>
      <c r="K1793" s="33" t="s">
        <v>4169</v>
      </c>
      <c r="L1793" s="33" t="s">
        <v>4170</v>
      </c>
      <c r="M1793" s="33">
        <v>41887272</v>
      </c>
      <c r="N1793" s="30">
        <v>46185</v>
      </c>
      <c r="O1793" s="33" t="s">
        <v>2356</v>
      </c>
      <c r="P1793" s="18" t="s">
        <v>3579</v>
      </c>
      <c r="Q1793" s="30" t="str" cm="1">
        <f t="array" ref="Q1793">_xlfn.IFS(
A1793="","",
AND(A1793&lt;&gt;"",B1793=""),"FALTA LANÇAMENTO",
AND(B1793&lt;&gt;"",M1793=""),"FALTA O PEDIDO",
AND(M1793&lt;&gt;"",O1793=""),"FALTA NF",
O1793&lt;&gt;"","CONCLUÍDO")</f>
        <v>CONCLUÍDO</v>
      </c>
      <c r="R1793" s="33"/>
    </row>
    <row r="1794" spans="1:18" hidden="1">
      <c r="A1794" s="30">
        <v>46178</v>
      </c>
      <c r="B1794" s="30">
        <v>46184</v>
      </c>
      <c r="C1794" s="31">
        <v>1173005</v>
      </c>
      <c r="D1794" s="30" t="str">
        <f>IFERROR(VLOOKUP(Tabela5[[#This Row],[PREFIXO ]],Tabela4[#All],2,0),"CENTRO DE CUSTO")</f>
        <v>TRAT PN LEVE M FERGUSON MF 275</v>
      </c>
      <c r="E1794" s="33" t="s">
        <v>312</v>
      </c>
      <c r="F1794" s="31" t="s">
        <v>4171</v>
      </c>
      <c r="G1794" s="32">
        <v>1337.5</v>
      </c>
      <c r="H1794" s="32"/>
      <c r="I1794" s="32">
        <f t="shared" si="29"/>
        <v>1337.5</v>
      </c>
      <c r="J1794" s="33" t="s">
        <v>1199</v>
      </c>
      <c r="K1794" s="33" t="s">
        <v>4172</v>
      </c>
      <c r="L1794" s="33" t="s">
        <v>4173</v>
      </c>
      <c r="M1794" s="33">
        <v>41886548</v>
      </c>
      <c r="N1794" s="30">
        <v>46185</v>
      </c>
      <c r="O1794" s="33" t="s">
        <v>2428</v>
      </c>
      <c r="P1794" s="18" t="s">
        <v>3291</v>
      </c>
      <c r="Q1794" s="30" t="str" cm="1">
        <f t="array" ref="Q1794">_xlfn.IFS(
A1794="","",
AND(A1794&lt;&gt;"",B1794=""),"FALTA LANÇAMENTO",
AND(B1794&lt;&gt;"",M1794=""),"FALTA O PEDIDO",
AND(M1794&lt;&gt;"",O1794=""),"FALTA NF",
O1794&lt;&gt;"","CONCLUÍDO")</f>
        <v>CONCLUÍDO</v>
      </c>
      <c r="R1794" s="33"/>
    </row>
    <row r="1795" spans="1:18" hidden="1">
      <c r="A1795" s="30">
        <v>46178</v>
      </c>
      <c r="B1795" s="30">
        <v>46184</v>
      </c>
      <c r="C1795" s="31">
        <v>11521022</v>
      </c>
      <c r="D1795" s="30" t="str">
        <f>IFERROR(VLOOKUP(Tabela5[[#This Row],[PREFIXO ]],Tabela4[#All],2,0),"CENTRO DE CUSTO")</f>
        <v>TRAT PN MED CASE PUMA 140</v>
      </c>
      <c r="E1795" s="33" t="s">
        <v>312</v>
      </c>
      <c r="F1795" s="31" t="s">
        <v>4174</v>
      </c>
      <c r="G1795" s="32">
        <v>1428</v>
      </c>
      <c r="H1795" s="32"/>
      <c r="I1795" s="32">
        <f t="shared" si="29"/>
        <v>1428</v>
      </c>
      <c r="J1795" s="33" t="s">
        <v>1199</v>
      </c>
      <c r="K1795" s="33" t="s">
        <v>4175</v>
      </c>
      <c r="L1795" s="33" t="s">
        <v>4173</v>
      </c>
      <c r="M1795" s="33">
        <v>41886548</v>
      </c>
      <c r="N1795" s="30">
        <v>46185</v>
      </c>
      <c r="O1795" s="33" t="s">
        <v>2428</v>
      </c>
      <c r="P1795" s="33" t="s">
        <v>3291</v>
      </c>
      <c r="Q1795" s="30" t="str" cm="1">
        <f t="array" ref="Q1795">_xlfn.IFS(
A1795="","",
AND(A1795&lt;&gt;"",B1795=""),"FALTA LANÇAMENTO",
AND(B1795&lt;&gt;"",M1795=""),"FALTA O PEDIDO",
AND(M1795&lt;&gt;"",O1795=""),"FALTA NF",
O1795&lt;&gt;"","CONCLUÍDO")</f>
        <v>CONCLUÍDO</v>
      </c>
      <c r="R1795" s="33"/>
    </row>
    <row r="1796" spans="1:18" hidden="1">
      <c r="A1796" s="30">
        <v>46178</v>
      </c>
      <c r="B1796" s="30">
        <v>46185</v>
      </c>
      <c r="C1796" s="31">
        <v>51521049</v>
      </c>
      <c r="D1796" s="30" t="str">
        <f>IFERROR(VLOOKUP(Tabela5[[#This Row],[PREFIXO ]],Tabela4[#All],2,0),"CENTRO DE CUSTO")</f>
        <v>COLHED ALGODÃO JOHN DEERE CP 690</v>
      </c>
      <c r="E1796" s="33" t="s">
        <v>17</v>
      </c>
      <c r="F1796" s="31">
        <v>44615</v>
      </c>
      <c r="G1796" s="32">
        <v>5133</v>
      </c>
      <c r="H1796" s="32">
        <v>3096.88</v>
      </c>
      <c r="I1796" s="32">
        <f t="shared" si="29"/>
        <v>8229.880000000001</v>
      </c>
      <c r="J1796" s="33" t="s">
        <v>1123</v>
      </c>
      <c r="K1796" s="33" t="s">
        <v>4176</v>
      </c>
      <c r="L1796" s="33" t="s">
        <v>4177</v>
      </c>
      <c r="M1796" s="33" t="s">
        <v>4178</v>
      </c>
      <c r="N1796" s="30">
        <v>46188</v>
      </c>
      <c r="O1796" s="33" t="s">
        <v>4179</v>
      </c>
      <c r="P1796" s="33" t="s">
        <v>3764</v>
      </c>
      <c r="Q1796" s="30" t="str" cm="1">
        <f t="array" ref="Q1796">_xlfn.IFS(
A1796="","",
AND(A1796&lt;&gt;"",B1796=""),"FALTA LANÇAMENTO",
AND(B1796&lt;&gt;"",M1796=""),"FALTA O PEDIDO",
AND(M1796&lt;&gt;"",O1796=""),"FALTA NF",
O1796&lt;&gt;"","CONCLUÍDO")</f>
        <v>CONCLUÍDO</v>
      </c>
      <c r="R1796" s="33"/>
    </row>
    <row r="1797" spans="1:18" hidden="1">
      <c r="A1797" s="30">
        <v>46178</v>
      </c>
      <c r="B1797" s="30">
        <v>46192</v>
      </c>
      <c r="C1797" s="31">
        <v>51521061</v>
      </c>
      <c r="D1797" s="30" t="str">
        <f>IFERROR(VLOOKUP(Tabela5[[#This Row],[PREFIXO ]],Tabela4[#All],2,0),"CENTRO DE CUSTO")</f>
        <v>COLHED ALGODÃO JOHN DEERE CP 690</v>
      </c>
      <c r="E1797" s="33" t="s">
        <v>17</v>
      </c>
      <c r="F1797" s="31">
        <v>44147</v>
      </c>
      <c r="G1797" s="32">
        <v>9662.2199999999993</v>
      </c>
      <c r="H1797" s="32">
        <v>29654.65</v>
      </c>
      <c r="I1797" s="32">
        <f t="shared" si="29"/>
        <v>39316.870000000003</v>
      </c>
      <c r="J1797" s="33" t="s">
        <v>1123</v>
      </c>
      <c r="K1797" s="33" t="s">
        <v>4180</v>
      </c>
      <c r="L1797" s="33" t="s">
        <v>4181</v>
      </c>
      <c r="M1797" s="33" t="s">
        <v>4182</v>
      </c>
      <c r="N1797" s="30">
        <v>46194</v>
      </c>
      <c r="O1797" s="33" t="s">
        <v>4183</v>
      </c>
      <c r="P1797" s="33" t="s">
        <v>3576</v>
      </c>
      <c r="Q1797" s="30" t="str" cm="1">
        <f t="array" ref="Q1797">_xlfn.IFS(
A1797="","",
AND(A1797&lt;&gt;"",B1797=""),"FALTA LANÇAMENTO",
AND(B1797&lt;&gt;"",M1797=""),"FALTA O PEDIDO",
AND(M1797&lt;&gt;"",O1797=""),"FALTA NF",
O1797&lt;&gt;"","CONCLUÍDO")</f>
        <v>CONCLUÍDO</v>
      </c>
      <c r="R1797" s="33"/>
    </row>
    <row r="1798" spans="1:18" hidden="1">
      <c r="A1798" s="30">
        <v>46178</v>
      </c>
      <c r="B1798" s="30">
        <v>46192</v>
      </c>
      <c r="C1798" s="31">
        <v>51521059</v>
      </c>
      <c r="D1798" s="30" t="str">
        <f>IFERROR(VLOOKUP(Tabela5[[#This Row],[PREFIXO ]],Tabela4[#All],2,0),"CENTRO DE CUSTO")</f>
        <v>COLHED ALGODÃO JOHN DEERE CP 690</v>
      </c>
      <c r="E1798" s="33" t="s">
        <v>17</v>
      </c>
      <c r="F1798" s="31">
        <v>44453</v>
      </c>
      <c r="G1798" s="32">
        <v>8982.75</v>
      </c>
      <c r="H1798" s="32">
        <v>27245.33</v>
      </c>
      <c r="I1798" s="32">
        <f t="shared" si="29"/>
        <v>36228.080000000002</v>
      </c>
      <c r="J1798" s="33" t="s">
        <v>1123</v>
      </c>
      <c r="K1798" s="33" t="s">
        <v>4184</v>
      </c>
      <c r="L1798" s="33" t="s">
        <v>4185</v>
      </c>
      <c r="M1798" s="33" t="s">
        <v>4186</v>
      </c>
      <c r="N1798" s="30">
        <v>46195</v>
      </c>
      <c r="O1798" s="33" t="s">
        <v>4187</v>
      </c>
      <c r="P1798" s="33" t="s">
        <v>3576</v>
      </c>
      <c r="Q1798" s="30" t="str" cm="1">
        <f t="array" ref="Q1798">_xlfn.IFS(
A1798="","",
AND(A1798&lt;&gt;"",B1798=""),"FALTA LANÇAMENTO",
AND(B1798&lt;&gt;"",M1798=""),"FALTA O PEDIDO",
AND(M1798&lt;&gt;"",O1798=""),"FALTA NF",
O1798&lt;&gt;"","CONCLUÍDO")</f>
        <v>CONCLUÍDO</v>
      </c>
      <c r="R1798" s="33"/>
    </row>
    <row r="1799" spans="1:18" hidden="1">
      <c r="A1799" s="30">
        <v>46178</v>
      </c>
      <c r="B1799" s="30">
        <v>46192</v>
      </c>
      <c r="C1799" s="31">
        <v>51521049</v>
      </c>
      <c r="D1799" s="30" t="str">
        <f>IFERROR(VLOOKUP(Tabela5[[#This Row],[PREFIXO ]],Tabela4[#All],2,0),"CENTRO DE CUSTO")</f>
        <v>COLHED ALGODÃO JOHN DEERE CP 690</v>
      </c>
      <c r="E1799" s="33" t="s">
        <v>17</v>
      </c>
      <c r="F1799" s="31">
        <v>44448</v>
      </c>
      <c r="G1799" s="32">
        <v>2542.88</v>
      </c>
      <c r="H1799" s="32">
        <v>3475.12</v>
      </c>
      <c r="I1799" s="32">
        <f t="shared" si="29"/>
        <v>6018</v>
      </c>
      <c r="J1799" s="18" t="s">
        <v>1123</v>
      </c>
      <c r="K1799" s="33" t="s">
        <v>4188</v>
      </c>
      <c r="L1799" s="33" t="s">
        <v>4189</v>
      </c>
      <c r="M1799" s="33" t="s">
        <v>4190</v>
      </c>
      <c r="N1799" s="30">
        <v>46192</v>
      </c>
      <c r="O1799" s="33" t="s">
        <v>4191</v>
      </c>
      <c r="P1799" s="33" t="s">
        <v>3576</v>
      </c>
      <c r="Q1799" s="30" t="str" cm="1">
        <f t="array" ref="Q1799">_xlfn.IFS(
A1799="","",
AND(A1799&lt;&gt;"",B1799=""),"FALTA LANÇAMENTO",
AND(B1799&lt;&gt;"",M1799=""),"FALTA O PEDIDO",
AND(M1799&lt;&gt;"",O1799=""),"FALTA NF",
O1799&lt;&gt;"","CONCLUÍDO")</f>
        <v>CONCLUÍDO</v>
      </c>
      <c r="R1799" s="33"/>
    </row>
    <row r="1800" spans="1:18" hidden="1">
      <c r="A1800" s="30">
        <v>46178</v>
      </c>
      <c r="B1800" s="30">
        <v>46185</v>
      </c>
      <c r="C1800" s="31">
        <v>51521070</v>
      </c>
      <c r="D1800" s="30" t="str">
        <f>IFERROR(VLOOKUP(Tabela5[[#This Row],[PREFIXO ]],Tabela4[#All],2,0),"CENTRO DE CUSTO")</f>
        <v>COLHED ALGODÃO JOHN DEERE CP 690</v>
      </c>
      <c r="E1800" s="33" t="s">
        <v>17</v>
      </c>
      <c r="F1800" s="31">
        <v>44466</v>
      </c>
      <c r="G1800" s="32">
        <v>2074.58</v>
      </c>
      <c r="H1800" s="32">
        <v>261.37</v>
      </c>
      <c r="I1800" s="32">
        <f t="shared" si="29"/>
        <v>2335.9499999999998</v>
      </c>
      <c r="J1800" s="18" t="s">
        <v>1123</v>
      </c>
      <c r="K1800" s="33" t="s">
        <v>4192</v>
      </c>
      <c r="L1800" s="33" t="s">
        <v>4193</v>
      </c>
      <c r="M1800" s="33" t="s">
        <v>4194</v>
      </c>
      <c r="N1800" s="30">
        <v>46188</v>
      </c>
      <c r="O1800" s="33" t="s">
        <v>4195</v>
      </c>
      <c r="P1800" s="33" t="s">
        <v>4038</v>
      </c>
      <c r="Q1800" s="30" t="str" cm="1">
        <f t="array" ref="Q1800">_xlfn.IFS(
A1800="","",
AND(A1800&lt;&gt;"",B1800=""),"FALTA LANÇAMENTO",
AND(B1800&lt;&gt;"",M1800=""),"FALTA O PEDIDO",
AND(M1800&lt;&gt;"",O1800=""),"FALTA NF",
O1800&lt;&gt;"","CONCLUÍDO")</f>
        <v>CONCLUÍDO</v>
      </c>
      <c r="R1800" s="33"/>
    </row>
    <row r="1801" spans="1:18" hidden="1">
      <c r="A1801" s="30">
        <v>46178</v>
      </c>
      <c r="B1801" s="30">
        <v>46212</v>
      </c>
      <c r="C1801" s="31">
        <v>23220004</v>
      </c>
      <c r="D1801" s="30" t="str">
        <f>IFERROR(VLOOKUP(Tabela5[[#This Row],[PREFIXO ]],Tabela4[#All],2,0),"CENTRO DE CUSTO")</f>
        <v>COLHED ALGODÃO JOHN DEERE CP 770</v>
      </c>
      <c r="E1801" s="33" t="s">
        <v>162</v>
      </c>
      <c r="F1801" s="31">
        <v>13256</v>
      </c>
      <c r="G1801" s="32">
        <v>470</v>
      </c>
      <c r="H1801" s="32">
        <v>18790.5</v>
      </c>
      <c r="I1801" s="32">
        <f t="shared" si="29"/>
        <v>19260.5</v>
      </c>
      <c r="J1801" s="18" t="s">
        <v>1123</v>
      </c>
      <c r="K1801" s="33" t="s">
        <v>4196</v>
      </c>
      <c r="L1801" s="33" t="s">
        <v>4197</v>
      </c>
      <c r="M1801" s="33" t="s">
        <v>4198</v>
      </c>
      <c r="N1801" s="30">
        <v>46213</v>
      </c>
      <c r="O1801" s="33"/>
      <c r="P1801" s="33"/>
      <c r="Q1801" s="30" t="str" cm="1">
        <f t="array" ref="Q1801">_xlfn.IFS(
A1801="","",
AND(A1801&lt;&gt;"",B1801=""),"FALTA LANÇAMENTO",
AND(B1801&lt;&gt;"",M1801=""),"FALTA O PEDIDO",
AND(M1801&lt;&gt;"",O1801=""),"FALTA NF",
O1801&lt;&gt;"","CONCLUÍDO")</f>
        <v>FALTA NF</v>
      </c>
      <c r="R1801" s="33"/>
    </row>
    <row r="1802" spans="1:18" hidden="1">
      <c r="A1802" s="30">
        <v>46178</v>
      </c>
      <c r="B1802" s="30">
        <v>46212</v>
      </c>
      <c r="C1802" s="31">
        <v>51521072</v>
      </c>
      <c r="D1802" s="30" t="str">
        <f>IFERROR(VLOOKUP(Tabela5[[#This Row],[PREFIXO ]],Tabela4[#All],2,0),"CENTRO DE CUSTO")</f>
        <v>COLHED ALGODÃO JOHN DEERE CP 690</v>
      </c>
      <c r="E1802" s="33" t="s">
        <v>17</v>
      </c>
      <c r="F1802" s="31">
        <v>44544</v>
      </c>
      <c r="G1802" s="32">
        <v>2000</v>
      </c>
      <c r="H1802" s="32">
        <v>2177.64</v>
      </c>
      <c r="I1802" s="32">
        <f t="shared" si="29"/>
        <v>4177.6399999999994</v>
      </c>
      <c r="J1802" s="18" t="s">
        <v>1123</v>
      </c>
      <c r="K1802" s="33" t="s">
        <v>4199</v>
      </c>
      <c r="L1802" s="33" t="s">
        <v>4200</v>
      </c>
      <c r="M1802" s="33" t="s">
        <v>4201</v>
      </c>
      <c r="N1802" s="30">
        <v>46213</v>
      </c>
      <c r="O1802" s="33"/>
      <c r="P1802" s="33"/>
      <c r="Q1802" s="30" t="str" cm="1">
        <f t="array" ref="Q1802">_xlfn.IFS(
A1802="","",
AND(A1802&lt;&gt;"",B1802=""),"FALTA LANÇAMENTO",
AND(B1802&lt;&gt;"",M1802=""),"FALTA O PEDIDO",
AND(M1802&lt;&gt;"",O1802=""),"FALTA NF",
O1802&lt;&gt;"","CONCLUÍDO")</f>
        <v>FALTA NF</v>
      </c>
      <c r="R1802" s="33"/>
    </row>
    <row r="1803" spans="1:18" hidden="1">
      <c r="A1803" s="30">
        <v>46178</v>
      </c>
      <c r="B1803" s="30">
        <v>46178</v>
      </c>
      <c r="C1803" s="31">
        <v>500580579</v>
      </c>
      <c r="D1803" s="30" t="str">
        <f>IFERROR(VLOOKUP(Tabela5[[#This Row],[PREFIXO ]],Tabela4[#All],2,0),"CENTRO DE CUSTO")</f>
        <v>Pátio de Vendas</v>
      </c>
      <c r="E1803" s="33" t="s">
        <v>224</v>
      </c>
      <c r="F1803" s="31">
        <v>4270</v>
      </c>
      <c r="G1803" s="32">
        <v>3420</v>
      </c>
      <c r="H1803" s="32"/>
      <c r="I1803" s="32">
        <f t="shared" si="29"/>
        <v>3420</v>
      </c>
      <c r="J1803" s="18" t="s">
        <v>3654</v>
      </c>
      <c r="K1803" s="33"/>
      <c r="L1803" s="33" t="s">
        <v>3655</v>
      </c>
      <c r="M1803" s="33" t="s">
        <v>4202</v>
      </c>
      <c r="N1803" s="30">
        <v>46183</v>
      </c>
      <c r="O1803" s="33" t="s">
        <v>3657</v>
      </c>
      <c r="P1803" s="33" t="s">
        <v>3869</v>
      </c>
      <c r="Q1803" s="30" t="str" cm="1">
        <f t="array" ref="Q1803">_xlfn.IFS(
A1803="","",
AND(A1803&lt;&gt;"",B1803=""),"FALTA LANÇAMENTO",
AND(B1803&lt;&gt;"",M1803=""),"FALTA O PEDIDO",
AND(M1803&lt;&gt;"",O1803=""),"FALTA NF",
O1803&lt;&gt;"","CONCLUÍDO")</f>
        <v>CONCLUÍDO</v>
      </c>
      <c r="R1803" s="33"/>
    </row>
    <row r="1804" spans="1:18" hidden="1">
      <c r="A1804" s="30">
        <v>46178</v>
      </c>
      <c r="B1804" s="30">
        <v>46204</v>
      </c>
      <c r="C1804" s="31">
        <v>51521051</v>
      </c>
      <c r="D1804" s="30" t="str">
        <f>IFERROR(VLOOKUP(Tabela5[[#This Row],[PREFIXO ]],Tabela4[#All],2,0),"CENTRO DE CUSTO")</f>
        <v>COLHED ALGODÃO JOHN DEERE CP 690</v>
      </c>
      <c r="E1804" s="33" t="s">
        <v>96</v>
      </c>
      <c r="F1804" s="31" t="s">
        <v>4203</v>
      </c>
      <c r="G1804" s="32">
        <v>2403</v>
      </c>
      <c r="H1804" s="32">
        <v>3755.89</v>
      </c>
      <c r="I1804" s="32">
        <f t="shared" si="29"/>
        <v>6158.8899999999994</v>
      </c>
      <c r="J1804" s="33" t="s">
        <v>1113</v>
      </c>
      <c r="K1804" s="33" t="s">
        <v>4204</v>
      </c>
      <c r="L1804" s="33" t="s">
        <v>4205</v>
      </c>
      <c r="M1804" s="33" t="s">
        <v>4206</v>
      </c>
      <c r="N1804" s="30">
        <v>46205</v>
      </c>
      <c r="O1804" s="33" t="s">
        <v>4207</v>
      </c>
      <c r="P1804" s="18" t="s">
        <v>4208</v>
      </c>
      <c r="Q1804" s="30" t="str" cm="1">
        <f t="array" ref="Q1804">_xlfn.IFS(
A1804="","",
AND(A1804&lt;&gt;"",B1804=""),"FALTA LANÇAMENTO",
AND(B1804&lt;&gt;"",M1804=""),"FALTA O PEDIDO",
AND(M1804&lt;&gt;"",O1804=""),"FALTA NF",
O1804&lt;&gt;"","CONCLUÍDO")</f>
        <v>CONCLUÍDO</v>
      </c>
      <c r="R1804" s="33"/>
    </row>
    <row r="1805" spans="1:18" hidden="1">
      <c r="A1805" s="30">
        <v>46178</v>
      </c>
      <c r="B1805" s="30">
        <v>46192</v>
      </c>
      <c r="C1805" s="31">
        <v>11040021</v>
      </c>
      <c r="D1805" s="30" t="str">
        <f>IFERROR(VLOOKUP(Tabela5[[#This Row],[PREFIXO ]],Tabela4[#All],2,0),"CENTRO DE CUSTO")</f>
        <v>CAV MEC EXT PES SCANIA R500</v>
      </c>
      <c r="E1805" s="33" t="s">
        <v>96</v>
      </c>
      <c r="F1805" s="31" t="s">
        <v>4209</v>
      </c>
      <c r="G1805" s="32">
        <v>100</v>
      </c>
      <c r="H1805" s="42">
        <v>448.47</v>
      </c>
      <c r="I1805" s="32">
        <f t="shared" si="29"/>
        <v>548.47</v>
      </c>
      <c r="J1805" s="18" t="s">
        <v>1085</v>
      </c>
      <c r="K1805" s="33" t="s">
        <v>4210</v>
      </c>
      <c r="L1805" s="33" t="s">
        <v>4211</v>
      </c>
      <c r="M1805" s="33" t="s">
        <v>4212</v>
      </c>
      <c r="N1805" s="30">
        <v>46192</v>
      </c>
      <c r="O1805" s="33" t="s">
        <v>4213</v>
      </c>
      <c r="P1805" s="33" t="s">
        <v>4044</v>
      </c>
      <c r="Q1805" s="30" t="str" cm="1">
        <f t="array" ref="Q1805">_xlfn.IFS(
A1805="","",
AND(A1805&lt;&gt;"",B1805=""),"FALTA LANÇAMENTO",
AND(B1805&lt;&gt;"",M1805=""),"FALTA O PEDIDO",
AND(M1805&lt;&gt;"",O1805=""),"FALTA NF",
O1805&lt;&gt;"","CONCLUÍDO")</f>
        <v>CONCLUÍDO</v>
      </c>
      <c r="R1805" s="33"/>
    </row>
    <row r="1806" spans="1:18" hidden="1">
      <c r="A1806" s="30">
        <v>46178</v>
      </c>
      <c r="B1806" s="30">
        <v>46188</v>
      </c>
      <c r="C1806" s="31">
        <v>11060002</v>
      </c>
      <c r="D1806" s="30" t="str">
        <f>IFERROR(VLOOKUP(Tabela5[[#This Row],[PREFIXO ]],Tabela4[#All],2,0),"CENTRO DE CUSTO")</f>
        <v>CENTRO DE CUSTO</v>
      </c>
      <c r="E1806" s="33" t="s">
        <v>227</v>
      </c>
      <c r="F1806" s="31" t="s">
        <v>4214</v>
      </c>
      <c r="G1806" s="32">
        <v>35000</v>
      </c>
      <c r="H1806" s="32">
        <v>32440.28</v>
      </c>
      <c r="I1806" s="32">
        <f t="shared" si="29"/>
        <v>67440.28</v>
      </c>
      <c r="J1806" s="18" t="s">
        <v>1085</v>
      </c>
      <c r="K1806" s="33" t="s">
        <v>4215</v>
      </c>
      <c r="L1806" s="33" t="s">
        <v>4216</v>
      </c>
      <c r="M1806" s="33" t="s">
        <v>4217</v>
      </c>
      <c r="N1806" s="30">
        <v>46190</v>
      </c>
      <c r="O1806" s="33" t="s">
        <v>4218</v>
      </c>
      <c r="P1806" s="33" t="s">
        <v>3764</v>
      </c>
      <c r="Q1806" s="30" t="str" cm="1">
        <f t="array" ref="Q1806">_xlfn.IFS(
A1806="","",
AND(A1806&lt;&gt;"",B1806=""),"FALTA LANÇAMENTO",
AND(B1806&lt;&gt;"",M1806=""),"FALTA O PEDIDO",
AND(M1806&lt;&gt;"",O1806=""),"FALTA NF",
O1806&lt;&gt;"","CONCLUÍDO")</f>
        <v>CONCLUÍDO</v>
      </c>
      <c r="R1806" s="33"/>
    </row>
    <row r="1807" spans="1:18" hidden="1">
      <c r="A1807" s="30">
        <v>46181</v>
      </c>
      <c r="B1807" s="30">
        <v>46182</v>
      </c>
      <c r="C1807" s="31">
        <v>12060002</v>
      </c>
      <c r="D1807" s="30" t="str">
        <f>IFERROR(VLOOKUP(Tabela5[[#This Row],[PREFIXO ]],Tabela4[#All],2,0),"CENTRO DE CUSTO")</f>
        <v>ONIB RODOVIÁRIO MARCOPOLO NEOBUS MEGA</v>
      </c>
      <c r="E1807" s="33" t="s">
        <v>121</v>
      </c>
      <c r="F1807" s="31">
        <v>83</v>
      </c>
      <c r="G1807" s="32">
        <v>8932.81</v>
      </c>
      <c r="H1807" s="32"/>
      <c r="I1807" s="32">
        <f t="shared" si="29"/>
        <v>8932.81</v>
      </c>
      <c r="J1807" s="33" t="s">
        <v>1085</v>
      </c>
      <c r="K1807" s="33" t="s">
        <v>4219</v>
      </c>
      <c r="L1807" s="33" t="s">
        <v>4220</v>
      </c>
      <c r="M1807" s="33">
        <v>41885088</v>
      </c>
      <c r="N1807" s="30">
        <v>46183</v>
      </c>
      <c r="O1807" s="33" t="s">
        <v>4221</v>
      </c>
      <c r="P1807" s="18" t="s">
        <v>4222</v>
      </c>
      <c r="Q1807" s="30" t="str" cm="1">
        <f t="array" ref="Q1807">_xlfn.IFS(
A1807="","",
AND(A1807&lt;&gt;"",B1807=""),"FALTA LANÇAMENTO",
AND(B1807&lt;&gt;"",M1807=""),"FALTA O PEDIDO",
AND(M1807&lt;&gt;"",O1807=""),"FALTA NF",
O1807&lt;&gt;"","CONCLUÍDO")</f>
        <v>CONCLUÍDO</v>
      </c>
      <c r="R1807" s="33"/>
    </row>
    <row r="1808" spans="1:18" hidden="1">
      <c r="A1808" s="30">
        <v>46181</v>
      </c>
      <c r="B1808" s="30">
        <v>46182</v>
      </c>
      <c r="C1808" s="31">
        <v>61521064</v>
      </c>
      <c r="D1808" s="30" t="str">
        <f>IFERROR(VLOOKUP(Tabela5[[#This Row],[PREFIXO ]],Tabela4[#All],2,0),"CENTRO DE CUSTO")</f>
        <v>CAM ROLL ON/OFF VOLVO VM 330</v>
      </c>
      <c r="E1808" s="33" t="s">
        <v>121</v>
      </c>
      <c r="F1808" s="31">
        <v>86</v>
      </c>
      <c r="G1808" s="32">
        <v>5195.18</v>
      </c>
      <c r="H1808" s="32"/>
      <c r="I1808" s="32">
        <f t="shared" si="29"/>
        <v>5195.18</v>
      </c>
      <c r="J1808" s="33" t="s">
        <v>1085</v>
      </c>
      <c r="K1808" s="33" t="s">
        <v>4223</v>
      </c>
      <c r="L1808" s="33" t="s">
        <v>4220</v>
      </c>
      <c r="M1808" s="33">
        <v>41885088</v>
      </c>
      <c r="N1808" s="30">
        <v>46183</v>
      </c>
      <c r="O1808" s="33" t="s">
        <v>4221</v>
      </c>
      <c r="P1808" s="33" t="s">
        <v>4222</v>
      </c>
      <c r="Q1808" s="30" t="str" cm="1">
        <f t="array" ref="Q1808">_xlfn.IFS(
A1808="","",
AND(A1808&lt;&gt;"",B1808=""),"FALTA LANÇAMENTO",
AND(B1808&lt;&gt;"",M1808=""),"FALTA O PEDIDO",
AND(M1808&lt;&gt;"",O1808=""),"FALTA NF",
O1808&lt;&gt;"","CONCLUÍDO")</f>
        <v>CONCLUÍDO</v>
      </c>
      <c r="R1808" s="33"/>
    </row>
    <row r="1809" spans="1:18" hidden="1">
      <c r="A1809" s="30">
        <v>46181</v>
      </c>
      <c r="B1809" s="30">
        <v>46182</v>
      </c>
      <c r="C1809" s="31">
        <v>61521054</v>
      </c>
      <c r="D1809" s="30" t="str">
        <f>IFERROR(VLOOKUP(Tabela5[[#This Row],[PREFIXO ]],Tabela4[#All],2,0),"CENTRO DE CUSTO")</f>
        <v>CAM CARGA SECA MERC BENZ ATEGO 1719</v>
      </c>
      <c r="E1809" s="33" t="s">
        <v>121</v>
      </c>
      <c r="F1809" s="31">
        <v>85</v>
      </c>
      <c r="G1809" s="32">
        <v>5230.7</v>
      </c>
      <c r="H1809" s="32"/>
      <c r="I1809" s="32">
        <f t="shared" si="29"/>
        <v>5230.7</v>
      </c>
      <c r="J1809" s="33" t="s">
        <v>1085</v>
      </c>
      <c r="K1809" s="33" t="s">
        <v>4224</v>
      </c>
      <c r="L1809" s="33" t="s">
        <v>4220</v>
      </c>
      <c r="M1809" s="33">
        <v>41885088</v>
      </c>
      <c r="N1809" s="30">
        <v>46183</v>
      </c>
      <c r="O1809" s="33" t="s">
        <v>4221</v>
      </c>
      <c r="P1809" s="33" t="s">
        <v>4222</v>
      </c>
      <c r="Q1809" s="30" t="str" cm="1">
        <f t="array" ref="Q1809">_xlfn.IFS(
A1809="","",
AND(A1809&lt;&gt;"",B1809=""),"FALTA LANÇAMENTO",
AND(B1809&lt;&gt;"",M1809=""),"FALTA O PEDIDO",
AND(M1809&lt;&gt;"",O1809=""),"FALTA NF",
O1809&lt;&gt;"","CONCLUÍDO")</f>
        <v>CONCLUÍDO</v>
      </c>
      <c r="R1809" s="33"/>
    </row>
    <row r="1810" spans="1:18" hidden="1">
      <c r="A1810" s="30">
        <v>46181</v>
      </c>
      <c r="B1810" s="30">
        <v>46182</v>
      </c>
      <c r="C1810" s="31">
        <v>61521043</v>
      </c>
      <c r="D1810" s="30" t="str">
        <f>IFERROR(VLOOKUP(Tabela5[[#This Row],[PREFIXO ]],Tabela4[#All],2,0),"CENTRO DE CUSTO")</f>
        <v>ONIB RODOVIÁRIO MASCARELLO GRAN MIDI</v>
      </c>
      <c r="E1810" s="33" t="s">
        <v>121</v>
      </c>
      <c r="F1810" s="31">
        <v>84</v>
      </c>
      <c r="G1810" s="32">
        <v>5610.05</v>
      </c>
      <c r="H1810" s="32"/>
      <c r="I1810" s="32">
        <f t="shared" si="29"/>
        <v>5610.05</v>
      </c>
      <c r="J1810" s="33" t="s">
        <v>1085</v>
      </c>
      <c r="K1810" s="33" t="s">
        <v>4225</v>
      </c>
      <c r="L1810" s="33" t="s">
        <v>4220</v>
      </c>
      <c r="M1810" s="33">
        <v>41885088</v>
      </c>
      <c r="N1810" s="30">
        <v>46183</v>
      </c>
      <c r="O1810" s="33" t="s">
        <v>4221</v>
      </c>
      <c r="P1810" s="33" t="s">
        <v>4222</v>
      </c>
      <c r="Q1810" s="30" t="str" cm="1">
        <f t="array" ref="Q1810">_xlfn.IFS(
A1810="","",
AND(A1810&lt;&gt;"",B1810=""),"FALTA LANÇAMENTO",
AND(B1810&lt;&gt;"",M1810=""),"FALTA O PEDIDO",
AND(M1810&lt;&gt;"",O1810=""),"FALTA NF",
O1810&lt;&gt;"","CONCLUÍDO")</f>
        <v>CONCLUÍDO</v>
      </c>
      <c r="R1810" s="33"/>
    </row>
    <row r="1811" spans="1:18" hidden="1">
      <c r="A1811" s="30">
        <v>46181</v>
      </c>
      <c r="B1811" s="30">
        <v>46184</v>
      </c>
      <c r="C1811" s="31">
        <v>11521016</v>
      </c>
      <c r="D1811" s="30" t="str">
        <f>IFERROR(VLOOKUP(Tabela5[[#This Row],[PREFIXO ]],Tabela4[#All],2,0),"CENTRO DE CUSTO")</f>
        <v>TRAT PN MED CASE PUMA 140</v>
      </c>
      <c r="E1811" s="33" t="s">
        <v>240</v>
      </c>
      <c r="F1811" s="31">
        <v>472</v>
      </c>
      <c r="G1811" s="32">
        <v>2500</v>
      </c>
      <c r="H1811" s="32"/>
      <c r="I1811" s="32">
        <f t="shared" si="29"/>
        <v>2500</v>
      </c>
      <c r="J1811" s="33" t="s">
        <v>1199</v>
      </c>
      <c r="K1811" s="33" t="s">
        <v>4226</v>
      </c>
      <c r="L1811" s="33" t="s">
        <v>4227</v>
      </c>
      <c r="M1811" s="33">
        <v>41886543</v>
      </c>
      <c r="N1811" s="30">
        <v>46185</v>
      </c>
      <c r="O1811" s="33" t="s">
        <v>2974</v>
      </c>
      <c r="P1811" s="33" t="s">
        <v>3982</v>
      </c>
      <c r="Q1811" s="30" t="str" cm="1">
        <f t="array" ref="Q1811">_xlfn.IFS(
A1811="","",
AND(A1811&lt;&gt;"",B1811=""),"FALTA LANÇAMENTO",
AND(B1811&lt;&gt;"",M1811=""),"FALTA O PEDIDO",
AND(M1811&lt;&gt;"",O1811=""),"FALTA NF",
O1811&lt;&gt;"","CONCLUÍDO")</f>
        <v>CONCLUÍDO</v>
      </c>
      <c r="R1811" s="33"/>
    </row>
    <row r="1812" spans="1:18" hidden="1">
      <c r="A1812" s="30">
        <v>46181</v>
      </c>
      <c r="B1812" s="30">
        <v>46182</v>
      </c>
      <c r="C1812" s="31" t="s">
        <v>4228</v>
      </c>
      <c r="D1812" s="30" t="str">
        <f>IFERROR(VLOOKUP(Tabela5[[#This Row],[PREFIXO ]],Tabela4[#All],2,0),"CENTRO DE CUSTO")</f>
        <v>CENTRO DE CUSTO</v>
      </c>
      <c r="E1812" s="33" t="s">
        <v>252</v>
      </c>
      <c r="F1812" s="31">
        <v>202625</v>
      </c>
      <c r="G1812" s="32">
        <v>570</v>
      </c>
      <c r="H1812" s="32"/>
      <c r="I1812" s="32">
        <f t="shared" si="29"/>
        <v>570</v>
      </c>
      <c r="J1812" s="33" t="s">
        <v>1085</v>
      </c>
      <c r="K1812" s="33"/>
      <c r="L1812" s="33" t="s">
        <v>4229</v>
      </c>
      <c r="M1812" s="33" t="s">
        <v>4230</v>
      </c>
      <c r="N1812" s="30">
        <v>46183</v>
      </c>
      <c r="O1812" s="33" t="s">
        <v>4231</v>
      </c>
      <c r="P1812" s="33" t="s">
        <v>3764</v>
      </c>
      <c r="Q1812" s="30" t="str" cm="1">
        <f t="array" ref="Q1812">_xlfn.IFS(
A1812="","",
AND(A1812&lt;&gt;"",B1812=""),"FALTA LANÇAMENTO",
AND(B1812&lt;&gt;"",M1812=""),"FALTA O PEDIDO",
AND(M1812&lt;&gt;"",O1812=""),"FALTA NF",
O1812&lt;&gt;"","CONCLUÍDO")</f>
        <v>CONCLUÍDO</v>
      </c>
      <c r="R1812" s="33"/>
    </row>
    <row r="1813" spans="1:18" hidden="1">
      <c r="A1813" s="30">
        <v>46182</v>
      </c>
      <c r="B1813" s="30">
        <v>46185</v>
      </c>
      <c r="C1813" s="31">
        <v>51521065</v>
      </c>
      <c r="D1813" s="30" t="str">
        <f>IFERROR(VLOOKUP(Tabela5[[#This Row],[PREFIXO ]],Tabela4[#All],2,0),"CENTRO DE CUSTO")</f>
        <v>COLHED ALGODÃO JOHN DEERE CP 690</v>
      </c>
      <c r="E1813" s="33" t="s">
        <v>17</v>
      </c>
      <c r="F1813" s="31">
        <v>44124</v>
      </c>
      <c r="G1813" s="32">
        <v>1566</v>
      </c>
      <c r="H1813" s="32"/>
      <c r="I1813" s="32">
        <f t="shared" si="29"/>
        <v>1566</v>
      </c>
      <c r="J1813" s="33" t="s">
        <v>1123</v>
      </c>
      <c r="K1813" s="33" t="s">
        <v>4232</v>
      </c>
      <c r="L1813" s="33" t="s">
        <v>4233</v>
      </c>
      <c r="M1813" s="33">
        <v>41887807</v>
      </c>
      <c r="N1813" s="30">
        <v>46188</v>
      </c>
      <c r="O1813" s="33" t="s">
        <v>4234</v>
      </c>
      <c r="P1813" s="33" t="s">
        <v>4235</v>
      </c>
      <c r="Q1813" s="30" t="str" cm="1">
        <f t="array" ref="Q1813">_xlfn.IFS(
A1813="","",
AND(A1813&lt;&gt;"",B1813=""),"FALTA LANÇAMENTO",
AND(B1813&lt;&gt;"",M1813=""),"FALTA O PEDIDO",
AND(M1813&lt;&gt;"",O1813=""),"FALTA NF",
O1813&lt;&gt;"","CONCLUÍDO")</f>
        <v>CONCLUÍDO</v>
      </c>
      <c r="R1813" s="33"/>
    </row>
    <row r="1814" spans="1:18" hidden="1">
      <c r="A1814" s="30">
        <v>46182</v>
      </c>
      <c r="B1814" s="30">
        <v>46185</v>
      </c>
      <c r="C1814" s="31">
        <v>51521053</v>
      </c>
      <c r="D1814" s="30" t="str">
        <f>IFERROR(VLOOKUP(Tabela5[[#This Row],[PREFIXO ]],Tabela4[#All],2,0),"CENTRO DE CUSTO")</f>
        <v>COLHED ALGODÃO JOHN DEERE CP 690</v>
      </c>
      <c r="E1814" s="33" t="s">
        <v>17</v>
      </c>
      <c r="F1814" s="31">
        <v>44084</v>
      </c>
      <c r="G1814" s="32">
        <v>1937.48</v>
      </c>
      <c r="H1814" s="32"/>
      <c r="I1814" s="32">
        <f t="shared" si="29"/>
        <v>1937.48</v>
      </c>
      <c r="J1814" s="33" t="s">
        <v>1123</v>
      </c>
      <c r="K1814" s="33" t="s">
        <v>4236</v>
      </c>
      <c r="L1814" s="33" t="s">
        <v>4233</v>
      </c>
      <c r="M1814" s="33">
        <v>41887807</v>
      </c>
      <c r="N1814" s="30">
        <v>46188</v>
      </c>
      <c r="O1814" s="33" t="s">
        <v>4234</v>
      </c>
      <c r="P1814" s="33" t="s">
        <v>4235</v>
      </c>
      <c r="Q1814" s="30" t="str" cm="1">
        <f t="array" ref="Q1814">_xlfn.IFS(
A1814="","",
AND(A1814&lt;&gt;"",B1814=""),"FALTA LANÇAMENTO",
AND(B1814&lt;&gt;"",M1814=""),"FALTA O PEDIDO",
AND(M1814&lt;&gt;"",O1814=""),"FALTA NF",
O1814&lt;&gt;"","CONCLUÍDO")</f>
        <v>CONCLUÍDO</v>
      </c>
      <c r="R1814" s="33"/>
    </row>
    <row r="1815" spans="1:18" hidden="1">
      <c r="A1815" s="30">
        <v>46182</v>
      </c>
      <c r="B1815" s="30">
        <v>46185</v>
      </c>
      <c r="C1815" s="31">
        <v>51521067</v>
      </c>
      <c r="D1815" s="30" t="str">
        <f>IFERROR(VLOOKUP(Tabela5[[#This Row],[PREFIXO ]],Tabela4[#All],2,0),"CENTRO DE CUSTO")</f>
        <v>COLHED ALGODÃO JOHN DEERE CP 690</v>
      </c>
      <c r="E1815" s="33" t="s">
        <v>17</v>
      </c>
      <c r="F1815" s="31">
        <v>44122</v>
      </c>
      <c r="G1815" s="32">
        <v>1566</v>
      </c>
      <c r="H1815" s="32"/>
      <c r="I1815" s="32">
        <f t="shared" si="29"/>
        <v>1566</v>
      </c>
      <c r="J1815" s="18" t="s">
        <v>1123</v>
      </c>
      <c r="K1815" s="33" t="s">
        <v>4237</v>
      </c>
      <c r="L1815" s="33" t="s">
        <v>4233</v>
      </c>
      <c r="M1815" s="33">
        <v>41887807</v>
      </c>
      <c r="N1815" s="30">
        <v>46188</v>
      </c>
      <c r="O1815" s="33" t="s">
        <v>4234</v>
      </c>
      <c r="P1815" s="33" t="s">
        <v>4235</v>
      </c>
      <c r="Q1815" s="30" t="str" cm="1">
        <f t="array" ref="Q1815">_xlfn.IFS(
A1815="","",
AND(A1815&lt;&gt;"",B1815=""),"FALTA LANÇAMENTO",
AND(B1815&lt;&gt;"",M1815=""),"FALTA O PEDIDO",
AND(M1815&lt;&gt;"",O1815=""),"FALTA NF",
O1815&lt;&gt;"","CONCLUÍDO")</f>
        <v>CONCLUÍDO</v>
      </c>
      <c r="R1815" s="33"/>
    </row>
    <row r="1816" spans="1:18" hidden="1">
      <c r="A1816" s="30">
        <v>46182</v>
      </c>
      <c r="B1816" s="30">
        <v>46185</v>
      </c>
      <c r="C1816" s="31">
        <v>51521059</v>
      </c>
      <c r="D1816" s="30" t="str">
        <f>IFERROR(VLOOKUP(Tabela5[[#This Row],[PREFIXO ]],Tabela4[#All],2,0),"CENTRO DE CUSTO")</f>
        <v>COLHED ALGODÃO JOHN DEERE CP 690</v>
      </c>
      <c r="E1816" s="33" t="s">
        <v>17</v>
      </c>
      <c r="F1816" s="31">
        <v>44123</v>
      </c>
      <c r="G1816" s="32">
        <v>1566</v>
      </c>
      <c r="H1816" s="32"/>
      <c r="I1816" s="32">
        <f t="shared" si="29"/>
        <v>1566</v>
      </c>
      <c r="J1816" s="18" t="s">
        <v>1123</v>
      </c>
      <c r="K1816" s="33" t="s">
        <v>4238</v>
      </c>
      <c r="L1816" s="33" t="s">
        <v>4233</v>
      </c>
      <c r="M1816" s="33">
        <v>41887807</v>
      </c>
      <c r="N1816" s="30">
        <v>46188</v>
      </c>
      <c r="O1816" s="33" t="s">
        <v>4234</v>
      </c>
      <c r="P1816" s="33" t="s">
        <v>4235</v>
      </c>
      <c r="Q1816" s="30" t="str" cm="1">
        <f t="array" ref="Q1816">_xlfn.IFS(
A1816="","",
AND(A1816&lt;&gt;"",B1816=""),"FALTA LANÇAMENTO",
AND(B1816&lt;&gt;"",M1816=""),"FALTA O PEDIDO",
AND(M1816&lt;&gt;"",O1816=""),"FALTA NF",
O1816&lt;&gt;"","CONCLUÍDO")</f>
        <v>CONCLUÍDO</v>
      </c>
      <c r="R1816" s="33"/>
    </row>
    <row r="1817" spans="1:18" hidden="1">
      <c r="A1817" s="30">
        <v>46182</v>
      </c>
      <c r="B1817" s="30">
        <v>46192</v>
      </c>
      <c r="C1817" s="31" t="s">
        <v>4239</v>
      </c>
      <c r="D1817" s="30" t="str">
        <f>IFERROR(VLOOKUP(Tabela5[[#This Row],[PREFIXO ]],Tabela4[#All],2,0),"CENTRO DE CUSTO")</f>
        <v>CENTRO DE CUSTO</v>
      </c>
      <c r="E1817" s="33" t="s">
        <v>249</v>
      </c>
      <c r="F1817" s="31">
        <v>249</v>
      </c>
      <c r="G1817" s="32">
        <v>12600</v>
      </c>
      <c r="H1817" s="32"/>
      <c r="I1817" s="32">
        <f t="shared" si="29"/>
        <v>12600</v>
      </c>
      <c r="J1817" s="18" t="s">
        <v>1265</v>
      </c>
      <c r="K1817" s="33" t="s">
        <v>4240</v>
      </c>
      <c r="L1817" s="33" t="s">
        <v>4241</v>
      </c>
      <c r="M1817" s="33">
        <v>41892588</v>
      </c>
      <c r="N1817" s="30">
        <v>46195</v>
      </c>
      <c r="O1817" s="33" t="s">
        <v>4242</v>
      </c>
      <c r="P1817" s="33" t="s">
        <v>3576</v>
      </c>
      <c r="Q1817" s="30" t="str" cm="1">
        <f t="array" ref="Q1817">_xlfn.IFS(
A1817="","",
AND(A1817&lt;&gt;"",B1817=""),"FALTA LANÇAMENTO",
AND(B1817&lt;&gt;"",M1817=""),"FALTA O PEDIDO",
AND(M1817&lt;&gt;"",O1817=""),"FALTA NF",
O1817&lt;&gt;"","CONCLUÍDO")</f>
        <v>CONCLUÍDO</v>
      </c>
      <c r="R1817" s="33"/>
    </row>
    <row r="1818" spans="1:18" hidden="1">
      <c r="A1818" s="30">
        <v>46182</v>
      </c>
      <c r="B1818" s="30">
        <v>46192</v>
      </c>
      <c r="C1818" s="31" t="s">
        <v>4243</v>
      </c>
      <c r="D1818" s="30" t="str">
        <f>IFERROR(VLOOKUP(Tabela5[[#This Row],[PREFIXO ]],Tabela4[#All],2,0),"CENTRO DE CUSTO")</f>
        <v>CENTRO DE CUSTO</v>
      </c>
      <c r="E1818" s="33" t="s">
        <v>249</v>
      </c>
      <c r="F1818" s="31">
        <v>248</v>
      </c>
      <c r="G1818" s="32">
        <v>9800</v>
      </c>
      <c r="H1818" s="32"/>
      <c r="I1818" s="32">
        <f t="shared" si="29"/>
        <v>9800</v>
      </c>
      <c r="J1818" s="18" t="s">
        <v>1199</v>
      </c>
      <c r="K1818" s="33" t="s">
        <v>4244</v>
      </c>
      <c r="L1818" s="33" t="s">
        <v>4245</v>
      </c>
      <c r="M1818" s="33">
        <v>41891937</v>
      </c>
      <c r="N1818" s="30">
        <v>46192</v>
      </c>
      <c r="O1818" s="33" t="s">
        <v>2422</v>
      </c>
      <c r="P1818" s="33" t="s">
        <v>3869</v>
      </c>
      <c r="Q1818" s="30" t="str" cm="1">
        <f t="array" ref="Q1818">_xlfn.IFS(
A1818="","",
AND(A1818&lt;&gt;"",B1818=""),"FALTA LANÇAMENTO",
AND(B1818&lt;&gt;"",M1818=""),"FALTA O PEDIDO",
AND(M1818&lt;&gt;"",O1818=""),"FALTA NF",
O1818&lt;&gt;"","CONCLUÍDO")</f>
        <v>CONCLUÍDO</v>
      </c>
      <c r="R1818" s="33"/>
    </row>
    <row r="1819" spans="1:18" hidden="1">
      <c r="A1819" s="30">
        <v>46182</v>
      </c>
      <c r="B1819" s="30">
        <v>46192</v>
      </c>
      <c r="C1819" s="31">
        <v>51521103</v>
      </c>
      <c r="D1819" s="30" t="str">
        <f>IFERROR(VLOOKUP(Tabela5[[#This Row],[PREFIXO ]],Tabela4[#All],2,0),"CENTRO DE CUSTO")</f>
        <v>COLHEIT DE GRÃOS N.HOLLAND CR 8.90</v>
      </c>
      <c r="E1819" s="33" t="s">
        <v>346</v>
      </c>
      <c r="F1819" s="31" t="s">
        <v>2493</v>
      </c>
      <c r="G1819" s="32">
        <v>16289</v>
      </c>
      <c r="H1819" s="32"/>
      <c r="I1819" s="32">
        <f t="shared" si="29"/>
        <v>16289</v>
      </c>
      <c r="J1819" s="18" t="s">
        <v>1113</v>
      </c>
      <c r="K1819" s="33" t="s">
        <v>4246</v>
      </c>
      <c r="L1819" s="33" t="s">
        <v>4247</v>
      </c>
      <c r="M1819" s="33">
        <v>41891960</v>
      </c>
      <c r="N1819" s="30">
        <v>46192</v>
      </c>
      <c r="O1819" s="33" t="s">
        <v>1334</v>
      </c>
      <c r="P1819" s="33" t="s">
        <v>3576</v>
      </c>
      <c r="Q1819" s="30" t="str" cm="1">
        <f t="array" ref="Q1819">_xlfn.IFS(
A1819="","",
AND(A1819&lt;&gt;"",B1819=""),"FALTA LANÇAMENTO",
AND(B1819&lt;&gt;"",M1819=""),"FALTA O PEDIDO",
AND(M1819&lt;&gt;"",O1819=""),"FALTA NF",
O1819&lt;&gt;"","CONCLUÍDO")</f>
        <v>CONCLUÍDO</v>
      </c>
      <c r="R1819" s="33"/>
    </row>
    <row r="1820" spans="1:18" hidden="1">
      <c r="A1820" s="30">
        <v>46182</v>
      </c>
      <c r="B1820" s="30">
        <v>46190</v>
      </c>
      <c r="C1820" s="31">
        <v>11521032</v>
      </c>
      <c r="D1820" s="30" t="str">
        <f>IFERROR(VLOOKUP(Tabela5[[#This Row],[PREFIXO ]],Tabela4[#All],2,0),"CENTRO DE CUSTO")</f>
        <v>TRAT PN EXT PES FENDT 1046 VARIO</v>
      </c>
      <c r="E1820" s="33" t="s">
        <v>259</v>
      </c>
      <c r="F1820" s="31">
        <v>63230106</v>
      </c>
      <c r="G1820" s="32">
        <v>50.14</v>
      </c>
      <c r="H1820" s="32">
        <v>8723.39</v>
      </c>
      <c r="I1820" s="32">
        <f t="shared" si="29"/>
        <v>8773.5299999999988</v>
      </c>
      <c r="J1820" s="33" t="s">
        <v>1199</v>
      </c>
      <c r="K1820" s="33" t="s">
        <v>4248</v>
      </c>
      <c r="L1820" s="33" t="s">
        <v>4249</v>
      </c>
      <c r="M1820" s="33">
        <v>41890746</v>
      </c>
      <c r="N1820" s="30">
        <v>46191</v>
      </c>
      <c r="O1820" s="33" t="s">
        <v>4250</v>
      </c>
      <c r="P1820" s="33" t="s">
        <v>4251</v>
      </c>
      <c r="Q1820" s="30" t="str" cm="1">
        <f t="array" ref="Q1820">_xlfn.IFS(
A1820="","",
AND(A1820&lt;&gt;"",B1820=""),"FALTA LANÇAMENTO",
AND(B1820&lt;&gt;"",M1820=""),"FALTA O PEDIDO",
AND(M1820&lt;&gt;"",O1820=""),"FALTA NF",
O1820&lt;&gt;"","CONCLUÍDO")</f>
        <v>CONCLUÍDO</v>
      </c>
      <c r="R1820" s="33"/>
    </row>
    <row r="1821" spans="1:18" hidden="1">
      <c r="A1821" s="30">
        <v>46182</v>
      </c>
      <c r="B1821" s="30">
        <v>46191</v>
      </c>
      <c r="C1821" s="31" t="s">
        <v>4252</v>
      </c>
      <c r="D1821" s="30" t="str">
        <f>IFERROR(VLOOKUP(Tabela5[[#This Row],[PREFIXO ]],Tabela4[#All],2,0),"CENTRO DE CUSTO")</f>
        <v>CENTRO DE CUSTO</v>
      </c>
      <c r="E1821" s="33" t="s">
        <v>323</v>
      </c>
      <c r="F1821" s="31" t="s">
        <v>4253</v>
      </c>
      <c r="G1821" s="32">
        <v>17085</v>
      </c>
      <c r="H1821" s="32"/>
      <c r="I1821" s="32">
        <f t="shared" si="29"/>
        <v>17085</v>
      </c>
      <c r="J1821" s="33" t="s">
        <v>1265</v>
      </c>
      <c r="K1821" s="33" t="s">
        <v>4254</v>
      </c>
      <c r="L1821" s="33" t="s">
        <v>4255</v>
      </c>
      <c r="M1821" s="33">
        <v>41890874</v>
      </c>
      <c r="N1821" s="30">
        <v>46191</v>
      </c>
      <c r="O1821" s="33" t="s">
        <v>1336</v>
      </c>
      <c r="P1821" s="33" t="s">
        <v>3869</v>
      </c>
      <c r="Q1821" s="30" t="str" cm="1">
        <f t="array" ref="Q1821">_xlfn.IFS(
A1821="","",
AND(A1821&lt;&gt;"",B1821=""),"FALTA LANÇAMENTO",
AND(B1821&lt;&gt;"",M1821=""),"FALTA O PEDIDO",
AND(M1821&lt;&gt;"",O1821=""),"FALTA NF",
O1821&lt;&gt;"","CONCLUÍDO")</f>
        <v>CONCLUÍDO</v>
      </c>
      <c r="R1821" s="33"/>
    </row>
    <row r="1822" spans="1:18" hidden="1">
      <c r="A1822" s="30">
        <v>46182</v>
      </c>
      <c r="B1822" s="30">
        <v>46184</v>
      </c>
      <c r="C1822" s="31">
        <v>61521028</v>
      </c>
      <c r="D1822" s="30" t="str">
        <f>IFERROR(VLOOKUP(Tabela5[[#This Row],[PREFIXO ]],Tabela4[#All],2,0),"CENTRO DE CUSTO")</f>
        <v>CENTRO DE CUSTO</v>
      </c>
      <c r="E1822" s="33" t="s">
        <v>247</v>
      </c>
      <c r="F1822" s="31">
        <v>136156</v>
      </c>
      <c r="G1822" s="32">
        <v>1330</v>
      </c>
      <c r="H1822" s="32">
        <v>905.86</v>
      </c>
      <c r="I1822" s="32">
        <f t="shared" si="29"/>
        <v>2235.86</v>
      </c>
      <c r="J1822" s="33" t="s">
        <v>1265</v>
      </c>
      <c r="K1822" s="33" t="s">
        <v>4256</v>
      </c>
      <c r="L1822" s="33" t="s">
        <v>4257</v>
      </c>
      <c r="M1822" s="33" t="s">
        <v>4258</v>
      </c>
      <c r="N1822" s="30">
        <v>46185</v>
      </c>
      <c r="O1822" s="33" t="s">
        <v>4259</v>
      </c>
      <c r="P1822" s="33" t="s">
        <v>4260</v>
      </c>
      <c r="Q1822" s="30" t="str" cm="1">
        <f t="array" ref="Q1822">_xlfn.IFS(
A1822="","",
AND(A1822&lt;&gt;"",B1822=""),"FALTA LANÇAMENTO",
AND(B1822&lt;&gt;"",M1822=""),"FALTA O PEDIDO",
AND(M1822&lt;&gt;"",O1822=""),"FALTA NF",
O1822&lt;&gt;"","CONCLUÍDO")</f>
        <v>CONCLUÍDO</v>
      </c>
      <c r="R1822" s="33"/>
    </row>
    <row r="1823" spans="1:18" hidden="1">
      <c r="A1823" s="30">
        <v>46182</v>
      </c>
      <c r="B1823" s="30">
        <v>46191</v>
      </c>
      <c r="C1823" s="31" t="s">
        <v>4261</v>
      </c>
      <c r="D1823" s="30" t="str">
        <f>IFERROR(VLOOKUP(Tabela5[[#This Row],[PREFIXO ]],Tabela4[#All],2,0),"CENTRO DE CUSTO")</f>
        <v>CENTRO DE CUSTO</v>
      </c>
      <c r="E1823" s="33" t="s">
        <v>66</v>
      </c>
      <c r="F1823" s="31">
        <v>9871</v>
      </c>
      <c r="G1823" s="32">
        <v>52500</v>
      </c>
      <c r="H1823" s="32"/>
      <c r="I1823" s="32">
        <f t="shared" si="29"/>
        <v>52500</v>
      </c>
      <c r="J1823" s="33" t="s">
        <v>1265</v>
      </c>
      <c r="K1823" s="33" t="s">
        <v>4262</v>
      </c>
      <c r="L1823" s="33" t="s">
        <v>4263</v>
      </c>
      <c r="M1823" s="33">
        <v>41890898</v>
      </c>
      <c r="N1823" s="30">
        <v>46191</v>
      </c>
      <c r="O1823" s="33" t="s">
        <v>4264</v>
      </c>
      <c r="P1823" s="33" t="s">
        <v>3764</v>
      </c>
      <c r="Q1823" s="30" t="str" cm="1">
        <f t="array" ref="Q1823">_xlfn.IFS(
A1823="","",
AND(A1823&lt;&gt;"",B1823=""),"FALTA LANÇAMENTO",
AND(B1823&lt;&gt;"",M1823=""),"FALTA O PEDIDO",
AND(M1823&lt;&gt;"",O1823=""),"FALTA NF",
O1823&lt;&gt;"","CONCLUÍDO")</f>
        <v>CONCLUÍDO</v>
      </c>
      <c r="R1823" s="33"/>
    </row>
    <row r="1824" spans="1:18" hidden="1">
      <c r="A1824" s="30">
        <v>46182</v>
      </c>
      <c r="B1824" s="30">
        <v>46184</v>
      </c>
      <c r="C1824" s="31">
        <v>61521042</v>
      </c>
      <c r="D1824" s="30" t="str">
        <f>IFERROR(VLOOKUP(Tabela5[[#This Row],[PREFIXO ]],Tabela4[#All],2,0),"CENTRO DE CUSTO")</f>
        <v>ONIB RODOVIÁRIO MASCARELLO GRAN MIDI</v>
      </c>
      <c r="E1824" s="33" t="s">
        <v>121</v>
      </c>
      <c r="F1824" s="31">
        <v>88</v>
      </c>
      <c r="G1824" s="32">
        <v>9101.2900000000009</v>
      </c>
      <c r="H1824" s="32"/>
      <c r="I1824" s="32">
        <f t="shared" si="29"/>
        <v>9101.2900000000009</v>
      </c>
      <c r="J1824" s="33" t="s">
        <v>1199</v>
      </c>
      <c r="K1824" s="33" t="s">
        <v>4265</v>
      </c>
      <c r="L1824" s="33" t="s">
        <v>4266</v>
      </c>
      <c r="M1824" s="33">
        <v>41886544</v>
      </c>
      <c r="N1824" s="30">
        <v>46185</v>
      </c>
      <c r="O1824" s="33" t="s">
        <v>2478</v>
      </c>
      <c r="P1824" s="33" t="s">
        <v>3291</v>
      </c>
      <c r="Q1824" s="30" t="str" cm="1">
        <f t="array" ref="Q1824">_xlfn.IFS(
A1824="","",
AND(A1824&lt;&gt;"",B1824=""),"FALTA LANÇAMENTO",
AND(B1824&lt;&gt;"",M1824=""),"FALTA O PEDIDO",
AND(M1824&lt;&gt;"",O1824=""),"FALTA NF",
O1824&lt;&gt;"","CONCLUÍDO")</f>
        <v>CONCLUÍDO</v>
      </c>
      <c r="R1824" s="33"/>
    </row>
    <row r="1825" spans="1:18" hidden="1">
      <c r="A1825" s="30">
        <v>46182</v>
      </c>
      <c r="B1825" s="30">
        <v>46185</v>
      </c>
      <c r="C1825" s="31">
        <v>615210008</v>
      </c>
      <c r="D1825" s="30" t="str">
        <f>IFERROR(VLOOKUP(Tabela5[[#This Row],[PREFIXO ]],Tabela4[#All],2,0),"CENTRO DE CUSTO")</f>
        <v>CENTRO DE CUSTO</v>
      </c>
      <c r="E1825" s="33" t="s">
        <v>121</v>
      </c>
      <c r="F1825" s="31">
        <v>87</v>
      </c>
      <c r="G1825" s="32">
        <v>4825.54</v>
      </c>
      <c r="H1825" s="32"/>
      <c r="I1825" s="32">
        <f t="shared" si="29"/>
        <v>4825.54</v>
      </c>
      <c r="J1825" s="33" t="s">
        <v>1199</v>
      </c>
      <c r="K1825" s="33" t="s">
        <v>4267</v>
      </c>
      <c r="L1825" s="33" t="s">
        <v>4268</v>
      </c>
      <c r="M1825" s="33">
        <v>41886545</v>
      </c>
      <c r="N1825" s="30">
        <v>46185</v>
      </c>
      <c r="O1825" s="33" t="s">
        <v>2503</v>
      </c>
      <c r="P1825" s="33" t="s">
        <v>3291</v>
      </c>
      <c r="Q1825" s="30" t="str" cm="1">
        <f t="array" ref="Q1825">_xlfn.IFS(
A1825="","",
AND(A1825&lt;&gt;"",B1825=""),"FALTA LANÇAMENTO",
AND(B1825&lt;&gt;"",M1825=""),"FALTA O PEDIDO",
AND(M1825&lt;&gt;"",O1825=""),"FALTA NF",
O1825&lt;&gt;"","CONCLUÍDO")</f>
        <v>CONCLUÍDO</v>
      </c>
      <c r="R1825" s="33"/>
    </row>
    <row r="1826" spans="1:18" hidden="1">
      <c r="A1826" s="30">
        <v>46182</v>
      </c>
      <c r="B1826" s="30">
        <v>46185</v>
      </c>
      <c r="C1826" s="31">
        <v>6173059</v>
      </c>
      <c r="D1826" s="30" t="str">
        <f>IFERROR(VLOOKUP(Tabela5[[#This Row],[PREFIXO ]],Tabela4[#All],2,0),"CENTRO DE CUSTO")</f>
        <v>CAM CARGA SECA FORD F-4000</v>
      </c>
      <c r="E1826" s="33" t="s">
        <v>227</v>
      </c>
      <c r="F1826" s="31" t="s">
        <v>4269</v>
      </c>
      <c r="G1826" s="32">
        <v>685</v>
      </c>
      <c r="H1826" s="32">
        <v>4348.95</v>
      </c>
      <c r="I1826" s="32">
        <f t="shared" si="29"/>
        <v>5033.95</v>
      </c>
      <c r="J1826" s="33" t="s">
        <v>1199</v>
      </c>
      <c r="K1826" s="33" t="s">
        <v>4270</v>
      </c>
      <c r="L1826" s="33" t="s">
        <v>4271</v>
      </c>
      <c r="M1826" s="33" t="s">
        <v>4272</v>
      </c>
      <c r="N1826" s="30">
        <v>46189</v>
      </c>
      <c r="O1826" s="33" t="s">
        <v>4273</v>
      </c>
      <c r="P1826" s="33" t="s">
        <v>4274</v>
      </c>
      <c r="Q1826" s="30" t="str" cm="1">
        <f t="array" ref="Q1826">_xlfn.IFS(
A1826="","",
AND(A1826&lt;&gt;"",B1826=""),"FALTA LANÇAMENTO",
AND(B1826&lt;&gt;"",M1826=""),"FALTA O PEDIDO",
AND(M1826&lt;&gt;"",O1826=""),"FALTA NF",
O1826&lt;&gt;"","CONCLUÍDO")</f>
        <v>CONCLUÍDO</v>
      </c>
      <c r="R1826" s="33"/>
    </row>
    <row r="1827" spans="1:18" hidden="1">
      <c r="A1827" s="30">
        <v>46182</v>
      </c>
      <c r="B1827" s="30">
        <v>46190</v>
      </c>
      <c r="C1827" s="31">
        <v>15048014</v>
      </c>
      <c r="D1827" s="30" t="str">
        <f>IFERROR(VLOOKUP(Tabela5[[#This Row],[PREFIXO ]],Tabela4[#All],2,0),"CENTRO DE CUSTO")</f>
        <v>CENTRO DE CUSTO</v>
      </c>
      <c r="E1827" s="33" t="s">
        <v>259</v>
      </c>
      <c r="F1827" s="31">
        <v>63278646</v>
      </c>
      <c r="G1827" s="32">
        <v>44</v>
      </c>
      <c r="H1827" s="32">
        <v>13034.52</v>
      </c>
      <c r="I1827" s="32">
        <f t="shared" si="29"/>
        <v>13078.52</v>
      </c>
      <c r="J1827" s="33" t="s">
        <v>1199</v>
      </c>
      <c r="K1827" s="33" t="s">
        <v>4275</v>
      </c>
      <c r="L1827" s="33" t="s">
        <v>4276</v>
      </c>
      <c r="M1827" s="33">
        <v>41890754</v>
      </c>
      <c r="N1827" s="30">
        <v>46191</v>
      </c>
      <c r="O1827" s="33" t="s">
        <v>4277</v>
      </c>
      <c r="P1827" s="33" t="s">
        <v>4251</v>
      </c>
      <c r="Q1827" s="30" t="str" cm="1">
        <f t="array" ref="Q1827">_xlfn.IFS(
A1827="","",
AND(A1827&lt;&gt;"",B1827=""),"FALTA LANÇAMENTO",
AND(B1827&lt;&gt;"",M1827=""),"FALTA O PEDIDO",
AND(M1827&lt;&gt;"",O1827=""),"FALTA NF",
O1827&lt;&gt;"","CONCLUÍDO")</f>
        <v>CONCLUÍDO</v>
      </c>
      <c r="R1827" s="33"/>
    </row>
    <row r="1828" spans="1:18" hidden="1">
      <c r="A1828" s="30">
        <v>46182</v>
      </c>
      <c r="B1828" s="30">
        <v>46185</v>
      </c>
      <c r="C1828" s="31">
        <v>500580325</v>
      </c>
      <c r="D1828" s="30" t="str">
        <f>IFERROR(VLOOKUP(Tabela5[[#This Row],[PREFIXO ]],Tabela4[#All],2,0),"CENTRO DE CUSTO")</f>
        <v>Colheitad. Alg Auto</v>
      </c>
      <c r="E1828" s="33" t="s">
        <v>246</v>
      </c>
      <c r="F1828" s="31">
        <v>500580325</v>
      </c>
      <c r="G1828" s="32">
        <v>10000</v>
      </c>
      <c r="H1828" s="32"/>
      <c r="I1828" s="32">
        <f t="shared" si="29"/>
        <v>10000</v>
      </c>
      <c r="J1828" s="33" t="s">
        <v>1113</v>
      </c>
      <c r="K1828" s="33" t="s">
        <v>4278</v>
      </c>
      <c r="L1828" s="33" t="s">
        <v>4036</v>
      </c>
      <c r="M1828" s="33" t="s">
        <v>4037</v>
      </c>
      <c r="N1828" s="30">
        <v>46189</v>
      </c>
      <c r="O1828" s="33" t="s">
        <v>2110</v>
      </c>
      <c r="P1828" s="33" t="s">
        <v>4038</v>
      </c>
      <c r="Q1828" s="30" t="str" cm="1">
        <f t="array" ref="Q1828">_xlfn.IFS(
A1828="","",
AND(A1828&lt;&gt;"",B1828=""),"FALTA LANÇAMENTO",
AND(B1828&lt;&gt;"",M1828=""),"FALTA O PEDIDO",
AND(M1828&lt;&gt;"",O1828=""),"FALTA NF",
O1828&lt;&gt;"","CONCLUÍDO")</f>
        <v>CONCLUÍDO</v>
      </c>
      <c r="R1828" s="33"/>
    </row>
    <row r="1829" spans="1:18" hidden="1">
      <c r="A1829" s="30">
        <v>46182</v>
      </c>
      <c r="B1829" s="30">
        <v>46184</v>
      </c>
      <c r="C1829" s="31" t="s">
        <v>4279</v>
      </c>
      <c r="D1829" s="30" t="str">
        <f>IFERROR(VLOOKUP(Tabela5[[#This Row],[PREFIXO ]],Tabela4[#All],2,0),"CENTRO DE CUSTO")</f>
        <v>CENTRO DE CUSTO</v>
      </c>
      <c r="E1829" s="33" t="s">
        <v>328</v>
      </c>
      <c r="F1829" s="31">
        <v>1042</v>
      </c>
      <c r="G1829" s="32">
        <v>50</v>
      </c>
      <c r="H1829" s="32">
        <v>1082.5</v>
      </c>
      <c r="I1829" s="32">
        <f t="shared" si="29"/>
        <v>1132.5</v>
      </c>
      <c r="J1829" s="33" t="s">
        <v>1199</v>
      </c>
      <c r="K1829" s="33" t="s">
        <v>4280</v>
      </c>
      <c r="L1829" s="33" t="s">
        <v>4281</v>
      </c>
      <c r="M1829" s="33" t="s">
        <v>4282</v>
      </c>
      <c r="N1829" s="30">
        <v>46185</v>
      </c>
      <c r="O1829" s="33"/>
      <c r="P1829" s="33"/>
      <c r="Q1829" s="30" t="str" cm="1">
        <f t="array" ref="Q1829">_xlfn.IFS(
A1829="","",
AND(A1829&lt;&gt;"",B1829=""),"FALTA LANÇAMENTO",
AND(B1829&lt;&gt;"",M1829=""),"FALTA O PEDIDO",
AND(M1829&lt;&gt;"",O1829=""),"FALTA NF",
O1829&lt;&gt;"","CONCLUÍDO")</f>
        <v>FALTA NF</v>
      </c>
      <c r="R1829" s="33"/>
    </row>
    <row r="1830" spans="1:18" hidden="1">
      <c r="A1830" s="30">
        <v>46182</v>
      </c>
      <c r="B1830" s="30">
        <v>46195</v>
      </c>
      <c r="C1830" s="31">
        <v>500580325</v>
      </c>
      <c r="D1830" s="30" t="str">
        <f>IFERROR(VLOOKUP(Tabela5[[#This Row],[PREFIXO ]],Tabela4[#All],2,0),"CENTRO DE CUSTO")</f>
        <v>Colheitad. Alg Auto</v>
      </c>
      <c r="E1830" s="33" t="s">
        <v>144</v>
      </c>
      <c r="F1830" s="31">
        <v>932</v>
      </c>
      <c r="G1830" s="32">
        <v>16000</v>
      </c>
      <c r="H1830" s="32"/>
      <c r="I1830" s="32">
        <f t="shared" si="29"/>
        <v>16000</v>
      </c>
      <c r="J1830" s="33" t="s">
        <v>1113</v>
      </c>
      <c r="K1830" s="33" t="s">
        <v>4283</v>
      </c>
      <c r="L1830" s="33" t="s">
        <v>4284</v>
      </c>
      <c r="M1830" s="33" t="s">
        <v>4285</v>
      </c>
      <c r="N1830" s="30">
        <v>46196</v>
      </c>
      <c r="O1830" s="33"/>
      <c r="P1830" s="33"/>
      <c r="Q1830" s="30" t="str" cm="1">
        <f t="array" ref="Q1830">_xlfn.IFS(
A1830="","",
AND(A1830&lt;&gt;"",B1830=""),"FALTA LANÇAMENTO",
AND(B1830&lt;&gt;"",M1830=""),"FALTA O PEDIDO",
AND(M1830&lt;&gt;"",O1830=""),"FALTA NF",
O1830&lt;&gt;"","CONCLUÍDO")</f>
        <v>FALTA NF</v>
      </c>
      <c r="R1830" s="33"/>
    </row>
    <row r="1831" spans="1:18" hidden="1">
      <c r="A1831" s="30">
        <v>46182</v>
      </c>
      <c r="B1831" s="30">
        <v>46197</v>
      </c>
      <c r="C1831" s="31">
        <v>43080001</v>
      </c>
      <c r="D1831" s="30" t="str">
        <f>IFERROR(VLOOKUP(Tabela5[[#This Row],[PREFIXO ]],Tabela4[#All],2,0),"CENTRO DE CUSTO")</f>
        <v>TRAT PN LEVE CASE FARMALL 80</v>
      </c>
      <c r="E1831" s="33" t="s">
        <v>196</v>
      </c>
      <c r="F1831" s="31">
        <v>65260</v>
      </c>
      <c r="G1831" s="32">
        <v>12375</v>
      </c>
      <c r="H1831" s="32">
        <v>16562.599999999999</v>
      </c>
      <c r="I1831" s="32">
        <f t="shared" si="29"/>
        <v>28937.599999999999</v>
      </c>
      <c r="J1831" s="33" t="s">
        <v>1199</v>
      </c>
      <c r="K1831" s="33" t="s">
        <v>4286</v>
      </c>
      <c r="L1831" s="33" t="s">
        <v>4287</v>
      </c>
      <c r="M1831" s="33" t="s">
        <v>4288</v>
      </c>
      <c r="N1831" s="30">
        <v>46199</v>
      </c>
      <c r="O1831" s="33"/>
      <c r="P1831" s="33"/>
      <c r="Q1831" s="30" t="str" cm="1">
        <f t="array" ref="Q1831">_xlfn.IFS(
A1831="","",
AND(A1831&lt;&gt;"",B1831=""),"FALTA LANÇAMENTO",
AND(B1831&lt;&gt;"",M1831=""),"FALTA O PEDIDO",
AND(M1831&lt;&gt;"",O1831=""),"FALTA NF",
O1831&lt;&gt;"","CONCLUÍDO")</f>
        <v>FALTA NF</v>
      </c>
      <c r="R1831" s="33"/>
    </row>
    <row r="1832" spans="1:18" hidden="1">
      <c r="A1832" s="30">
        <v>46182</v>
      </c>
      <c r="B1832" s="30">
        <v>46185</v>
      </c>
      <c r="C1832" s="31">
        <v>51521052</v>
      </c>
      <c r="D1832" s="30" t="str">
        <f>IFERROR(VLOOKUP(Tabela5[[#This Row],[PREFIXO ]],Tabela4[#All],2,0),"CENTRO DE CUSTO")</f>
        <v>COLHED ALGODÃO JOHN DEERE CP 690</v>
      </c>
      <c r="E1832" s="33" t="s">
        <v>17</v>
      </c>
      <c r="F1832" s="31">
        <v>44066</v>
      </c>
      <c r="G1832" s="32">
        <v>1466.91</v>
      </c>
      <c r="H1832" s="32">
        <v>11223.14</v>
      </c>
      <c r="I1832" s="32">
        <f t="shared" si="29"/>
        <v>12690.05</v>
      </c>
      <c r="J1832" s="33" t="s">
        <v>1123</v>
      </c>
      <c r="K1832" s="33" t="s">
        <v>4289</v>
      </c>
      <c r="L1832" s="33" t="s">
        <v>4290</v>
      </c>
      <c r="M1832" s="33" t="s">
        <v>4291</v>
      </c>
      <c r="N1832" s="30">
        <v>46198</v>
      </c>
      <c r="O1832" s="33" t="s">
        <v>4292</v>
      </c>
      <c r="P1832" s="33" t="s">
        <v>4140</v>
      </c>
      <c r="Q1832" s="30" t="str" cm="1">
        <f t="array" ref="Q1832">_xlfn.IFS(
A1832="","",
AND(A1832&lt;&gt;"",B1832=""),"FALTA LANÇAMENTO",
AND(B1832&lt;&gt;"",M1832=""),"FALTA O PEDIDO",
AND(M1832&lt;&gt;"",O1832=""),"FALTA NF",
O1832&lt;&gt;"","CONCLUÍDO")</f>
        <v>CONCLUÍDO</v>
      </c>
      <c r="R1832" s="33"/>
    </row>
    <row r="1833" spans="1:18" hidden="1">
      <c r="A1833" s="30">
        <v>46184</v>
      </c>
      <c r="B1833" s="30">
        <v>46192</v>
      </c>
      <c r="C1833" s="31">
        <v>51519062</v>
      </c>
      <c r="D1833" s="30" t="str">
        <f>IFERROR(VLOOKUP(Tabela5[[#This Row],[PREFIXO ]],Tabela4[#All],2,0),"CENTRO DE CUSTO")</f>
        <v>CENTRO DE CUSTO</v>
      </c>
      <c r="E1833" s="33" t="s">
        <v>17</v>
      </c>
      <c r="F1833" s="31">
        <v>44366</v>
      </c>
      <c r="G1833" s="32">
        <v>2424.2600000000002</v>
      </c>
      <c r="H1833" s="32"/>
      <c r="I1833" s="32">
        <f t="shared" si="29"/>
        <v>2424.2600000000002</v>
      </c>
      <c r="J1833" s="33" t="s">
        <v>1123</v>
      </c>
      <c r="K1833" s="33" t="s">
        <v>4293</v>
      </c>
      <c r="L1833" s="33" t="s">
        <v>4294</v>
      </c>
      <c r="M1833" s="33">
        <v>41890917</v>
      </c>
      <c r="N1833" s="30">
        <v>46191</v>
      </c>
      <c r="O1833" s="33" t="s">
        <v>4295</v>
      </c>
      <c r="P1833" s="33" t="s">
        <v>4296</v>
      </c>
      <c r="Q1833" s="30" t="str" cm="1">
        <f t="array" ref="Q1833">_xlfn.IFS(
A1833="","",
AND(A1833&lt;&gt;"",B1833=""),"FALTA LANÇAMENTO",
AND(B1833&lt;&gt;"",M1833=""),"FALTA O PEDIDO",
AND(M1833&lt;&gt;"",O1833=""),"FALTA NF",
O1833&lt;&gt;"","CONCLUÍDO")</f>
        <v>CONCLUÍDO</v>
      </c>
      <c r="R1833" s="33"/>
    </row>
    <row r="1834" spans="1:18" hidden="1">
      <c r="A1834" s="30">
        <v>46184</v>
      </c>
      <c r="B1834" s="30">
        <v>46192</v>
      </c>
      <c r="C1834" s="31">
        <v>51519061</v>
      </c>
      <c r="D1834" s="30" t="str">
        <f>IFERROR(VLOOKUP(Tabela5[[#This Row],[PREFIXO ]],Tabela4[#All],2,0),"CENTRO DE CUSTO")</f>
        <v>CENTRO DE CUSTO</v>
      </c>
      <c r="E1834" s="33" t="s">
        <v>17</v>
      </c>
      <c r="F1834" s="31">
        <v>44367</v>
      </c>
      <c r="G1834" s="32">
        <v>2254.61</v>
      </c>
      <c r="H1834" s="32"/>
      <c r="I1834" s="32">
        <f t="shared" si="29"/>
        <v>2254.61</v>
      </c>
      <c r="J1834" s="33" t="s">
        <v>1123</v>
      </c>
      <c r="K1834" s="33" t="s">
        <v>4297</v>
      </c>
      <c r="L1834" s="33" t="s">
        <v>4294</v>
      </c>
      <c r="M1834" s="33">
        <v>41890917</v>
      </c>
      <c r="N1834" s="30">
        <v>46191</v>
      </c>
      <c r="O1834" s="33" t="s">
        <v>4295</v>
      </c>
      <c r="P1834" s="33" t="s">
        <v>4296</v>
      </c>
      <c r="Q1834" s="30" t="str" cm="1">
        <f t="array" ref="Q1834">_xlfn.IFS(
A1834="","",
AND(A1834&lt;&gt;"",B1834=""),"FALTA LANÇAMENTO",
AND(B1834&lt;&gt;"",M1834=""),"FALTA O PEDIDO",
AND(M1834&lt;&gt;"",O1834=""),"FALTA NF",
O1834&lt;&gt;"","CONCLUÍDO")</f>
        <v>CONCLUÍDO</v>
      </c>
      <c r="R1834" s="33"/>
    </row>
    <row r="1835" spans="1:18" hidden="1">
      <c r="A1835" s="30">
        <v>46184</v>
      </c>
      <c r="B1835" s="30">
        <v>46192</v>
      </c>
      <c r="C1835" s="31">
        <v>61521040</v>
      </c>
      <c r="D1835" s="30" t="str">
        <f>IFERROR(VLOOKUP(Tabela5[[#This Row],[PREFIXO ]],Tabela4[#All],2,0),"CENTRO DE CUSTO")</f>
        <v>CAM COMBOIO FORD F-4000</v>
      </c>
      <c r="E1835" s="33" t="s">
        <v>29</v>
      </c>
      <c r="F1835" s="31">
        <v>55859</v>
      </c>
      <c r="G1835" s="32">
        <v>120</v>
      </c>
      <c r="H1835" s="32">
        <v>1551</v>
      </c>
      <c r="I1835" s="32">
        <f t="shared" si="29"/>
        <v>1671</v>
      </c>
      <c r="J1835" s="33" t="s">
        <v>1199</v>
      </c>
      <c r="K1835" s="33" t="s">
        <v>4298</v>
      </c>
      <c r="L1835" s="33" t="s">
        <v>4299</v>
      </c>
      <c r="M1835" s="33">
        <v>41892909</v>
      </c>
      <c r="N1835" s="30">
        <v>46195</v>
      </c>
      <c r="O1835" s="33" t="s">
        <v>4300</v>
      </c>
      <c r="P1835" s="33" t="s">
        <v>4301</v>
      </c>
      <c r="Q1835" s="30" t="str" cm="1">
        <f t="array" ref="Q1835">_xlfn.IFS(
A1835="","",
AND(A1835&lt;&gt;"",B1835=""),"FALTA LANÇAMENTO",
AND(B1835&lt;&gt;"",M1835=""),"FALTA O PEDIDO",
AND(M1835&lt;&gt;"",O1835=""),"FALTA NF",
O1835&lt;&gt;"","CONCLUÍDO")</f>
        <v>CONCLUÍDO</v>
      </c>
      <c r="R1835" s="33"/>
    </row>
    <row r="1836" spans="1:18" hidden="1">
      <c r="A1836" s="30">
        <v>46184</v>
      </c>
      <c r="B1836" s="30">
        <v>46192</v>
      </c>
      <c r="C1836" s="31">
        <v>61521008</v>
      </c>
      <c r="D1836" s="30" t="str">
        <f>IFERROR(VLOOKUP(Tabela5[[#This Row],[PREFIXO ]],Tabela4[#All],2,0),"CENTRO DE CUSTO")</f>
        <v>CAV MEC PES MERC BENZ AXOR 2644</v>
      </c>
      <c r="E1836" s="33" t="s">
        <v>29</v>
      </c>
      <c r="F1836" s="31">
        <v>55907</v>
      </c>
      <c r="G1836" s="32">
        <v>610</v>
      </c>
      <c r="H1836" s="32">
        <v>238.76</v>
      </c>
      <c r="I1836" s="32">
        <f t="shared" si="29"/>
        <v>848.76</v>
      </c>
      <c r="J1836" s="18" t="s">
        <v>1199</v>
      </c>
      <c r="K1836" s="33" t="s">
        <v>4302</v>
      </c>
      <c r="L1836" s="33" t="s">
        <v>4303</v>
      </c>
      <c r="M1836" s="33">
        <v>41892869</v>
      </c>
      <c r="N1836" s="30">
        <v>46195</v>
      </c>
      <c r="O1836" s="33" t="s">
        <v>4304</v>
      </c>
      <c r="P1836" s="33" t="s">
        <v>4301</v>
      </c>
      <c r="Q1836" s="30" t="str" cm="1">
        <f t="array" ref="Q1836">_xlfn.IFS(
A1836="","",
AND(A1836&lt;&gt;"",B1836=""),"FALTA LANÇAMENTO",
AND(B1836&lt;&gt;"",M1836=""),"FALTA O PEDIDO",
AND(M1836&lt;&gt;"",O1836=""),"FALTA NF",
O1836&lt;&gt;"","CONCLUÍDO")</f>
        <v>CONCLUÍDO</v>
      </c>
      <c r="R1836" s="33"/>
    </row>
    <row r="1837" spans="1:18" hidden="1">
      <c r="A1837" s="30">
        <v>46184</v>
      </c>
      <c r="B1837" s="30">
        <v>46192</v>
      </c>
      <c r="C1837" s="31">
        <v>6173059</v>
      </c>
      <c r="D1837" s="30" t="str">
        <f>IFERROR(VLOOKUP(Tabela5[[#This Row],[PREFIXO ]],Tabela4[#All],2,0),"CENTRO DE CUSTO")</f>
        <v>CAM CARGA SECA FORD F-4000</v>
      </c>
      <c r="E1837" s="33" t="s">
        <v>29</v>
      </c>
      <c r="F1837" s="31">
        <v>55911</v>
      </c>
      <c r="G1837" s="32">
        <v>220</v>
      </c>
      <c r="H1837" s="32">
        <v>1865.9</v>
      </c>
      <c r="I1837" s="32">
        <f t="shared" si="29"/>
        <v>2085.9</v>
      </c>
      <c r="J1837" s="18" t="s">
        <v>1199</v>
      </c>
      <c r="K1837" s="33" t="s">
        <v>4305</v>
      </c>
      <c r="L1837" s="33" t="s">
        <v>4306</v>
      </c>
      <c r="M1837" s="33" t="s">
        <v>4307</v>
      </c>
      <c r="N1837" s="30">
        <v>46195</v>
      </c>
      <c r="O1837" s="33" t="s">
        <v>4308</v>
      </c>
      <c r="P1837" s="33" t="s">
        <v>4133</v>
      </c>
      <c r="Q1837" s="30" t="str" cm="1">
        <f t="array" ref="Q1837">_xlfn.IFS(
A1837="","",
AND(A1837&lt;&gt;"",B1837=""),"FALTA LANÇAMENTO",
AND(B1837&lt;&gt;"",M1837=""),"FALTA O PEDIDO",
AND(M1837&lt;&gt;"",O1837=""),"FALTA NF",
O1837&lt;&gt;"","CONCLUÍDO")</f>
        <v>CONCLUÍDO</v>
      </c>
      <c r="R1837" s="33"/>
    </row>
    <row r="1838" spans="1:18" hidden="1">
      <c r="A1838" s="30">
        <v>46184</v>
      </c>
      <c r="B1838" s="30">
        <v>46192</v>
      </c>
      <c r="C1838" s="31">
        <v>51519060</v>
      </c>
      <c r="D1838" s="30" t="str">
        <f>IFERROR(VLOOKUP(Tabela5[[#This Row],[PREFIXO ]],Tabela4[#All],2,0),"CENTRO DE CUSTO")</f>
        <v>CENTRO DE CUSTO</v>
      </c>
      <c r="E1838" s="33" t="s">
        <v>70</v>
      </c>
      <c r="F1838" s="31">
        <v>23100</v>
      </c>
      <c r="G1838" s="32">
        <v>5225</v>
      </c>
      <c r="H1838" s="32"/>
      <c r="I1838" s="32">
        <f t="shared" si="29"/>
        <v>5225</v>
      </c>
      <c r="J1838" s="18" t="s">
        <v>1123</v>
      </c>
      <c r="K1838" s="33" t="s">
        <v>4309</v>
      </c>
      <c r="L1838" s="33" t="s">
        <v>4310</v>
      </c>
      <c r="M1838" s="33">
        <v>41891941</v>
      </c>
      <c r="N1838" s="30">
        <v>46192</v>
      </c>
      <c r="O1838" s="33" t="s">
        <v>4311</v>
      </c>
      <c r="P1838" s="33" t="s">
        <v>3869</v>
      </c>
      <c r="Q1838" s="30" t="str" cm="1">
        <f t="array" ref="Q1838">_xlfn.IFS(
A1838="","",
AND(A1838&lt;&gt;"",B1838=""),"FALTA LANÇAMENTO",
AND(B1838&lt;&gt;"",M1838=""),"FALTA O PEDIDO",
AND(M1838&lt;&gt;"",O1838=""),"FALTA NF",
O1838&lt;&gt;"","CONCLUÍDO")</f>
        <v>CONCLUÍDO</v>
      </c>
      <c r="R1838" s="33"/>
    </row>
    <row r="1839" spans="1:18" hidden="1">
      <c r="A1839" s="30">
        <v>46184</v>
      </c>
      <c r="B1839" s="30">
        <v>46192</v>
      </c>
      <c r="C1839" s="31">
        <v>51521071</v>
      </c>
      <c r="D1839" s="30" t="str">
        <f>IFERROR(VLOOKUP(Tabela5[[#This Row],[PREFIXO ]],Tabela4[#All],2,0),"CENTRO DE CUSTO")</f>
        <v>COLHED ALGODÃO JOHN DEERE CP 690</v>
      </c>
      <c r="E1839" s="33" t="s">
        <v>17</v>
      </c>
      <c r="F1839" s="31">
        <v>44121</v>
      </c>
      <c r="G1839" s="32">
        <v>1622.55</v>
      </c>
      <c r="H1839" s="32"/>
      <c r="I1839" s="32">
        <f t="shared" si="29"/>
        <v>1622.55</v>
      </c>
      <c r="J1839" s="18" t="s">
        <v>1123</v>
      </c>
      <c r="K1839" s="33" t="s">
        <v>4312</v>
      </c>
      <c r="L1839" s="33" t="s">
        <v>4294</v>
      </c>
      <c r="M1839" s="33">
        <v>41890917</v>
      </c>
      <c r="N1839" s="30">
        <v>46191</v>
      </c>
      <c r="O1839" s="33" t="s">
        <v>4295</v>
      </c>
      <c r="P1839" s="33" t="s">
        <v>4296</v>
      </c>
      <c r="Q1839" s="30" t="str" cm="1">
        <f t="array" ref="Q1839">_xlfn.IFS(
A1839="","",
AND(A1839&lt;&gt;"",B1839=""),"FALTA LANÇAMENTO",
AND(B1839&lt;&gt;"",M1839=""),"FALTA O PEDIDO",
AND(M1839&lt;&gt;"",O1839=""),"FALTA NF",
O1839&lt;&gt;"","CONCLUÍDO")</f>
        <v>CONCLUÍDO</v>
      </c>
      <c r="R1839" s="33"/>
    </row>
    <row r="1840" spans="1:18" hidden="1">
      <c r="A1840" s="30">
        <v>46184</v>
      </c>
      <c r="B1840" s="30">
        <v>46192</v>
      </c>
      <c r="C1840" s="31">
        <v>23220004</v>
      </c>
      <c r="D1840" s="30" t="str">
        <f>IFERROR(VLOOKUP(Tabela5[[#This Row],[PREFIXO ]],Tabela4[#All],2,0),"CENTRO DE CUSTO")</f>
        <v>COLHED ALGODÃO JOHN DEERE CP 770</v>
      </c>
      <c r="E1840" s="33" t="s">
        <v>162</v>
      </c>
      <c r="F1840" s="31">
        <v>13218</v>
      </c>
      <c r="G1840" s="32">
        <v>10504.5</v>
      </c>
      <c r="H1840" s="32"/>
      <c r="I1840" s="32">
        <f t="shared" si="29"/>
        <v>10504.5</v>
      </c>
      <c r="J1840" s="33" t="s">
        <v>1123</v>
      </c>
      <c r="K1840" s="33" t="s">
        <v>4313</v>
      </c>
      <c r="L1840" s="33" t="s">
        <v>4314</v>
      </c>
      <c r="M1840" s="33">
        <v>41893153</v>
      </c>
      <c r="N1840" s="30">
        <v>46195</v>
      </c>
      <c r="O1840" s="33" t="s">
        <v>4315</v>
      </c>
      <c r="P1840" s="33" t="s">
        <v>3576</v>
      </c>
      <c r="Q1840" s="30" t="str" cm="1">
        <f t="array" ref="Q1840">_xlfn.IFS(
A1840="","",
AND(A1840&lt;&gt;"",B1840=""),"FALTA LANÇAMENTO",
AND(B1840&lt;&gt;"",M1840=""),"FALTA O PEDIDO",
AND(M1840&lt;&gt;"",O1840=""),"FALTA NF",
O1840&lt;&gt;"","CONCLUÍDO")</f>
        <v>CONCLUÍDO</v>
      </c>
      <c r="R1840" s="33"/>
    </row>
    <row r="1841" spans="1:18" hidden="1">
      <c r="A1841" s="30">
        <v>46184</v>
      </c>
      <c r="B1841" s="30">
        <v>46191</v>
      </c>
      <c r="C1841" s="31">
        <v>15730001</v>
      </c>
      <c r="D1841" s="30" t="str">
        <f>IFERROR(VLOOKUP(Tabela5[[#This Row],[PREFIXO ]],Tabela4[#All],2,0),"CENTRO DE CUSTO")</f>
        <v>IMPL COLHEIT GRÃOS COLOMBO TWIN MASTER 3</v>
      </c>
      <c r="E1841" s="33" t="s">
        <v>265</v>
      </c>
      <c r="F1841" s="31">
        <v>846</v>
      </c>
      <c r="G1841" s="32">
        <v>6070.5</v>
      </c>
      <c r="H1841" s="32"/>
      <c r="I1841" s="32">
        <f t="shared" si="29"/>
        <v>6070.5</v>
      </c>
      <c r="J1841" s="33" t="s">
        <v>1113</v>
      </c>
      <c r="K1841" s="33" t="s">
        <v>4316</v>
      </c>
      <c r="L1841" s="33" t="s">
        <v>4317</v>
      </c>
      <c r="M1841" s="33" t="s">
        <v>4318</v>
      </c>
      <c r="N1841" s="30">
        <v>46192</v>
      </c>
      <c r="O1841" s="33" t="s">
        <v>4319</v>
      </c>
      <c r="P1841" s="33" t="s">
        <v>4133</v>
      </c>
      <c r="Q1841" s="30" t="str" cm="1">
        <f t="array" ref="Q1841">_xlfn.IFS(
A1841="","",
AND(A1841&lt;&gt;"",B1841=""),"FALTA LANÇAMENTO",
AND(B1841&lt;&gt;"",M1841=""),"FALTA O PEDIDO",
AND(M1841&lt;&gt;"",O1841=""),"FALTA NF",
O1841&lt;&gt;"","CONCLUÍDO")</f>
        <v>CONCLUÍDO</v>
      </c>
      <c r="R1841" s="33"/>
    </row>
    <row r="1842" spans="1:18" hidden="1">
      <c r="A1842" s="30">
        <v>46184</v>
      </c>
      <c r="B1842" s="30">
        <v>46192</v>
      </c>
      <c r="C1842" s="31">
        <v>15730002</v>
      </c>
      <c r="D1842" s="30" t="str">
        <f>IFERROR(VLOOKUP(Tabela5[[#This Row],[PREFIXO ]],Tabela4[#All],2,0),"CENTRO DE CUSTO")</f>
        <v>CENTRO DE CUSTO</v>
      </c>
      <c r="E1842" s="33" t="s">
        <v>265</v>
      </c>
      <c r="F1842" s="31">
        <v>847</v>
      </c>
      <c r="G1842" s="32">
        <v>2394</v>
      </c>
      <c r="H1842" s="32"/>
      <c r="I1842" s="32">
        <f t="shared" si="29"/>
        <v>2394</v>
      </c>
      <c r="J1842" s="33" t="s">
        <v>1113</v>
      </c>
      <c r="K1842" s="33" t="s">
        <v>4320</v>
      </c>
      <c r="L1842" s="33" t="s">
        <v>4317</v>
      </c>
      <c r="M1842" s="33" t="s">
        <v>4318</v>
      </c>
      <c r="N1842" s="30">
        <v>46192</v>
      </c>
      <c r="O1842" s="33" t="s">
        <v>4319</v>
      </c>
      <c r="P1842" s="33" t="s">
        <v>4133</v>
      </c>
      <c r="Q1842" s="30" t="str" cm="1">
        <f t="array" ref="Q1842">_xlfn.IFS(
A1842="","",
AND(A1842&lt;&gt;"",B1842=""),"FALTA LANÇAMENTO",
AND(B1842&lt;&gt;"",M1842=""),"FALTA O PEDIDO",
AND(M1842&lt;&gt;"",O1842=""),"FALTA NF",
O1842&lt;&gt;"","CONCLUÍDO")</f>
        <v>CONCLUÍDO</v>
      </c>
      <c r="R1842" s="33"/>
    </row>
    <row r="1843" spans="1:18" hidden="1">
      <c r="A1843" s="30">
        <v>46184</v>
      </c>
      <c r="B1843" s="30">
        <v>46191</v>
      </c>
      <c r="C1843" s="31">
        <v>51521072</v>
      </c>
      <c r="D1843" s="30" t="str">
        <f>IFERROR(VLOOKUP(Tabela5[[#This Row],[PREFIXO ]],Tabela4[#All],2,0),"CENTRO DE CUSTO")</f>
        <v>COLHED ALGODÃO JOHN DEERE CP 690</v>
      </c>
      <c r="E1843" s="33" t="s">
        <v>265</v>
      </c>
      <c r="F1843" s="31">
        <v>880</v>
      </c>
      <c r="G1843" s="32">
        <v>3160</v>
      </c>
      <c r="H1843" s="32"/>
      <c r="I1843" s="32">
        <f t="shared" si="29"/>
        <v>3160</v>
      </c>
      <c r="J1843" s="33" t="s">
        <v>1113</v>
      </c>
      <c r="K1843" s="33" t="s">
        <v>4321</v>
      </c>
      <c r="L1843" s="33" t="s">
        <v>4317</v>
      </c>
      <c r="M1843" s="33" t="s">
        <v>4318</v>
      </c>
      <c r="N1843" s="30">
        <v>46192</v>
      </c>
      <c r="O1843" s="33" t="s">
        <v>4319</v>
      </c>
      <c r="P1843" s="33" t="s">
        <v>4133</v>
      </c>
      <c r="Q1843" s="30" t="str" cm="1">
        <f t="array" ref="Q1843">_xlfn.IFS(
A1843="","",
AND(A1843&lt;&gt;"",B1843=""),"FALTA LANÇAMENTO",
AND(B1843&lt;&gt;"",M1843=""),"FALTA O PEDIDO",
AND(M1843&lt;&gt;"",O1843=""),"FALTA NF",
O1843&lt;&gt;"","CONCLUÍDO")</f>
        <v>CONCLUÍDO</v>
      </c>
      <c r="R1843" s="33"/>
    </row>
    <row r="1844" spans="1:18" hidden="1">
      <c r="A1844" s="30">
        <v>46184</v>
      </c>
      <c r="B1844" s="30">
        <v>46192</v>
      </c>
      <c r="C1844" s="31">
        <v>500580220</v>
      </c>
      <c r="D1844" s="30" t="str">
        <f>IFERROR(VLOOKUP(Tabela5[[#This Row],[PREFIXO ]],Tabela4[#All],2,0),"CENTRO DE CUSTO")</f>
        <v>Implementos</v>
      </c>
      <c r="E1844" s="33" t="s">
        <v>249</v>
      </c>
      <c r="F1844" s="31">
        <v>247</v>
      </c>
      <c r="G1844" s="32">
        <v>21525</v>
      </c>
      <c r="H1844" s="32"/>
      <c r="I1844" s="32">
        <f t="shared" si="29"/>
        <v>21525</v>
      </c>
      <c r="J1844" s="33" t="s">
        <v>1199</v>
      </c>
      <c r="K1844" s="33" t="s">
        <v>4322</v>
      </c>
      <c r="L1844" s="33" t="s">
        <v>4323</v>
      </c>
      <c r="M1844" s="33">
        <v>41892427</v>
      </c>
      <c r="N1844" s="30">
        <v>46194</v>
      </c>
      <c r="O1844" s="33" t="s">
        <v>4324</v>
      </c>
      <c r="P1844" s="33" t="s">
        <v>3869</v>
      </c>
      <c r="Q1844" s="30" t="str" cm="1">
        <f t="array" ref="Q1844">_xlfn.IFS(
A1844="","",
AND(A1844&lt;&gt;"",B1844=""),"FALTA LANÇAMENTO",
AND(B1844&lt;&gt;"",M1844=""),"FALTA O PEDIDO",
AND(M1844&lt;&gt;"",O1844=""),"FALTA NF",
O1844&lt;&gt;"","CONCLUÍDO")</f>
        <v>CONCLUÍDO</v>
      </c>
      <c r="R1844" s="33"/>
    </row>
    <row r="1845" spans="1:18" hidden="1">
      <c r="A1845" s="30">
        <v>46184</v>
      </c>
      <c r="B1845" s="30">
        <v>46188</v>
      </c>
      <c r="C1845" s="31">
        <v>22080193</v>
      </c>
      <c r="D1845" s="30" t="str">
        <f>IFERROR(VLOOKUP(Tabela5[[#This Row],[PREFIXO ]],Tabela4[#All],2,0),"CENTRO DE CUSTO")</f>
        <v>CENTRO DE CUSTO</v>
      </c>
      <c r="E1845" s="33" t="s">
        <v>227</v>
      </c>
      <c r="F1845" s="31" t="s">
        <v>4325</v>
      </c>
      <c r="G1845" s="32">
        <v>2797.75</v>
      </c>
      <c r="H1845" s="32">
        <v>502.74</v>
      </c>
      <c r="I1845" s="32">
        <f t="shared" si="29"/>
        <v>3300.49</v>
      </c>
      <c r="J1845" s="33" t="s">
        <v>1199</v>
      </c>
      <c r="K1845" s="33" t="s">
        <v>4326</v>
      </c>
      <c r="L1845" s="33" t="s">
        <v>4327</v>
      </c>
      <c r="M1845" s="33" t="s">
        <v>4328</v>
      </c>
      <c r="N1845" s="30">
        <v>46190</v>
      </c>
      <c r="O1845" s="33" t="s">
        <v>4329</v>
      </c>
      <c r="P1845" s="33" t="s">
        <v>4330</v>
      </c>
      <c r="Q1845" s="30" t="str" cm="1">
        <f t="array" ref="Q1845">_xlfn.IFS(
A1845="","",
AND(A1845&lt;&gt;"",B1845=""),"FALTA LANÇAMENTO",
AND(B1845&lt;&gt;"",M1845=""),"FALTA O PEDIDO",
AND(M1845&lt;&gt;"",O1845=""),"FALTA NF",
O1845&lt;&gt;"","CONCLUÍDO")</f>
        <v>CONCLUÍDO</v>
      </c>
      <c r="R1845" s="33"/>
    </row>
    <row r="1846" spans="1:18" hidden="1">
      <c r="A1846" s="30">
        <v>46184</v>
      </c>
      <c r="B1846" s="30">
        <v>46192</v>
      </c>
      <c r="C1846" s="31">
        <v>11530009</v>
      </c>
      <c r="D1846" s="30" t="str">
        <f>IFERROR(VLOOKUP(Tabela5[[#This Row],[PREFIXO ]],Tabela4[#All],2,0),"CENTRO DE CUSTO")</f>
        <v>TRAT PN MED JOHN DEERE 6300</v>
      </c>
      <c r="E1846" s="33" t="s">
        <v>160</v>
      </c>
      <c r="F1846" s="31">
        <v>117</v>
      </c>
      <c r="G1846" s="32">
        <v>20000</v>
      </c>
      <c r="H1846" s="32"/>
      <c r="I1846" s="32">
        <f t="shared" si="29"/>
        <v>20000</v>
      </c>
      <c r="J1846" s="18" t="s">
        <v>1199</v>
      </c>
      <c r="K1846" s="33" t="s">
        <v>4331</v>
      </c>
      <c r="L1846" s="33" t="s">
        <v>4332</v>
      </c>
      <c r="M1846" s="33">
        <v>41891940</v>
      </c>
      <c r="N1846" s="30">
        <v>46192</v>
      </c>
      <c r="O1846" s="33" t="s">
        <v>3000</v>
      </c>
      <c r="P1846" s="33" t="s">
        <v>3576</v>
      </c>
      <c r="Q1846" s="30" t="str" cm="1">
        <f t="array" ref="Q1846">_xlfn.IFS(
A1846="","",
AND(A1846&lt;&gt;"",B1846=""),"FALTA LANÇAMENTO",
AND(B1846&lt;&gt;"",M1846=""),"FALTA O PEDIDO",
AND(M1846&lt;&gt;"",O1846=""),"FALTA NF",
O1846&lt;&gt;"","CONCLUÍDO")</f>
        <v>CONCLUÍDO</v>
      </c>
      <c r="R1846" s="33"/>
    </row>
    <row r="1847" spans="1:18" hidden="1">
      <c r="A1847" s="30">
        <v>46184</v>
      </c>
      <c r="B1847" s="30">
        <v>46191</v>
      </c>
      <c r="C1847" s="31">
        <v>11060002</v>
      </c>
      <c r="D1847" s="30" t="str">
        <f>IFERROR(VLOOKUP(Tabela5[[#This Row],[PREFIXO ]],Tabela4[#All],2,0),"CENTRO DE CUSTO")</f>
        <v>CENTRO DE CUSTO</v>
      </c>
      <c r="E1847" s="33" t="s">
        <v>110</v>
      </c>
      <c r="F1847" s="31">
        <v>34321</v>
      </c>
      <c r="G1847" s="32">
        <v>104</v>
      </c>
      <c r="H1847" s="32">
        <v>9153.0400000000009</v>
      </c>
      <c r="I1847" s="32">
        <f t="shared" si="29"/>
        <v>9257.0400000000009</v>
      </c>
      <c r="J1847" s="33" t="s">
        <v>1199</v>
      </c>
      <c r="K1847" s="33" t="s">
        <v>4333</v>
      </c>
      <c r="L1847" s="33" t="s">
        <v>4334</v>
      </c>
      <c r="M1847" s="33">
        <v>41890877</v>
      </c>
      <c r="N1847" s="30">
        <v>46191</v>
      </c>
      <c r="O1847" s="33" t="s">
        <v>4335</v>
      </c>
      <c r="P1847" s="33" t="s">
        <v>4336</v>
      </c>
      <c r="Q1847" s="30" t="str" cm="1">
        <f t="array" ref="Q1847">_xlfn.IFS(
A1847="","",
AND(A1847&lt;&gt;"",B1847=""),"FALTA LANÇAMENTO",
AND(B1847&lt;&gt;"",M1847=""),"FALTA O PEDIDO",
AND(M1847&lt;&gt;"",O1847=""),"FALTA NF",
O1847&lt;&gt;"","CONCLUÍDO")</f>
        <v>CONCLUÍDO</v>
      </c>
      <c r="R1847" s="33"/>
    </row>
    <row r="1848" spans="1:18" hidden="1">
      <c r="A1848" s="30">
        <v>46184</v>
      </c>
      <c r="B1848" s="30">
        <v>46188</v>
      </c>
      <c r="C1848" s="31">
        <v>1173014</v>
      </c>
      <c r="D1848" s="30" t="str">
        <f>IFERROR(VLOOKUP(Tabela5[[#This Row],[PREFIXO ]],Tabela4[#All],2,0),"CENTRO DE CUSTO")</f>
        <v>TRAT PN MED N.HOLLAND 7630</v>
      </c>
      <c r="E1848" s="33" t="s">
        <v>144</v>
      </c>
      <c r="F1848" s="31">
        <v>925</v>
      </c>
      <c r="G1848" s="32">
        <v>1558</v>
      </c>
      <c r="H1848" s="32"/>
      <c r="I1848" s="32">
        <f t="shared" si="29"/>
        <v>1558</v>
      </c>
      <c r="J1848" s="33" t="s">
        <v>1199</v>
      </c>
      <c r="K1848" s="33" t="s">
        <v>4337</v>
      </c>
      <c r="L1848" s="33" t="s">
        <v>4338</v>
      </c>
      <c r="M1848" s="33">
        <v>41888628</v>
      </c>
      <c r="N1848" s="30">
        <v>46189</v>
      </c>
      <c r="O1848" s="33" t="s">
        <v>4339</v>
      </c>
      <c r="P1848" s="33" t="s">
        <v>3579</v>
      </c>
      <c r="Q1848" s="30" t="str" cm="1">
        <f t="array" ref="Q1848">_xlfn.IFS(
A1848="","",
AND(A1848&lt;&gt;"",B1848=""),"FALTA LANÇAMENTO",
AND(B1848&lt;&gt;"",M1848=""),"FALTA O PEDIDO",
AND(M1848&lt;&gt;"",O1848=""),"FALTA NF",
O1848&lt;&gt;"","CONCLUÍDO")</f>
        <v>CONCLUÍDO</v>
      </c>
      <c r="R1848" s="33"/>
    </row>
    <row r="1849" spans="1:18" hidden="1">
      <c r="A1849" s="30">
        <v>46184</v>
      </c>
      <c r="B1849" s="30">
        <v>46188</v>
      </c>
      <c r="C1849" s="31">
        <v>61521041</v>
      </c>
      <c r="D1849" s="30" t="str">
        <f>IFERROR(VLOOKUP(Tabela5[[#This Row],[PREFIXO ]],Tabela4[#All],2,0),"CENTRO DE CUSTO")</f>
        <v>ONIB RODOVIÁRIO MASCARELLO GRAN MIDI</v>
      </c>
      <c r="E1849" s="33" t="s">
        <v>124</v>
      </c>
      <c r="F1849" s="31">
        <v>596</v>
      </c>
      <c r="G1849" s="32">
        <v>364.8</v>
      </c>
      <c r="H1849" s="32">
        <v>3445</v>
      </c>
      <c r="I1849" s="32">
        <f t="shared" si="29"/>
        <v>3809.8</v>
      </c>
      <c r="J1849" s="33" t="s">
        <v>1199</v>
      </c>
      <c r="K1849" s="33" t="s">
        <v>4340</v>
      </c>
      <c r="L1849" s="33" t="s">
        <v>4341</v>
      </c>
      <c r="M1849" s="33">
        <v>41888781</v>
      </c>
      <c r="N1849" s="30">
        <v>46189</v>
      </c>
      <c r="O1849" s="33" t="s">
        <v>4342</v>
      </c>
      <c r="P1849" s="33" t="s">
        <v>4343</v>
      </c>
      <c r="Q1849" s="30" t="str" cm="1">
        <f t="array" ref="Q1849">_xlfn.IFS(
A1849="","",
AND(A1849&lt;&gt;"",B1849=""),"FALTA LANÇAMENTO",
AND(B1849&lt;&gt;"",M1849=""),"FALTA O PEDIDO",
AND(M1849&lt;&gt;"",O1849=""),"FALTA NF",
O1849&lt;&gt;"","CONCLUÍDO")</f>
        <v>CONCLUÍDO</v>
      </c>
      <c r="R1849" s="33"/>
    </row>
    <row r="1850" spans="1:18" hidden="1">
      <c r="A1850" s="30">
        <v>46184</v>
      </c>
      <c r="B1850" s="30">
        <v>46188</v>
      </c>
      <c r="C1850" s="31">
        <v>61521042</v>
      </c>
      <c r="D1850" s="30" t="str">
        <f>IFERROR(VLOOKUP(Tabela5[[#This Row],[PREFIXO ]],Tabela4[#All],2,0),"CENTRO DE CUSTO")</f>
        <v>ONIB RODOVIÁRIO MASCARELLO GRAN MIDI</v>
      </c>
      <c r="E1850" s="33" t="s">
        <v>124</v>
      </c>
      <c r="F1850" s="31">
        <v>589</v>
      </c>
      <c r="G1850" s="32">
        <v>2188.8000000000002</v>
      </c>
      <c r="H1850" s="32">
        <v>3445</v>
      </c>
      <c r="I1850" s="32">
        <f t="shared" si="29"/>
        <v>5633.8</v>
      </c>
      <c r="J1850" s="18" t="s">
        <v>1199</v>
      </c>
      <c r="K1850" s="33" t="s">
        <v>4344</v>
      </c>
      <c r="L1850" s="33" t="s">
        <v>4345</v>
      </c>
      <c r="M1850" s="33">
        <v>41888782</v>
      </c>
      <c r="N1850" s="30">
        <v>46189</v>
      </c>
      <c r="O1850" s="33" t="s">
        <v>4346</v>
      </c>
      <c r="P1850" s="33" t="s">
        <v>4343</v>
      </c>
      <c r="Q1850" s="30" t="str" cm="1">
        <f t="array" ref="Q1850">_xlfn.IFS(
A1850="","",
AND(A1850&lt;&gt;"",B1850=""),"FALTA LANÇAMENTO",
AND(B1850&lt;&gt;"",M1850=""),"FALTA O PEDIDO",
AND(M1850&lt;&gt;"",O1850=""),"FALTA NF",
O1850&lt;&gt;"","CONCLUÍDO")</f>
        <v>CONCLUÍDO</v>
      </c>
      <c r="R1850" s="33"/>
    </row>
    <row r="1851" spans="1:18" hidden="1">
      <c r="A1851" s="30">
        <v>46184</v>
      </c>
      <c r="B1851" s="30">
        <v>46188</v>
      </c>
      <c r="C1851" s="31">
        <v>11040004</v>
      </c>
      <c r="D1851" s="30" t="str">
        <f>IFERROR(VLOOKUP(Tabela5[[#This Row],[PREFIXO ]],Tabela4[#All],2,0),"CENTRO DE CUSTO")</f>
        <v>CAV MEC EXT PES SCANIA R500</v>
      </c>
      <c r="E1851" s="33" t="s">
        <v>124</v>
      </c>
      <c r="F1851" s="31">
        <v>578</v>
      </c>
      <c r="G1851" s="32">
        <v>4204.8</v>
      </c>
      <c r="H1851" s="32"/>
      <c r="I1851" s="32">
        <f t="shared" si="29"/>
        <v>4204.8</v>
      </c>
      <c r="J1851" s="18" t="s">
        <v>1199</v>
      </c>
      <c r="K1851" s="33" t="s">
        <v>4347</v>
      </c>
      <c r="L1851" s="33" t="s">
        <v>4348</v>
      </c>
      <c r="M1851" s="33">
        <v>41888783</v>
      </c>
      <c r="N1851" s="30">
        <v>46189</v>
      </c>
      <c r="O1851" s="33" t="s">
        <v>2695</v>
      </c>
      <c r="P1851" s="33" t="s">
        <v>3576</v>
      </c>
      <c r="Q1851" s="30" t="str" cm="1">
        <f t="array" ref="Q1851">_xlfn.IFS(
A1851="","",
AND(A1851&lt;&gt;"",B1851=""),"FALTA LANÇAMENTO",
AND(B1851&lt;&gt;"",M1851=""),"FALTA O PEDIDO",
AND(M1851&lt;&gt;"",O1851=""),"FALTA NF",
O1851&lt;&gt;"","CONCLUÍDO")</f>
        <v>CONCLUÍDO</v>
      </c>
      <c r="R1851" s="33"/>
    </row>
    <row r="1852" spans="1:18" hidden="1">
      <c r="A1852" s="30">
        <v>46184</v>
      </c>
      <c r="B1852" s="30">
        <v>46192</v>
      </c>
      <c r="C1852" s="31">
        <v>85014054</v>
      </c>
      <c r="D1852" s="30" t="str">
        <f>IFERROR(VLOOKUP(Tabela5[[#This Row],[PREFIXO ]],Tabela4[#All],2,0),"CENTRO DE CUSTO")</f>
        <v>SUBSOLADOR PANTER 15 HASTES</v>
      </c>
      <c r="E1852" s="33" t="s">
        <v>96</v>
      </c>
      <c r="F1852" s="31" t="s">
        <v>4349</v>
      </c>
      <c r="G1852" s="32">
        <v>3654</v>
      </c>
      <c r="H1852" s="32">
        <v>3517.37</v>
      </c>
      <c r="I1852" s="32">
        <f t="shared" ref="I1852:I1915" si="30">G1852+H1852</f>
        <v>7171.37</v>
      </c>
      <c r="J1852" s="18" t="s">
        <v>1199</v>
      </c>
      <c r="K1852" s="33" t="s">
        <v>4350</v>
      </c>
      <c r="L1852" s="33" t="s">
        <v>4351</v>
      </c>
      <c r="M1852" s="33" t="s">
        <v>4352</v>
      </c>
      <c r="N1852" s="30">
        <v>46192</v>
      </c>
      <c r="O1852" s="33" t="s">
        <v>4353</v>
      </c>
      <c r="P1852" s="33" t="s">
        <v>4151</v>
      </c>
      <c r="Q1852" s="30" t="str" cm="1">
        <f t="array" ref="Q1852">_xlfn.IFS(
A1852="","",
AND(A1852&lt;&gt;"",B1852=""),"FALTA LANÇAMENTO",
AND(B1852&lt;&gt;"",M1852=""),"FALTA O PEDIDO",
AND(M1852&lt;&gt;"",O1852=""),"FALTA NF",
O1852&lt;&gt;"","CONCLUÍDO")</f>
        <v>CONCLUÍDO</v>
      </c>
      <c r="R1852" s="33"/>
    </row>
    <row r="1853" spans="1:18" hidden="1">
      <c r="A1853" s="30">
        <v>46184</v>
      </c>
      <c r="B1853" s="30">
        <v>46192</v>
      </c>
      <c r="C1853" s="31">
        <v>13100037</v>
      </c>
      <c r="D1853" s="30" t="str">
        <f>IFERROR(VLOOKUP(Tabela5[[#This Row],[PREFIXO ]],Tabela4[#All],2,0),"CENTRO DE CUSTO")</f>
        <v>CENTRO DE CUSTO</v>
      </c>
      <c r="E1853" s="33" t="s">
        <v>247</v>
      </c>
      <c r="F1853" s="31">
        <v>136433</v>
      </c>
      <c r="G1853" s="32">
        <v>680</v>
      </c>
      <c r="H1853" s="32"/>
      <c r="I1853" s="32">
        <f t="shared" si="30"/>
        <v>680</v>
      </c>
      <c r="J1853" s="18" t="s">
        <v>1199</v>
      </c>
      <c r="K1853" s="33" t="s">
        <v>4354</v>
      </c>
      <c r="L1853" s="33" t="s">
        <v>4355</v>
      </c>
      <c r="M1853" s="33">
        <v>41891895</v>
      </c>
      <c r="N1853" s="30">
        <v>46192</v>
      </c>
      <c r="O1853" s="33" t="s">
        <v>4356</v>
      </c>
      <c r="P1853" s="33" t="s">
        <v>3869</v>
      </c>
      <c r="Q1853" s="30" t="str" cm="1">
        <f t="array" ref="Q1853">_xlfn.IFS(
A1853="","",
AND(A1853&lt;&gt;"",B1853=""),"FALTA LANÇAMENTO",
AND(B1853&lt;&gt;"",M1853=""),"FALTA O PEDIDO",
AND(M1853&lt;&gt;"",O1853=""),"FALTA NF",
O1853&lt;&gt;"","CONCLUÍDO")</f>
        <v>CONCLUÍDO</v>
      </c>
      <c r="R1853" s="33"/>
    </row>
    <row r="1854" spans="1:18" hidden="1">
      <c r="A1854" s="30">
        <v>46184</v>
      </c>
      <c r="B1854" s="30">
        <v>46196</v>
      </c>
      <c r="C1854" s="31">
        <v>8173364</v>
      </c>
      <c r="D1854" s="30" t="str">
        <f>IFERROR(VLOOKUP(Tabela5[[#This Row],[PREFIXO ]],Tabela4[#All],2,0),"CENTRO DE CUSTO")</f>
        <v>SEMI REBOQUE PRANCHA FACCHINI SRF CT</v>
      </c>
      <c r="E1854" s="33" t="s">
        <v>29</v>
      </c>
      <c r="F1854" s="31">
        <v>55935</v>
      </c>
      <c r="G1854" s="32">
        <v>276</v>
      </c>
      <c r="H1854" s="32">
        <v>65.8</v>
      </c>
      <c r="I1854" s="32">
        <f t="shared" si="30"/>
        <v>341.8</v>
      </c>
      <c r="J1854" s="33" t="s">
        <v>1199</v>
      </c>
      <c r="K1854" s="33" t="s">
        <v>4357</v>
      </c>
      <c r="L1854" s="33" t="s">
        <v>4358</v>
      </c>
      <c r="M1854" s="33" t="s">
        <v>4359</v>
      </c>
      <c r="N1854" s="30">
        <v>46196</v>
      </c>
      <c r="O1854" s="33" t="s">
        <v>4360</v>
      </c>
      <c r="P1854" s="33" t="s">
        <v>4056</v>
      </c>
      <c r="Q1854" s="30" t="str" cm="1">
        <f t="array" ref="Q1854">_xlfn.IFS(
A1854="","",
AND(A1854&lt;&gt;"",B1854=""),"FALTA LANÇAMENTO",
AND(B1854&lt;&gt;"",M1854=""),"FALTA O PEDIDO",
AND(M1854&lt;&gt;"",O1854=""),"FALTA NF",
O1854&lt;&gt;"","CONCLUÍDO")</f>
        <v>CONCLUÍDO</v>
      </c>
      <c r="R1854" s="33"/>
    </row>
    <row r="1855" spans="1:18" hidden="1">
      <c r="A1855" s="30">
        <v>46184</v>
      </c>
      <c r="B1855" s="30">
        <v>46212</v>
      </c>
      <c r="C1855" s="31">
        <v>23220008</v>
      </c>
      <c r="D1855" s="30" t="str">
        <f>IFERROR(VLOOKUP(Tabela5[[#This Row],[PREFIXO ]],Tabela4[#All],2,0),"CENTRO DE CUSTO")</f>
        <v>CENTRO DE CUSTO</v>
      </c>
      <c r="E1855" s="33" t="s">
        <v>17</v>
      </c>
      <c r="F1855" s="31">
        <v>42744</v>
      </c>
      <c r="G1855" s="32">
        <v>1863</v>
      </c>
      <c r="H1855" s="32">
        <v>91865.85</v>
      </c>
      <c r="I1855" s="32">
        <f t="shared" si="30"/>
        <v>93728.85</v>
      </c>
      <c r="J1855" s="33" t="s">
        <v>1123</v>
      </c>
      <c r="K1855" s="33" t="s">
        <v>4361</v>
      </c>
      <c r="L1855" s="33" t="s">
        <v>4362</v>
      </c>
      <c r="M1855" s="33" t="s">
        <v>4363</v>
      </c>
      <c r="N1855" s="30">
        <v>46213</v>
      </c>
      <c r="O1855" s="33"/>
      <c r="P1855" s="33"/>
      <c r="Q1855" s="30" t="str" cm="1">
        <f t="array" ref="Q1855">_xlfn.IFS(
A1855="","",
AND(A1855&lt;&gt;"",B1855=""),"FALTA LANÇAMENTO",
AND(B1855&lt;&gt;"",M1855=""),"FALTA O PEDIDO",
AND(M1855&lt;&gt;"",O1855=""),"FALTA NF",
O1855&lt;&gt;"","CONCLUÍDO")</f>
        <v>FALTA NF</v>
      </c>
      <c r="R1855" s="33"/>
    </row>
    <row r="1856" spans="1:18" hidden="1">
      <c r="A1856" s="30">
        <v>46184</v>
      </c>
      <c r="B1856" s="30">
        <v>46196</v>
      </c>
      <c r="C1856" s="31">
        <v>11040015</v>
      </c>
      <c r="D1856" s="30" t="str">
        <f>IFERROR(VLOOKUP(Tabela5[[#This Row],[PREFIXO ]],Tabela4[#All],2,0),"CENTRO DE CUSTO")</f>
        <v>CAV MEC EXT PES SCANIA R500</v>
      </c>
      <c r="E1856" s="33" t="s">
        <v>29</v>
      </c>
      <c r="F1856" s="31">
        <v>55943</v>
      </c>
      <c r="G1856" s="32">
        <v>545</v>
      </c>
      <c r="H1856" s="32"/>
      <c r="I1856" s="32">
        <f t="shared" si="30"/>
        <v>545</v>
      </c>
      <c r="J1856" s="18" t="s">
        <v>1199</v>
      </c>
      <c r="K1856" s="33" t="s">
        <v>4364</v>
      </c>
      <c r="L1856" s="33" t="s">
        <v>4358</v>
      </c>
      <c r="M1856" s="33" t="s">
        <v>4359</v>
      </c>
      <c r="N1856" s="30">
        <v>46196</v>
      </c>
      <c r="O1856" s="33" t="s">
        <v>4365</v>
      </c>
      <c r="P1856" s="33" t="s">
        <v>4056</v>
      </c>
      <c r="Q1856" s="30" t="str" cm="1">
        <f t="array" ref="Q1856">_xlfn.IFS(
A1856="","",
AND(A1856&lt;&gt;"",B1856=""),"FALTA LANÇAMENTO",
AND(B1856&lt;&gt;"",M1856=""),"FALTA O PEDIDO",
AND(M1856&lt;&gt;"",O1856=""),"FALTA NF",
O1856&lt;&gt;"","CONCLUÍDO")</f>
        <v>CONCLUÍDO</v>
      </c>
      <c r="R1856" s="33"/>
    </row>
    <row r="1857" spans="1:18" hidden="1">
      <c r="A1857" s="30">
        <v>46184</v>
      </c>
      <c r="B1857" s="30">
        <v>46190</v>
      </c>
      <c r="C1857" s="31">
        <v>51521071</v>
      </c>
      <c r="D1857" s="30" t="str">
        <f>IFERROR(VLOOKUP(Tabela5[[#This Row],[PREFIXO ]],Tabela4[#All],2,0),"CENTRO DE CUSTO")</f>
        <v>COLHED ALGODÃO JOHN DEERE CP 690</v>
      </c>
      <c r="E1857" s="33" t="s">
        <v>255</v>
      </c>
      <c r="F1857" s="31">
        <v>990</v>
      </c>
      <c r="G1857" s="32">
        <v>2500</v>
      </c>
      <c r="H1857" s="32"/>
      <c r="I1857" s="32">
        <f t="shared" si="30"/>
        <v>2500</v>
      </c>
      <c r="J1857" s="18" t="s">
        <v>1113</v>
      </c>
      <c r="K1857" s="33" t="s">
        <v>4366</v>
      </c>
      <c r="L1857" s="33" t="s">
        <v>4367</v>
      </c>
      <c r="M1857" s="33">
        <v>41889630</v>
      </c>
      <c r="N1857" s="30">
        <v>46190</v>
      </c>
      <c r="O1857" s="33" t="s">
        <v>3336</v>
      </c>
      <c r="P1857" s="33" t="s">
        <v>4056</v>
      </c>
      <c r="Q1857" s="30" t="str" cm="1">
        <f t="array" ref="Q1857">_xlfn.IFS(
A1857="","",
AND(A1857&lt;&gt;"",B1857=""),"FALTA LANÇAMENTO",
AND(B1857&lt;&gt;"",M1857=""),"FALTA O PEDIDO",
AND(M1857&lt;&gt;"",O1857=""),"FALTA NF",
O1857&lt;&gt;"","CONCLUÍDO")</f>
        <v>CONCLUÍDO</v>
      </c>
      <c r="R1857" s="33"/>
    </row>
    <row r="1858" spans="1:18" hidden="1">
      <c r="A1858" s="30">
        <v>46184</v>
      </c>
      <c r="B1858" s="30">
        <v>46190</v>
      </c>
      <c r="C1858" s="31">
        <v>51521051</v>
      </c>
      <c r="D1858" s="30" t="str">
        <f>IFERROR(VLOOKUP(Tabela5[[#This Row],[PREFIXO ]],Tabela4[#All],2,0),"CENTRO DE CUSTO")</f>
        <v>COLHED ALGODÃO JOHN DEERE CP 690</v>
      </c>
      <c r="E1858" s="33" t="s">
        <v>255</v>
      </c>
      <c r="F1858" s="31">
        <v>992</v>
      </c>
      <c r="G1858" s="32">
        <v>2500</v>
      </c>
      <c r="H1858" s="32"/>
      <c r="I1858" s="32">
        <f t="shared" si="30"/>
        <v>2500</v>
      </c>
      <c r="J1858" s="33" t="s">
        <v>1113</v>
      </c>
      <c r="K1858" s="33" t="s">
        <v>4368</v>
      </c>
      <c r="L1858" s="33" t="s">
        <v>4367</v>
      </c>
      <c r="M1858" s="33">
        <v>41889630</v>
      </c>
      <c r="N1858" s="30">
        <v>46190</v>
      </c>
      <c r="O1858" s="33" t="s">
        <v>3336</v>
      </c>
      <c r="P1858" s="33" t="s">
        <v>4056</v>
      </c>
      <c r="Q1858" s="30" t="str" cm="1">
        <f t="array" ref="Q1858">_xlfn.IFS(
A1858="","",
AND(A1858&lt;&gt;"",B1858=""),"FALTA LANÇAMENTO",
AND(B1858&lt;&gt;"",M1858=""),"FALTA O PEDIDO",
AND(M1858&lt;&gt;"",O1858=""),"FALTA NF",
O1858&lt;&gt;"","CONCLUÍDO")</f>
        <v>CONCLUÍDO</v>
      </c>
      <c r="R1858" s="33"/>
    </row>
    <row r="1859" spans="1:18" hidden="1">
      <c r="A1859" s="30">
        <v>46184</v>
      </c>
      <c r="B1859" s="30">
        <v>46190</v>
      </c>
      <c r="C1859" s="31">
        <v>51521052</v>
      </c>
      <c r="D1859" s="30" t="str">
        <f>IFERROR(VLOOKUP(Tabela5[[#This Row],[PREFIXO ]],Tabela4[#All],2,0),"CENTRO DE CUSTO")</f>
        <v>COLHED ALGODÃO JOHN DEERE CP 690</v>
      </c>
      <c r="E1859" s="33" t="s">
        <v>255</v>
      </c>
      <c r="F1859" s="31">
        <v>991</v>
      </c>
      <c r="G1859" s="32">
        <v>2500</v>
      </c>
      <c r="H1859" s="32"/>
      <c r="I1859" s="32">
        <f t="shared" si="30"/>
        <v>2500</v>
      </c>
      <c r="J1859" s="33" t="s">
        <v>1113</v>
      </c>
      <c r="K1859" s="33" t="s">
        <v>4369</v>
      </c>
      <c r="L1859" s="33" t="s">
        <v>4367</v>
      </c>
      <c r="M1859" s="33">
        <v>41889630</v>
      </c>
      <c r="N1859" s="30">
        <v>46190</v>
      </c>
      <c r="O1859" s="33" t="s">
        <v>3336</v>
      </c>
      <c r="P1859" s="33" t="s">
        <v>4056</v>
      </c>
      <c r="Q1859" s="30" t="str" cm="1">
        <f t="array" ref="Q1859">_xlfn.IFS(
A1859="","",
AND(A1859&lt;&gt;"",B1859=""),"FALTA LANÇAMENTO",
AND(B1859&lt;&gt;"",M1859=""),"FALTA O PEDIDO",
AND(M1859&lt;&gt;"",O1859=""),"FALTA NF",
O1859&lt;&gt;"","CONCLUÍDO")</f>
        <v>CONCLUÍDO</v>
      </c>
      <c r="R1859" s="33"/>
    </row>
    <row r="1860" spans="1:18" hidden="1">
      <c r="A1860" s="30">
        <v>46184</v>
      </c>
      <c r="B1860" s="30">
        <v>46190</v>
      </c>
      <c r="C1860" s="31">
        <v>51519061</v>
      </c>
      <c r="D1860" s="30" t="str">
        <f>IFERROR(VLOOKUP(Tabela5[[#This Row],[PREFIXO ]],Tabela4[#All],2,0),"CENTRO DE CUSTO")</f>
        <v>CENTRO DE CUSTO</v>
      </c>
      <c r="E1860" s="33" t="s">
        <v>255</v>
      </c>
      <c r="F1860" s="31">
        <v>994</v>
      </c>
      <c r="G1860" s="32">
        <v>1686</v>
      </c>
      <c r="H1860" s="32"/>
      <c r="I1860" s="32">
        <f t="shared" si="30"/>
        <v>1686</v>
      </c>
      <c r="J1860" s="33" t="s">
        <v>1113</v>
      </c>
      <c r="K1860" s="33" t="s">
        <v>4370</v>
      </c>
      <c r="L1860" s="33" t="s">
        <v>4367</v>
      </c>
      <c r="M1860" s="33">
        <v>41889630</v>
      </c>
      <c r="N1860" s="30">
        <v>46190</v>
      </c>
      <c r="O1860" s="33" t="s">
        <v>3336</v>
      </c>
      <c r="P1860" s="33" t="s">
        <v>4056</v>
      </c>
      <c r="Q1860" s="30" t="str" cm="1">
        <f t="array" ref="Q1860">_xlfn.IFS(
A1860="","",
AND(A1860&lt;&gt;"",B1860=""),"FALTA LANÇAMENTO",
AND(B1860&lt;&gt;"",M1860=""),"FALTA O PEDIDO",
AND(M1860&lt;&gt;"",O1860=""),"FALTA NF",
O1860&lt;&gt;"","CONCLUÍDO")</f>
        <v>CONCLUÍDO</v>
      </c>
      <c r="R1860" s="33"/>
    </row>
    <row r="1861" spans="1:18" hidden="1">
      <c r="A1861" s="30">
        <v>46184</v>
      </c>
      <c r="B1861" s="30">
        <v>46190</v>
      </c>
      <c r="C1861" s="31">
        <v>51521091</v>
      </c>
      <c r="D1861" s="30" t="str">
        <f>IFERROR(VLOOKUP(Tabela5[[#This Row],[PREFIXO ]],Tabela4[#All],2,0),"CENTRO DE CUSTO")</f>
        <v>COLHEIT DE GRÃOS N.HOLLAND CR 8.90</v>
      </c>
      <c r="E1861" s="33" t="s">
        <v>255</v>
      </c>
      <c r="F1861" s="31">
        <v>993</v>
      </c>
      <c r="G1861" s="32">
        <v>1636</v>
      </c>
      <c r="H1861" s="32"/>
      <c r="I1861" s="32">
        <f t="shared" si="30"/>
        <v>1636</v>
      </c>
      <c r="J1861" s="33" t="s">
        <v>1113</v>
      </c>
      <c r="K1861" s="33" t="s">
        <v>4371</v>
      </c>
      <c r="L1861" s="33" t="s">
        <v>4367</v>
      </c>
      <c r="M1861" s="33">
        <v>41889630</v>
      </c>
      <c r="N1861" s="30">
        <v>46190</v>
      </c>
      <c r="O1861" s="33" t="s">
        <v>3336</v>
      </c>
      <c r="P1861" s="33" t="s">
        <v>4056</v>
      </c>
      <c r="Q1861" s="30" t="str" cm="1">
        <f t="array" ref="Q1861">_xlfn.IFS(
A1861="","",
AND(A1861&lt;&gt;"",B1861=""),"FALTA LANÇAMENTO",
AND(B1861&lt;&gt;"",M1861=""),"FALTA O PEDIDO",
AND(M1861&lt;&gt;"",O1861=""),"FALTA NF",
O1861&lt;&gt;"","CONCLUÍDO")</f>
        <v>CONCLUÍDO</v>
      </c>
      <c r="R1861" s="33"/>
    </row>
    <row r="1862" spans="1:18" hidden="1">
      <c r="A1862" s="30">
        <v>46184</v>
      </c>
      <c r="B1862" s="30">
        <v>46190</v>
      </c>
      <c r="C1862" s="31">
        <v>85048096</v>
      </c>
      <c r="D1862" s="30" t="str">
        <f>IFERROR(VLOOKUP(Tabela5[[#This Row],[PREFIXO ]],Tabela4[#All],2,0),"CENTRO DE CUSTO")</f>
        <v>CENTRO DE CUSTO</v>
      </c>
      <c r="E1862" s="33" t="s">
        <v>255</v>
      </c>
      <c r="F1862" s="31">
        <v>995</v>
      </c>
      <c r="G1862" s="32">
        <v>700</v>
      </c>
      <c r="H1862" s="32"/>
      <c r="I1862" s="32">
        <f t="shared" si="30"/>
        <v>700</v>
      </c>
      <c r="J1862" s="33" t="s">
        <v>1113</v>
      </c>
      <c r="K1862" s="33" t="s">
        <v>4372</v>
      </c>
      <c r="L1862" s="33" t="s">
        <v>4367</v>
      </c>
      <c r="M1862" s="33">
        <v>41889630</v>
      </c>
      <c r="N1862" s="30">
        <v>46190</v>
      </c>
      <c r="O1862" s="33" t="s">
        <v>3336</v>
      </c>
      <c r="P1862" s="33" t="s">
        <v>4056</v>
      </c>
      <c r="Q1862" s="30" t="str" cm="1">
        <f t="array" ref="Q1862">_xlfn.IFS(
A1862="","",
AND(A1862&lt;&gt;"",B1862=""),"FALTA LANÇAMENTO",
AND(B1862&lt;&gt;"",M1862=""),"FALTA O PEDIDO",
AND(M1862&lt;&gt;"",O1862=""),"FALTA NF",
O1862&lt;&gt;"","CONCLUÍDO")</f>
        <v>CONCLUÍDO</v>
      </c>
      <c r="R1862" s="33"/>
    </row>
    <row r="1863" spans="1:18" hidden="1">
      <c r="A1863" s="30">
        <v>46184</v>
      </c>
      <c r="B1863" s="30">
        <v>46188</v>
      </c>
      <c r="C1863" s="31">
        <v>11040015</v>
      </c>
      <c r="D1863" s="30" t="str">
        <f>IFERROR(VLOOKUP(Tabela5[[#This Row],[PREFIXO ]],Tabela4[#All],2,0),"CENTRO DE CUSTO")</f>
        <v>CAV MEC EXT PES SCANIA R500</v>
      </c>
      <c r="E1863" s="33" t="s">
        <v>366</v>
      </c>
      <c r="F1863" s="43">
        <v>197115</v>
      </c>
      <c r="G1863" s="32">
        <v>400</v>
      </c>
      <c r="H1863" s="32"/>
      <c r="I1863" s="32">
        <f t="shared" si="30"/>
        <v>400</v>
      </c>
      <c r="J1863" s="33" t="s">
        <v>1199</v>
      </c>
      <c r="K1863" s="33" t="s">
        <v>4373</v>
      </c>
      <c r="L1863" s="33" t="s">
        <v>4374</v>
      </c>
      <c r="M1863" s="33" t="s">
        <v>4375</v>
      </c>
      <c r="N1863" s="30">
        <v>46191</v>
      </c>
      <c r="O1863" s="33"/>
      <c r="P1863" s="33"/>
      <c r="Q1863" s="30" t="str" cm="1">
        <f t="array" ref="Q1863">_xlfn.IFS(
A1863="","",
AND(A1863&lt;&gt;"",B1863=""),"FALTA LANÇAMENTO",
AND(B1863&lt;&gt;"",M1863=""),"FALTA O PEDIDO",
AND(M1863&lt;&gt;"",O1863=""),"FALTA NF",
O1863&lt;&gt;"","CONCLUÍDO")</f>
        <v>FALTA NF</v>
      </c>
      <c r="R1863" s="33"/>
    </row>
    <row r="1864" spans="1:18" hidden="1">
      <c r="A1864" s="30">
        <v>46184</v>
      </c>
      <c r="B1864" s="30">
        <v>46192</v>
      </c>
      <c r="C1864" s="31">
        <v>81726738</v>
      </c>
      <c r="D1864" s="30" t="str">
        <f>IFERROR(VLOOKUP(Tabela5[[#This Row],[PREFIXO ]],Tabela4[#All],2,0),"CENTRO DE CUSTO")</f>
        <v>CENTRO DE CUSTO</v>
      </c>
      <c r="E1864" s="33" t="s">
        <v>162</v>
      </c>
      <c r="F1864" s="31">
        <v>77202</v>
      </c>
      <c r="G1864" s="32">
        <v>10744.4</v>
      </c>
      <c r="H1864" s="32"/>
      <c r="I1864" s="32">
        <f t="shared" si="30"/>
        <v>10744.4</v>
      </c>
      <c r="J1864" s="33" t="s">
        <v>1123</v>
      </c>
      <c r="K1864" s="33" t="s">
        <v>4376</v>
      </c>
      <c r="L1864" s="33" t="s">
        <v>4377</v>
      </c>
      <c r="M1864" s="33">
        <v>41893144</v>
      </c>
      <c r="N1864" s="30">
        <v>46195</v>
      </c>
      <c r="O1864" s="33"/>
      <c r="P1864" s="33"/>
      <c r="Q1864" s="30" t="str" cm="1">
        <f t="array" ref="Q1864">_xlfn.IFS(
A1864="","",
AND(A1864&lt;&gt;"",B1864=""),"FALTA LANÇAMENTO",
AND(B1864&lt;&gt;"",M1864=""),"FALTA O PEDIDO",
AND(M1864&lt;&gt;"",O1864=""),"FALTA NF",
O1864&lt;&gt;"","CONCLUÍDO")</f>
        <v>FALTA NF</v>
      </c>
      <c r="R1864" s="33"/>
    </row>
    <row r="1865" spans="1:18" hidden="1">
      <c r="A1865" s="30">
        <v>46184</v>
      </c>
      <c r="B1865" s="30">
        <v>46192</v>
      </c>
      <c r="C1865" s="31">
        <v>51521067</v>
      </c>
      <c r="D1865" s="30" t="str">
        <f>IFERROR(VLOOKUP(Tabela5[[#This Row],[PREFIXO ]],Tabela4[#All],2,0),"CENTRO DE CUSTO")</f>
        <v>COLHED ALGODÃO JOHN DEERE CP 690</v>
      </c>
      <c r="E1865" s="33" t="s">
        <v>17</v>
      </c>
      <c r="F1865" s="31">
        <v>44440</v>
      </c>
      <c r="G1865" s="32">
        <v>7144.53</v>
      </c>
      <c r="H1865" s="32">
        <v>51896.85</v>
      </c>
      <c r="I1865" s="32">
        <f t="shared" si="30"/>
        <v>59041.38</v>
      </c>
      <c r="J1865" s="33" t="s">
        <v>1123</v>
      </c>
      <c r="K1865" s="33" t="s">
        <v>4378</v>
      </c>
      <c r="L1865" s="33" t="s">
        <v>4379</v>
      </c>
      <c r="M1865" s="33" t="s">
        <v>4380</v>
      </c>
      <c r="N1865" s="30">
        <v>46195</v>
      </c>
      <c r="O1865" s="33"/>
      <c r="P1865" s="33"/>
      <c r="Q1865" s="30" t="str" cm="1">
        <f t="array" ref="Q1865">_xlfn.IFS(
A1865="","",
AND(A1865&lt;&gt;"",B1865=""),"FALTA LANÇAMENTO",
AND(B1865&lt;&gt;"",M1865=""),"FALTA O PEDIDO",
AND(M1865&lt;&gt;"",O1865=""),"FALTA NF",
O1865&lt;&gt;"","CONCLUÍDO")</f>
        <v>FALTA NF</v>
      </c>
      <c r="R1865" s="33"/>
    </row>
    <row r="1866" spans="1:18" hidden="1">
      <c r="A1866" s="30">
        <v>46184</v>
      </c>
      <c r="B1866" s="30">
        <v>46203</v>
      </c>
      <c r="C1866" s="31">
        <v>65048072</v>
      </c>
      <c r="D1866" s="30" t="str">
        <f>IFERROR(VLOOKUP(Tabela5[[#This Row],[PREFIXO ]],Tabela4[#All],2,0),"CENTRO DE CUSTO")</f>
        <v>CENTRO DE CUSTO</v>
      </c>
      <c r="E1866" s="33" t="s">
        <v>94</v>
      </c>
      <c r="F1866" s="31">
        <v>1163</v>
      </c>
      <c r="G1866" s="32">
        <v>9820</v>
      </c>
      <c r="H1866" s="32">
        <v>29080</v>
      </c>
      <c r="I1866" s="32">
        <f t="shared" si="30"/>
        <v>38900</v>
      </c>
      <c r="J1866" s="33" t="s">
        <v>1199</v>
      </c>
      <c r="K1866" s="33" t="s">
        <v>4381</v>
      </c>
      <c r="L1866" s="33" t="s">
        <v>4382</v>
      </c>
      <c r="M1866" s="33" t="s">
        <v>4383</v>
      </c>
      <c r="N1866" s="30">
        <v>46205</v>
      </c>
      <c r="O1866" s="33" t="s">
        <v>4384</v>
      </c>
      <c r="P1866" s="33" t="s">
        <v>4140</v>
      </c>
      <c r="Q1866" s="30" t="str" cm="1">
        <f t="array" ref="Q1866">_xlfn.IFS(
A1866="","",
AND(A1866&lt;&gt;"",B1866=""),"FALTA LANÇAMENTO",
AND(B1866&lt;&gt;"",M1866=""),"FALTA O PEDIDO",
AND(M1866&lt;&gt;"",O1866=""),"FALTA NF",
O1866&lt;&gt;"","CONCLUÍDO")</f>
        <v>CONCLUÍDO</v>
      </c>
      <c r="R1866" s="33"/>
    </row>
    <row r="1867" spans="1:18" hidden="1">
      <c r="A1867" s="30">
        <v>46184</v>
      </c>
      <c r="B1867" s="30">
        <v>46202</v>
      </c>
      <c r="C1867" s="31">
        <v>11040015</v>
      </c>
      <c r="D1867" s="30" t="str">
        <f>IFERROR(VLOOKUP(Tabela5[[#This Row],[PREFIXO ]],Tabela4[#All],2,0),"CENTRO DE CUSTO")</f>
        <v>CAV MEC EXT PES SCANIA R500</v>
      </c>
      <c r="E1867" s="33" t="s">
        <v>366</v>
      </c>
      <c r="F1867" s="43">
        <v>197116</v>
      </c>
      <c r="G1867" s="32">
        <v>240</v>
      </c>
      <c r="H1867" s="32">
        <v>925</v>
      </c>
      <c r="I1867" s="32">
        <f t="shared" si="30"/>
        <v>1165</v>
      </c>
      <c r="J1867" s="33" t="s">
        <v>1199</v>
      </c>
      <c r="K1867" s="33" t="s">
        <v>4385</v>
      </c>
      <c r="L1867" s="33" t="s">
        <v>4386</v>
      </c>
      <c r="M1867" s="33" t="s">
        <v>4387</v>
      </c>
      <c r="N1867" s="30">
        <v>46202</v>
      </c>
      <c r="O1867" s="33" t="s">
        <v>4388</v>
      </c>
      <c r="P1867" s="33" t="s">
        <v>4056</v>
      </c>
      <c r="Q1867" s="30" t="str" cm="1">
        <f t="array" ref="Q1867">_xlfn.IFS(
A1867="","",
AND(A1867&lt;&gt;"",B1867=""),"FALTA LANÇAMENTO",
AND(B1867&lt;&gt;"",M1867=""),"FALTA O PEDIDO",
AND(M1867&lt;&gt;"",O1867=""),"FALTA NF",
O1867&lt;&gt;"","CONCLUÍDO")</f>
        <v>CONCLUÍDO</v>
      </c>
      <c r="R1867" s="33"/>
    </row>
    <row r="1868" spans="1:18" hidden="1">
      <c r="A1868" s="30">
        <v>46184</v>
      </c>
      <c r="B1868" s="30">
        <v>46197</v>
      </c>
      <c r="C1868" s="31">
        <v>61521052</v>
      </c>
      <c r="D1868" s="30" t="str">
        <f>IFERROR(VLOOKUP(Tabela5[[#This Row],[PREFIXO ]],Tabela4[#All],2,0),"CENTRO DE CUSTO")</f>
        <v>CAM CARGA SECA MERC BENZ ATEGO 1719</v>
      </c>
      <c r="E1868" s="33" t="s">
        <v>29</v>
      </c>
      <c r="F1868" s="31">
        <v>55899</v>
      </c>
      <c r="G1868" s="32">
        <v>3771.99</v>
      </c>
      <c r="H1868" s="32">
        <v>2423</v>
      </c>
      <c r="I1868" s="32">
        <f t="shared" si="30"/>
        <v>6194.99</v>
      </c>
      <c r="J1868" s="33" t="s">
        <v>1199</v>
      </c>
      <c r="K1868" s="33" t="s">
        <v>4389</v>
      </c>
      <c r="L1868" s="33" t="s">
        <v>4390</v>
      </c>
      <c r="M1868" s="33" t="s">
        <v>4391</v>
      </c>
      <c r="N1868" s="30">
        <v>46198</v>
      </c>
      <c r="O1868" s="33" t="s">
        <v>4392</v>
      </c>
      <c r="P1868" s="33" t="s">
        <v>4056</v>
      </c>
      <c r="Q1868" s="30" t="str" cm="1">
        <f t="array" ref="Q1868">_xlfn.IFS(
A1868="","",
AND(A1868&lt;&gt;"",B1868=""),"FALTA LANÇAMENTO",
AND(B1868&lt;&gt;"",M1868=""),"FALTA O PEDIDO",
AND(M1868&lt;&gt;"",O1868=""),"FALTA NF",
O1868&lt;&gt;"","CONCLUÍDO")</f>
        <v>CONCLUÍDO</v>
      </c>
      <c r="R1868" s="33"/>
    </row>
    <row r="1869" spans="1:18" hidden="1">
      <c r="A1869" s="30">
        <v>46184</v>
      </c>
      <c r="B1869" s="30">
        <v>46197</v>
      </c>
      <c r="C1869" s="31">
        <v>61521031</v>
      </c>
      <c r="D1869" s="30" t="str">
        <f>IFERROR(VLOOKUP(Tabela5[[#This Row],[PREFIXO ]],Tabela4[#All],2,0),"CENTRO DE CUSTO")</f>
        <v>CAV MEC PES MERC BENZ ACTRO 2651</v>
      </c>
      <c r="E1869" s="33" t="s">
        <v>29</v>
      </c>
      <c r="F1869" s="31">
        <v>55885</v>
      </c>
      <c r="G1869" s="32">
        <v>2044</v>
      </c>
      <c r="H1869" s="32">
        <v>4059.86</v>
      </c>
      <c r="I1869" s="32">
        <f t="shared" si="30"/>
        <v>6103.8600000000006</v>
      </c>
      <c r="J1869" s="33" t="s">
        <v>1199</v>
      </c>
      <c r="K1869" s="33" t="s">
        <v>4393</v>
      </c>
      <c r="L1869" s="33" t="s">
        <v>4394</v>
      </c>
      <c r="M1869" s="33" t="s">
        <v>4395</v>
      </c>
      <c r="N1869" s="30">
        <v>46198</v>
      </c>
      <c r="O1869" s="33" t="s">
        <v>4396</v>
      </c>
      <c r="P1869" s="33" t="s">
        <v>4056</v>
      </c>
      <c r="Q1869" s="30" t="str" cm="1">
        <f t="array" ref="Q1869">_xlfn.IFS(
A1869="","",
AND(A1869&lt;&gt;"",B1869=""),"FALTA LANÇAMENTO",
AND(B1869&lt;&gt;"",M1869=""),"FALTA O PEDIDO",
AND(M1869&lt;&gt;"",O1869=""),"FALTA NF",
O1869&lt;&gt;"","CONCLUÍDO")</f>
        <v>CONCLUÍDO</v>
      </c>
      <c r="R1869" s="33"/>
    </row>
    <row r="1870" spans="1:18" hidden="1">
      <c r="A1870" s="30">
        <v>46184</v>
      </c>
      <c r="B1870" s="30">
        <v>46199</v>
      </c>
      <c r="C1870" s="31">
        <v>51519028</v>
      </c>
      <c r="D1870" s="30" t="str">
        <f>IFERROR(VLOOKUP(Tabela5[[#This Row],[PREFIXO ]],Tabela4[#All],2,0),"CENTRO DE CUSTO")</f>
        <v>COLHEIT DE GRÃOS N.HOLLAND CR 8.90</v>
      </c>
      <c r="E1870" s="33" t="s">
        <v>218</v>
      </c>
      <c r="F1870" s="31">
        <v>26802</v>
      </c>
      <c r="G1870" s="32">
        <v>18517.5</v>
      </c>
      <c r="H1870" s="32">
        <v>69784.17</v>
      </c>
      <c r="I1870" s="32">
        <f t="shared" si="30"/>
        <v>88301.67</v>
      </c>
      <c r="J1870" s="33" t="s">
        <v>1123</v>
      </c>
      <c r="K1870" s="33" t="s">
        <v>4397</v>
      </c>
      <c r="L1870" s="33" t="s">
        <v>4398</v>
      </c>
      <c r="M1870" s="33" t="s">
        <v>4399</v>
      </c>
      <c r="N1870" s="30">
        <v>46202</v>
      </c>
      <c r="O1870" s="33" t="s">
        <v>4400</v>
      </c>
      <c r="P1870" s="33" t="s">
        <v>4401</v>
      </c>
      <c r="Q1870" s="30" t="str" cm="1">
        <f t="array" ref="Q1870">_xlfn.IFS(
A1870="","",
AND(A1870&lt;&gt;"",B1870=""),"FALTA LANÇAMENTO",
AND(B1870&lt;&gt;"",M1870=""),"FALTA O PEDIDO",
AND(M1870&lt;&gt;"",O1870=""),"FALTA NF",
O1870&lt;&gt;"","CONCLUÍDO")</f>
        <v>CONCLUÍDO</v>
      </c>
      <c r="R1870" s="33"/>
    </row>
    <row r="1871" spans="1:18" hidden="1">
      <c r="A1871" s="30">
        <v>46184</v>
      </c>
      <c r="B1871" s="30">
        <v>46196</v>
      </c>
      <c r="C1871" s="31">
        <v>8173200</v>
      </c>
      <c r="D1871" s="30" t="str">
        <f>IFERROR(VLOOKUP(Tabela5[[#This Row],[PREFIXO ]],Tabela4[#All],2,0),"CENTRO DE CUSTO")</f>
        <v>SEMI REBOQUE BASCULANTE RANDON</v>
      </c>
      <c r="E1871" s="33" t="s">
        <v>29</v>
      </c>
      <c r="F1871" s="31">
        <v>55901</v>
      </c>
      <c r="G1871" s="32">
        <v>1064</v>
      </c>
      <c r="H1871" s="32">
        <v>3123.73</v>
      </c>
      <c r="I1871" s="32">
        <f t="shared" si="30"/>
        <v>4187.7299999999996</v>
      </c>
      <c r="J1871" s="33" t="s">
        <v>1199</v>
      </c>
      <c r="K1871" s="33" t="s">
        <v>4402</v>
      </c>
      <c r="L1871" s="33" t="s">
        <v>4403</v>
      </c>
      <c r="M1871" s="33" t="s">
        <v>4404</v>
      </c>
      <c r="N1871" s="30">
        <v>46197</v>
      </c>
      <c r="O1871" s="33" t="s">
        <v>4405</v>
      </c>
      <c r="P1871" s="33" t="s">
        <v>4056</v>
      </c>
      <c r="Q1871" s="30" t="str" cm="1">
        <f t="array" ref="Q1871">_xlfn.IFS(
A1871="","",
AND(A1871&lt;&gt;"",B1871=""),"FALTA LANÇAMENTO",
AND(B1871&lt;&gt;"",M1871=""),"FALTA O PEDIDO",
AND(M1871&lt;&gt;"",O1871=""),"FALTA NF",
O1871&lt;&gt;"","CONCLUÍDO")</f>
        <v>CONCLUÍDO</v>
      </c>
      <c r="R1871" s="33"/>
    </row>
    <row r="1872" spans="1:18" hidden="1">
      <c r="A1872" s="30">
        <v>46184</v>
      </c>
      <c r="B1872" s="30">
        <v>46192</v>
      </c>
      <c r="C1872" s="31">
        <v>51521070</v>
      </c>
      <c r="D1872" s="30" t="str">
        <f>IFERROR(VLOOKUP(Tabela5[[#This Row],[PREFIXO ]],Tabela4[#All],2,0),"CENTRO DE CUSTO")</f>
        <v>COLHED ALGODÃO JOHN DEERE CP 690</v>
      </c>
      <c r="E1872" s="33" t="s">
        <v>17</v>
      </c>
      <c r="F1872" s="31">
        <v>44442</v>
      </c>
      <c r="G1872" s="32">
        <v>4604.4799999999996</v>
      </c>
      <c r="H1872" s="32">
        <v>51896.85</v>
      </c>
      <c r="I1872" s="32">
        <f t="shared" si="30"/>
        <v>56501.33</v>
      </c>
      <c r="J1872" s="33" t="s">
        <v>1123</v>
      </c>
      <c r="K1872" s="33" t="s">
        <v>4406</v>
      </c>
      <c r="L1872" s="33" t="s">
        <v>4407</v>
      </c>
      <c r="M1872" s="33" t="s">
        <v>4408</v>
      </c>
      <c r="N1872" s="30">
        <v>46194</v>
      </c>
      <c r="O1872" s="33" t="s">
        <v>4409</v>
      </c>
      <c r="P1872" s="33" t="s">
        <v>4410</v>
      </c>
      <c r="Q1872" s="30" t="str" cm="1">
        <f t="array" ref="Q1872">_xlfn.IFS(
A1872="","",
AND(A1872&lt;&gt;"",B1872=""),"FALTA LANÇAMENTO",
AND(B1872&lt;&gt;"",M1872=""),"FALTA O PEDIDO",
AND(M1872&lt;&gt;"",O1872=""),"FALTA NF",
O1872&lt;&gt;"","CONCLUÍDO")</f>
        <v>CONCLUÍDO</v>
      </c>
      <c r="R1872" s="33"/>
    </row>
    <row r="1873" spans="1:18" hidden="1">
      <c r="A1873" s="30">
        <v>46184</v>
      </c>
      <c r="B1873" s="30">
        <v>46192</v>
      </c>
      <c r="C1873" s="31">
        <v>51521045</v>
      </c>
      <c r="D1873" s="30" t="str">
        <f>IFERROR(VLOOKUP(Tabela5[[#This Row],[PREFIXO ]],Tabela4[#All],2,0),"CENTRO DE CUSTO")</f>
        <v>COLHED ALGODÃO JOHN DEERE CP 690</v>
      </c>
      <c r="E1873" s="33" t="s">
        <v>17</v>
      </c>
      <c r="F1873" s="31">
        <v>44435</v>
      </c>
      <c r="G1873" s="32">
        <v>6938.12</v>
      </c>
      <c r="H1873" s="32">
        <v>51896.85</v>
      </c>
      <c r="I1873" s="32">
        <f t="shared" si="30"/>
        <v>58834.97</v>
      </c>
      <c r="J1873" s="33" t="s">
        <v>1123</v>
      </c>
      <c r="K1873" s="33" t="s">
        <v>4411</v>
      </c>
      <c r="L1873" s="33" t="s">
        <v>4412</v>
      </c>
      <c r="M1873" s="33" t="s">
        <v>4413</v>
      </c>
      <c r="N1873" s="30">
        <v>46194</v>
      </c>
      <c r="O1873" s="33" t="s">
        <v>4414</v>
      </c>
      <c r="P1873" s="33" t="s">
        <v>3576</v>
      </c>
      <c r="Q1873" s="30" t="str" cm="1">
        <f t="array" ref="Q1873">_xlfn.IFS(
A1873="","",
AND(A1873&lt;&gt;"",B1873=""),"FALTA LANÇAMENTO",
AND(B1873&lt;&gt;"",M1873=""),"FALTA O PEDIDO",
AND(M1873&lt;&gt;"",O1873=""),"FALTA NF",
O1873&lt;&gt;"","CONCLUÍDO")</f>
        <v>CONCLUÍDO</v>
      </c>
      <c r="R1873" s="33"/>
    </row>
    <row r="1874" spans="1:18" hidden="1">
      <c r="A1874" s="30">
        <v>46184</v>
      </c>
      <c r="B1874" s="30">
        <v>46192</v>
      </c>
      <c r="C1874" s="31">
        <v>81521193</v>
      </c>
      <c r="D1874" s="30" t="str">
        <f>IFERROR(VLOOKUP(Tabela5[[#This Row],[PREFIXO ]],Tabela4[#All],2,0),"CENTRO DE CUSTO")</f>
        <v>TERRACEADOR ECO AGRICOLA ELEVA 42</v>
      </c>
      <c r="E1874" s="33" t="s">
        <v>96</v>
      </c>
      <c r="F1874" s="31" t="s">
        <v>4415</v>
      </c>
      <c r="G1874" s="32">
        <v>3411</v>
      </c>
      <c r="H1874" s="32">
        <v>2403.0300000000002</v>
      </c>
      <c r="I1874" s="32">
        <f t="shared" si="30"/>
        <v>5814.0300000000007</v>
      </c>
      <c r="J1874" s="33" t="s">
        <v>1199</v>
      </c>
      <c r="K1874" s="33" t="s">
        <v>4416</v>
      </c>
      <c r="L1874" s="33" t="s">
        <v>4417</v>
      </c>
      <c r="M1874" s="33" t="s">
        <v>4418</v>
      </c>
      <c r="N1874" s="30">
        <v>46192</v>
      </c>
      <c r="O1874" s="33" t="s">
        <v>4419</v>
      </c>
      <c r="P1874" s="33" t="s">
        <v>3576</v>
      </c>
      <c r="Q1874" s="30" t="str" cm="1">
        <f t="array" ref="Q1874">_xlfn.IFS(
A1874="","",
AND(A1874&lt;&gt;"",B1874=""),"FALTA LANÇAMENTO",
AND(B1874&lt;&gt;"",M1874=""),"FALTA O PEDIDO",
AND(M1874&lt;&gt;"",O1874=""),"FALTA NF",
O1874&lt;&gt;"","CONCLUÍDO")</f>
        <v>CONCLUÍDO</v>
      </c>
      <c r="R1874" s="33"/>
    </row>
    <row r="1875" spans="1:18" hidden="1">
      <c r="A1875" s="30">
        <v>46184</v>
      </c>
      <c r="B1875" s="30">
        <v>46192</v>
      </c>
      <c r="C1875" s="31">
        <v>51521060</v>
      </c>
      <c r="D1875" s="30" t="str">
        <f>IFERROR(VLOOKUP(Tabela5[[#This Row],[PREFIXO ]],Tabela4[#All],2,0),"CENTRO DE CUSTO")</f>
        <v>COLHED ALGODÃO JOHN DEERE CP 690</v>
      </c>
      <c r="E1875" s="33" t="s">
        <v>17</v>
      </c>
      <c r="F1875" s="31">
        <v>44439</v>
      </c>
      <c r="G1875" s="32">
        <v>4350</v>
      </c>
      <c r="H1875" s="32">
        <v>51896.85</v>
      </c>
      <c r="I1875" s="32">
        <f t="shared" si="30"/>
        <v>56246.85</v>
      </c>
      <c r="J1875" s="33" t="s">
        <v>1123</v>
      </c>
      <c r="K1875" s="33" t="s">
        <v>4420</v>
      </c>
      <c r="L1875" s="33" t="s">
        <v>4421</v>
      </c>
      <c r="M1875" s="33" t="s">
        <v>4422</v>
      </c>
      <c r="N1875" s="30">
        <v>46195</v>
      </c>
      <c r="O1875" s="33" t="s">
        <v>4423</v>
      </c>
      <c r="P1875" s="33" t="s">
        <v>4056</v>
      </c>
      <c r="Q1875" s="30" t="str" cm="1">
        <f t="array" ref="Q1875">_xlfn.IFS(
A1875="","",
AND(A1875&lt;&gt;"",B1875=""),"FALTA LANÇAMENTO",
AND(B1875&lt;&gt;"",M1875=""),"FALTA O PEDIDO",
AND(M1875&lt;&gt;"",O1875=""),"FALTA NF",
O1875&lt;&gt;"","CONCLUÍDO")</f>
        <v>CONCLUÍDO</v>
      </c>
      <c r="R1875" s="33"/>
    </row>
    <row r="1876" spans="1:18" hidden="1">
      <c r="A1876" s="30">
        <v>46184</v>
      </c>
      <c r="B1876" s="30">
        <v>46197</v>
      </c>
      <c r="C1876" s="31">
        <v>51521100</v>
      </c>
      <c r="D1876" s="30" t="str">
        <f>IFERROR(VLOOKUP(Tabela5[[#This Row],[PREFIXO ]],Tabela4[#All],2,0),"CENTRO DE CUSTO")</f>
        <v>COLHEIT DE GRÃOS N.HOLLAND CR 8.90</v>
      </c>
      <c r="E1876" s="33" t="s">
        <v>218</v>
      </c>
      <c r="F1876" s="31">
        <v>26803</v>
      </c>
      <c r="G1876" s="32">
        <v>18517.5</v>
      </c>
      <c r="H1876" s="32">
        <v>69784.17</v>
      </c>
      <c r="I1876" s="32">
        <f t="shared" si="30"/>
        <v>88301.67</v>
      </c>
      <c r="J1876" s="33" t="s">
        <v>1123</v>
      </c>
      <c r="K1876" s="33" t="s">
        <v>4424</v>
      </c>
      <c r="L1876" s="33" t="s">
        <v>4425</v>
      </c>
      <c r="M1876" s="33" t="s">
        <v>4426</v>
      </c>
      <c r="N1876" s="30">
        <v>46198</v>
      </c>
      <c r="O1876" s="33" t="s">
        <v>4427</v>
      </c>
      <c r="P1876" s="33" t="s">
        <v>4410</v>
      </c>
      <c r="Q1876" s="30" t="str" cm="1">
        <f t="array" ref="Q1876">_xlfn.IFS(
A1876="","",
AND(A1876&lt;&gt;"",B1876=""),"FALTA LANÇAMENTO",
AND(B1876&lt;&gt;"",M1876=""),"FALTA O PEDIDO",
AND(M1876&lt;&gt;"",O1876=""),"FALTA NF",
O1876&lt;&gt;"","CONCLUÍDO")</f>
        <v>CONCLUÍDO</v>
      </c>
      <c r="R1876" s="33"/>
    </row>
    <row r="1877" spans="1:18" hidden="1">
      <c r="A1877" s="30">
        <v>46184</v>
      </c>
      <c r="B1877" s="30">
        <v>46184</v>
      </c>
      <c r="C1877" s="31">
        <v>22080166</v>
      </c>
      <c r="D1877" s="30" t="str">
        <f>IFERROR(VLOOKUP(Tabela5[[#This Row],[PREFIXO ]],Tabela4[#All],2,0),"CENTRO DE CUSTO")</f>
        <v>CENTRO DE CUSTO</v>
      </c>
      <c r="E1877" s="33" t="s">
        <v>39</v>
      </c>
      <c r="F1877" s="31">
        <v>22080166</v>
      </c>
      <c r="G1877" s="32">
        <v>1900</v>
      </c>
      <c r="H1877" s="32"/>
      <c r="I1877" s="32">
        <f t="shared" si="30"/>
        <v>1900</v>
      </c>
      <c r="J1877" s="18" t="s">
        <v>1199</v>
      </c>
      <c r="K1877" s="33" t="s">
        <v>4428</v>
      </c>
      <c r="L1877" s="33" t="s">
        <v>4429</v>
      </c>
      <c r="M1877" s="33" t="s">
        <v>4430</v>
      </c>
      <c r="N1877" s="30">
        <v>46185</v>
      </c>
      <c r="O1877" s="33" t="s">
        <v>4431</v>
      </c>
      <c r="P1877" s="33" t="s">
        <v>3291</v>
      </c>
      <c r="Q1877" s="30" t="str" cm="1">
        <f t="array" ref="Q1877">_xlfn.IFS(
A1877="","",
AND(A1877&lt;&gt;"",B1877=""),"FALTA LANÇAMENTO",
AND(B1877&lt;&gt;"",M1877=""),"FALTA O PEDIDO",
AND(M1877&lt;&gt;"",O1877=""),"FALTA NF",
O1877&lt;&gt;"","CONCLUÍDO")</f>
        <v>CONCLUÍDO</v>
      </c>
      <c r="R1877" s="33"/>
    </row>
    <row r="1878" spans="1:18" hidden="1">
      <c r="A1878" s="30">
        <v>46185</v>
      </c>
      <c r="B1878" s="30">
        <v>46190</v>
      </c>
      <c r="C1878" s="31">
        <v>61521081</v>
      </c>
      <c r="D1878" s="30" t="str">
        <f>IFERROR(VLOOKUP(Tabela5[[#This Row],[PREFIXO ]],Tabela4[#All],2,0),"CENTRO DE CUSTO")</f>
        <v>CAV MEC EXT PES VOLVO FH 540</v>
      </c>
      <c r="E1878" s="33" t="s">
        <v>353</v>
      </c>
      <c r="F1878" s="31">
        <v>3499269</v>
      </c>
      <c r="G1878" s="32">
        <v>105.1</v>
      </c>
      <c r="H1878" s="32">
        <v>6489.29</v>
      </c>
      <c r="I1878" s="32">
        <f t="shared" si="30"/>
        <v>6594.39</v>
      </c>
      <c r="J1878" s="18" t="s">
        <v>1199</v>
      </c>
      <c r="K1878" s="33" t="s">
        <v>4432</v>
      </c>
      <c r="L1878" s="33" t="s">
        <v>4433</v>
      </c>
      <c r="M1878" s="33">
        <v>41890745</v>
      </c>
      <c r="N1878" s="30">
        <v>46191</v>
      </c>
      <c r="O1878" s="33" t="s">
        <v>4434</v>
      </c>
      <c r="P1878" s="33" t="s">
        <v>3576</v>
      </c>
      <c r="Q1878" s="30" t="str" cm="1">
        <f t="array" ref="Q1878">_xlfn.IFS(
A1878="","",
AND(A1878&lt;&gt;"",B1878=""),"FALTA LANÇAMENTO",
AND(B1878&lt;&gt;"",M1878=""),"FALTA O PEDIDO",
AND(M1878&lt;&gt;"",O1878=""),"FALTA NF",
O1878&lt;&gt;"","CONCLUÍDO")</f>
        <v>CONCLUÍDO</v>
      </c>
      <c r="R1878" s="33"/>
    </row>
    <row r="1879" spans="1:18" hidden="1">
      <c r="A1879" s="30">
        <v>46185</v>
      </c>
      <c r="B1879" s="30">
        <v>46185</v>
      </c>
      <c r="C1879" s="31">
        <v>500580325</v>
      </c>
      <c r="D1879" s="30" t="str">
        <f>IFERROR(VLOOKUP(Tabela5[[#This Row],[PREFIXO ]],Tabela4[#All],2,0),"CENTRO DE CUSTO")</f>
        <v>Colheitad. Alg Auto</v>
      </c>
      <c r="E1879" s="33" t="s">
        <v>246</v>
      </c>
      <c r="F1879" s="31">
        <v>500580325</v>
      </c>
      <c r="G1879" s="32">
        <v>10000</v>
      </c>
      <c r="H1879" s="32"/>
      <c r="I1879" s="32">
        <f t="shared" si="30"/>
        <v>10000</v>
      </c>
      <c r="J1879" s="33" t="s">
        <v>1123</v>
      </c>
      <c r="K1879" s="33" t="s">
        <v>4435</v>
      </c>
      <c r="L1879" s="33" t="s">
        <v>4036</v>
      </c>
      <c r="M1879" s="33" t="s">
        <v>4037</v>
      </c>
      <c r="N1879" s="30">
        <v>46189</v>
      </c>
      <c r="O1879" s="33" t="s">
        <v>2110</v>
      </c>
      <c r="P1879" s="33" t="s">
        <v>4038</v>
      </c>
      <c r="Q1879" s="30" t="str" cm="1">
        <f t="array" ref="Q1879">_xlfn.IFS(
A1879="","",
AND(A1879&lt;&gt;"",B1879=""),"FALTA LANÇAMENTO",
AND(B1879&lt;&gt;"",M1879=""),"FALTA O PEDIDO",
AND(M1879&lt;&gt;"",O1879=""),"FALTA NF",
O1879&lt;&gt;"","CONCLUÍDO")</f>
        <v>CONCLUÍDO</v>
      </c>
      <c r="R1879" s="33"/>
    </row>
    <row r="1880" spans="1:18" hidden="1">
      <c r="A1880" s="30">
        <v>46185</v>
      </c>
      <c r="B1880" s="30">
        <v>46185</v>
      </c>
      <c r="C1880" s="31">
        <v>5005800579</v>
      </c>
      <c r="D1880" s="30" t="str">
        <f>IFERROR(VLOOKUP(Tabela5[[#This Row],[PREFIXO ]],Tabela4[#All],2,0),"CENTRO DE CUSTO")</f>
        <v>CENTRO DE CUSTO</v>
      </c>
      <c r="E1880" s="33" t="s">
        <v>224</v>
      </c>
      <c r="F1880" s="31" t="s">
        <v>4436</v>
      </c>
      <c r="G1880" s="32">
        <v>5890</v>
      </c>
      <c r="H1880" s="32"/>
      <c r="I1880" s="32">
        <f t="shared" si="30"/>
        <v>5890</v>
      </c>
      <c r="J1880" s="18" t="s">
        <v>3654</v>
      </c>
      <c r="K1880" s="33"/>
      <c r="L1880" s="33" t="s">
        <v>4437</v>
      </c>
      <c r="M1880" s="33" t="s">
        <v>4438</v>
      </c>
      <c r="N1880" s="30">
        <v>46190</v>
      </c>
      <c r="O1880" s="33" t="s">
        <v>3706</v>
      </c>
      <c r="P1880" s="33" t="s">
        <v>3869</v>
      </c>
      <c r="Q1880" s="30" t="str" cm="1">
        <f t="array" ref="Q1880">_xlfn.IFS(
A1880="","",
AND(A1880&lt;&gt;"",B1880=""),"FALTA LANÇAMENTO",
AND(B1880&lt;&gt;"",M1880=""),"FALTA O PEDIDO",
AND(M1880&lt;&gt;"",O1880=""),"FALTA NF",
O1880&lt;&gt;"","CONCLUÍDO")</f>
        <v>CONCLUÍDO</v>
      </c>
      <c r="R1880" s="33"/>
    </row>
    <row r="1881" spans="1:18" hidden="1">
      <c r="A1881" s="30">
        <v>46188</v>
      </c>
      <c r="B1881" s="30">
        <v>46196</v>
      </c>
      <c r="C1881" s="31">
        <v>6173012</v>
      </c>
      <c r="D1881" s="30" t="str">
        <f>IFERROR(VLOOKUP(Tabela5[[#This Row],[PREFIXO ]],Tabela4[#All],2,0),"CENTRO DE CUSTO")</f>
        <v>CAM TRANSP LIXO MERC BENZ MB 1620</v>
      </c>
      <c r="E1881" s="33" t="s">
        <v>29</v>
      </c>
      <c r="F1881" s="31">
        <v>56070</v>
      </c>
      <c r="G1881" s="32">
        <v>80</v>
      </c>
      <c r="H1881" s="32">
        <v>733.2</v>
      </c>
      <c r="I1881" s="32">
        <f t="shared" si="30"/>
        <v>813.2</v>
      </c>
      <c r="J1881" s="33" t="s">
        <v>1199</v>
      </c>
      <c r="K1881" s="33" t="s">
        <v>4439</v>
      </c>
      <c r="L1881" s="33" t="s">
        <v>4440</v>
      </c>
      <c r="M1881" s="33" t="s">
        <v>4441</v>
      </c>
      <c r="N1881" s="30">
        <v>46196</v>
      </c>
      <c r="O1881" s="33" t="s">
        <v>4442</v>
      </c>
      <c r="P1881" s="33" t="s">
        <v>3576</v>
      </c>
      <c r="Q1881" s="30" t="str" cm="1">
        <f t="array" ref="Q1881">_xlfn.IFS(
A1881="","",
AND(A1881&lt;&gt;"",B1881=""),"FALTA LANÇAMENTO",
AND(B1881&lt;&gt;"",M1881=""),"FALTA O PEDIDO",
AND(M1881&lt;&gt;"",O1881=""),"FALTA NF",
O1881&lt;&gt;"","CONCLUÍDO")</f>
        <v>CONCLUÍDO</v>
      </c>
      <c r="R1881" s="33"/>
    </row>
    <row r="1882" spans="1:18" hidden="1">
      <c r="A1882" s="30">
        <v>46188</v>
      </c>
      <c r="B1882" s="30">
        <v>46192</v>
      </c>
      <c r="C1882" s="31">
        <v>51521057</v>
      </c>
      <c r="D1882" s="30" t="str">
        <f>IFERROR(VLOOKUP(Tabela5[[#This Row],[PREFIXO ]],Tabela4[#All],2,0),"CENTRO DE CUSTO")</f>
        <v>COLHED ALGODÃO JOHN DEERE CP 690</v>
      </c>
      <c r="E1882" s="33" t="s">
        <v>17</v>
      </c>
      <c r="F1882" s="31">
        <v>44545</v>
      </c>
      <c r="G1882" s="32">
        <v>2000</v>
      </c>
      <c r="H1882" s="32">
        <v>2298.62</v>
      </c>
      <c r="I1882" s="32">
        <f t="shared" si="30"/>
        <v>4298.62</v>
      </c>
      <c r="J1882" s="33" t="s">
        <v>1123</v>
      </c>
      <c r="K1882" s="33" t="s">
        <v>4443</v>
      </c>
      <c r="L1882" s="33" t="s">
        <v>4444</v>
      </c>
      <c r="M1882" s="33" t="s">
        <v>4445</v>
      </c>
      <c r="N1882" s="30">
        <v>46192</v>
      </c>
      <c r="O1882" s="33" t="s">
        <v>4446</v>
      </c>
      <c r="P1882" s="33" t="s">
        <v>3576</v>
      </c>
      <c r="Q1882" s="30" t="str" cm="1">
        <f t="array" ref="Q1882">_xlfn.IFS(
A1882="","",
AND(A1882&lt;&gt;"",B1882=""),"FALTA LANÇAMENTO",
AND(B1882&lt;&gt;"",M1882=""),"FALTA O PEDIDO",
AND(M1882&lt;&gt;"",O1882=""),"FALTA NF",
O1882&lt;&gt;"","CONCLUÍDO")</f>
        <v>CONCLUÍDO</v>
      </c>
      <c r="R1882" s="33"/>
    </row>
    <row r="1883" spans="1:18" hidden="1">
      <c r="A1883" s="30">
        <v>46188</v>
      </c>
      <c r="B1883" s="30">
        <v>46192</v>
      </c>
      <c r="C1883" s="31">
        <v>51519061</v>
      </c>
      <c r="D1883" s="30" t="str">
        <f>IFERROR(VLOOKUP(Tabela5[[#This Row],[PREFIXO ]],Tabela4[#All],2,0),"CENTRO DE CUSTO")</f>
        <v>CENTRO DE CUSTO</v>
      </c>
      <c r="E1883" s="33" t="s">
        <v>17</v>
      </c>
      <c r="F1883" s="31">
        <v>44680</v>
      </c>
      <c r="G1883" s="32">
        <v>3776.3</v>
      </c>
      <c r="H1883" s="32">
        <v>2177.64</v>
      </c>
      <c r="I1883" s="32">
        <f t="shared" si="30"/>
        <v>5953.9400000000005</v>
      </c>
      <c r="J1883" s="33" t="s">
        <v>1123</v>
      </c>
      <c r="K1883" s="33" t="s">
        <v>4447</v>
      </c>
      <c r="L1883" s="33" t="s">
        <v>4448</v>
      </c>
      <c r="M1883" s="33" t="s">
        <v>4449</v>
      </c>
      <c r="N1883" s="30">
        <v>46192</v>
      </c>
      <c r="O1883" s="33" t="s">
        <v>4450</v>
      </c>
      <c r="P1883" s="33" t="s">
        <v>3576</v>
      </c>
      <c r="Q1883" s="30" t="str" cm="1">
        <f t="array" ref="Q1883">_xlfn.IFS(
A1883="","",
AND(A1883&lt;&gt;"",B1883=""),"FALTA LANÇAMENTO",
AND(B1883&lt;&gt;"",M1883=""),"FALTA O PEDIDO",
AND(M1883&lt;&gt;"",O1883=""),"FALTA NF",
O1883&lt;&gt;"","CONCLUÍDO")</f>
        <v>CONCLUÍDO</v>
      </c>
      <c r="R1883" s="33"/>
    </row>
    <row r="1884" spans="1:18" hidden="1">
      <c r="A1884" s="30">
        <v>46188</v>
      </c>
      <c r="B1884" s="30">
        <v>46192</v>
      </c>
      <c r="C1884" s="31">
        <v>51519055</v>
      </c>
      <c r="D1884" s="30" t="str">
        <f>IFERROR(VLOOKUP(Tabela5[[#This Row],[PREFIXO ]],Tabela4[#All],2,0),"CENTRO DE CUSTO")</f>
        <v>COLHED ALGODÃO JOHN DEERE CP 770</v>
      </c>
      <c r="E1884" s="33" t="s">
        <v>17</v>
      </c>
      <c r="F1884" s="31">
        <v>44681</v>
      </c>
      <c r="G1884" s="32">
        <v>2870</v>
      </c>
      <c r="H1884" s="32">
        <v>2177.64</v>
      </c>
      <c r="I1884" s="32">
        <f t="shared" si="30"/>
        <v>5047.6399999999994</v>
      </c>
      <c r="J1884" s="18" t="s">
        <v>1123</v>
      </c>
      <c r="K1884" s="33" t="s">
        <v>4451</v>
      </c>
      <c r="L1884" s="33" t="s">
        <v>4452</v>
      </c>
      <c r="M1884" s="33" t="s">
        <v>4453</v>
      </c>
      <c r="N1884" s="30">
        <v>46202</v>
      </c>
      <c r="O1884" s="33" t="s">
        <v>4454</v>
      </c>
      <c r="P1884" s="33" t="s">
        <v>4455</v>
      </c>
      <c r="Q1884" s="30" t="str" cm="1">
        <f t="array" ref="Q1884">_xlfn.IFS(
A1884="","",
AND(A1884&lt;&gt;"",B1884=""),"FALTA LANÇAMENTO",
AND(B1884&lt;&gt;"",M1884=""),"FALTA O PEDIDO",
AND(M1884&lt;&gt;"",O1884=""),"FALTA NF",
O1884&lt;&gt;"","CONCLUÍDO")</f>
        <v>CONCLUÍDO</v>
      </c>
      <c r="R1884" s="33"/>
    </row>
    <row r="1885" spans="1:18" hidden="1">
      <c r="A1885" s="30">
        <v>46188</v>
      </c>
      <c r="B1885" s="30">
        <v>46192</v>
      </c>
      <c r="C1885" s="31">
        <v>51521044</v>
      </c>
      <c r="D1885" s="30" t="str">
        <f>IFERROR(VLOOKUP(Tabela5[[#This Row],[PREFIXO ]],Tabela4[#All],2,0),"CENTRO DE CUSTO")</f>
        <v>COLHED ALGODÃO JOHN DEERE CP 690</v>
      </c>
      <c r="E1885" s="33" t="s">
        <v>17</v>
      </c>
      <c r="F1885" s="31">
        <v>44636</v>
      </c>
      <c r="G1885" s="32">
        <v>3427.02</v>
      </c>
      <c r="H1885" s="32">
        <v>2177.64</v>
      </c>
      <c r="I1885" s="32">
        <f t="shared" si="30"/>
        <v>5604.66</v>
      </c>
      <c r="J1885" s="18" t="s">
        <v>1123</v>
      </c>
      <c r="K1885" s="33" t="s">
        <v>4456</v>
      </c>
      <c r="L1885" s="33" t="s">
        <v>4457</v>
      </c>
      <c r="M1885" s="33" t="s">
        <v>4458</v>
      </c>
      <c r="N1885" s="30">
        <v>46195</v>
      </c>
      <c r="O1885" s="33" t="s">
        <v>4459</v>
      </c>
      <c r="P1885" s="33" t="s">
        <v>3576</v>
      </c>
      <c r="Q1885" s="30" t="str" cm="1">
        <f t="array" ref="Q1885">_xlfn.IFS(
A1885="","",
AND(A1885&lt;&gt;"",B1885=""),"FALTA LANÇAMENTO",
AND(B1885&lt;&gt;"",M1885=""),"FALTA O PEDIDO",
AND(M1885&lt;&gt;"",O1885=""),"FALTA NF",
O1885&lt;&gt;"","CONCLUÍDO")</f>
        <v>CONCLUÍDO</v>
      </c>
      <c r="R1885" s="33"/>
    </row>
    <row r="1886" spans="1:18" hidden="1">
      <c r="A1886" s="30">
        <v>46188</v>
      </c>
      <c r="B1886" s="30">
        <v>46192</v>
      </c>
      <c r="C1886" s="31">
        <v>51521064</v>
      </c>
      <c r="D1886" s="30" t="str">
        <f>IFERROR(VLOOKUP(Tabela5[[#This Row],[PREFIXO ]],Tabela4[#All],2,0),"CENTRO DE CUSTO")</f>
        <v>COLHED ALGODÃO JOHN DEERE CP 690</v>
      </c>
      <c r="E1886" s="33" t="s">
        <v>17</v>
      </c>
      <c r="F1886" s="31">
        <v>44635</v>
      </c>
      <c r="G1886" s="32">
        <v>3110.34</v>
      </c>
      <c r="H1886" s="32">
        <v>2177.64</v>
      </c>
      <c r="I1886" s="32">
        <f t="shared" si="30"/>
        <v>5287.98</v>
      </c>
      <c r="J1886" s="18" t="s">
        <v>1123</v>
      </c>
      <c r="K1886" s="33" t="s">
        <v>4460</v>
      </c>
      <c r="L1886" s="33" t="s">
        <v>4461</v>
      </c>
      <c r="M1886" s="33" t="s">
        <v>4462</v>
      </c>
      <c r="N1886" s="30">
        <v>46195</v>
      </c>
      <c r="O1886" s="33" t="s">
        <v>4463</v>
      </c>
      <c r="P1886" s="33" t="s">
        <v>3576</v>
      </c>
      <c r="Q1886" s="30" t="str" cm="1">
        <f t="array" ref="Q1886">_xlfn.IFS(
A1886="","",
AND(A1886&lt;&gt;"",B1886=""),"FALTA LANÇAMENTO",
AND(B1886&lt;&gt;"",M1886=""),"FALTA O PEDIDO",
AND(M1886&lt;&gt;"",O1886=""),"FALTA NF",
O1886&lt;&gt;"","CONCLUÍDO")</f>
        <v>CONCLUÍDO</v>
      </c>
      <c r="R1886" s="33"/>
    </row>
    <row r="1887" spans="1:18" hidden="1">
      <c r="A1887" s="30">
        <v>46188</v>
      </c>
      <c r="B1887" s="30">
        <v>46189</v>
      </c>
      <c r="C1887" s="31">
        <v>65048072</v>
      </c>
      <c r="D1887" s="30" t="str">
        <f>IFERROR(VLOOKUP(Tabela5[[#This Row],[PREFIXO ]],Tabela4[#All],2,0),"CENTRO DE CUSTO")</f>
        <v>CENTRO DE CUSTO</v>
      </c>
      <c r="E1887" s="33" t="s">
        <v>68</v>
      </c>
      <c r="F1887" s="31">
        <v>2232</v>
      </c>
      <c r="G1887" s="32">
        <v>607.1</v>
      </c>
      <c r="H1887" s="32">
        <v>372.9</v>
      </c>
      <c r="I1887" s="32">
        <f t="shared" si="30"/>
        <v>980</v>
      </c>
      <c r="J1887" s="18" t="s">
        <v>1199</v>
      </c>
      <c r="K1887" s="33" t="s">
        <v>4464</v>
      </c>
      <c r="L1887" s="33" t="s">
        <v>4465</v>
      </c>
      <c r="M1887" s="33">
        <v>41889428</v>
      </c>
      <c r="N1887" s="30">
        <v>46190</v>
      </c>
      <c r="O1887" s="33" t="s">
        <v>4466</v>
      </c>
      <c r="P1887" s="33" t="s">
        <v>4467</v>
      </c>
      <c r="Q1887" s="30" t="str" cm="1">
        <f t="array" ref="Q1887">_xlfn.IFS(
A1887="","",
AND(A1887&lt;&gt;"",B1887=""),"FALTA LANÇAMENTO",
AND(B1887&lt;&gt;"",M1887=""),"FALTA O PEDIDO",
AND(M1887&lt;&gt;"",O1887=""),"FALTA NF",
O1887&lt;&gt;"","CONCLUÍDO")</f>
        <v>CONCLUÍDO</v>
      </c>
      <c r="R1887" s="33"/>
    </row>
    <row r="1888" spans="1:18" hidden="1">
      <c r="A1888" s="30">
        <v>46188</v>
      </c>
      <c r="B1888" s="30">
        <v>46195</v>
      </c>
      <c r="C1888" s="31">
        <v>13130037</v>
      </c>
      <c r="D1888" s="30" t="str">
        <f>IFERROR(VLOOKUP(Tabela5[[#This Row],[PREFIXO ]],Tabela4[#All],2,0),"CENTRO DE CUSTO")</f>
        <v>PULV AUTOPROP JOHN DEERE M4030</v>
      </c>
      <c r="E1888" s="33" t="s">
        <v>67</v>
      </c>
      <c r="F1888" s="31">
        <v>185</v>
      </c>
      <c r="G1888" s="32">
        <v>1450.98</v>
      </c>
      <c r="H1888" s="32"/>
      <c r="I1888" s="32">
        <f t="shared" si="30"/>
        <v>1450.98</v>
      </c>
      <c r="J1888" s="18" t="s">
        <v>1080</v>
      </c>
      <c r="K1888" s="33" t="s">
        <v>4468</v>
      </c>
      <c r="L1888" s="33" t="s">
        <v>4469</v>
      </c>
      <c r="M1888" s="33">
        <v>41894188</v>
      </c>
      <c r="N1888" s="30">
        <v>46196</v>
      </c>
      <c r="O1888" s="33" t="s">
        <v>4242</v>
      </c>
      <c r="P1888" s="33" t="s">
        <v>3576</v>
      </c>
      <c r="Q1888" s="30" t="str" cm="1">
        <f t="array" ref="Q1888">_xlfn.IFS(
A1888="","",
AND(A1888&lt;&gt;"",B1888=""),"FALTA LANÇAMENTO",
AND(B1888&lt;&gt;"",M1888=""),"FALTA O PEDIDO",
AND(M1888&lt;&gt;"",O1888=""),"FALTA NF",
O1888&lt;&gt;"","CONCLUÍDO")</f>
        <v>CONCLUÍDO</v>
      </c>
      <c r="R1888" s="33"/>
    </row>
    <row r="1889" spans="1:18" hidden="1">
      <c r="A1889" s="30">
        <v>46188</v>
      </c>
      <c r="B1889" s="30">
        <v>46195</v>
      </c>
      <c r="C1889" s="31" t="s">
        <v>4470</v>
      </c>
      <c r="D1889" s="30" t="str">
        <f>IFERROR(VLOOKUP(Tabela5[[#This Row],[PREFIXO ]],Tabela4[#All],2,0),"CENTRO DE CUSTO")</f>
        <v>CENTRO DE CUSTO</v>
      </c>
      <c r="E1889" s="33" t="s">
        <v>67</v>
      </c>
      <c r="F1889" s="31">
        <v>186</v>
      </c>
      <c r="G1889" s="32">
        <v>2112.1999999999998</v>
      </c>
      <c r="H1889" s="32"/>
      <c r="I1889" s="32">
        <f t="shared" si="30"/>
        <v>2112.1999999999998</v>
      </c>
      <c r="J1889" s="18" t="s">
        <v>1080</v>
      </c>
      <c r="K1889" s="33" t="s">
        <v>4471</v>
      </c>
      <c r="L1889" s="33" t="s">
        <v>4469</v>
      </c>
      <c r="M1889" s="33">
        <v>41894188</v>
      </c>
      <c r="N1889" s="30">
        <v>46196</v>
      </c>
      <c r="O1889" s="33" t="s">
        <v>4242</v>
      </c>
      <c r="P1889" s="33" t="s">
        <v>3576</v>
      </c>
      <c r="Q1889" s="30" t="str" cm="1">
        <f t="array" ref="Q1889">_xlfn.IFS(
A1889="","",
AND(A1889&lt;&gt;"",B1889=""),"FALTA LANÇAMENTO",
AND(B1889&lt;&gt;"",M1889=""),"FALTA O PEDIDO",
AND(M1889&lt;&gt;"",O1889=""),"FALTA NF",
O1889&lt;&gt;"","CONCLUÍDO")</f>
        <v>CONCLUÍDO</v>
      </c>
      <c r="R1889" s="33"/>
    </row>
    <row r="1890" spans="1:18" hidden="1">
      <c r="A1890" s="30">
        <v>46188</v>
      </c>
      <c r="B1890" s="30">
        <v>46195</v>
      </c>
      <c r="C1890" s="31">
        <v>31521034</v>
      </c>
      <c r="D1890" s="30" t="str">
        <f>IFERROR(VLOOKUP(Tabela5[[#This Row],[PREFIXO ]],Tabela4[#All],2,0),"CENTRO DE CUSTO")</f>
        <v>ADUB AUTOPROP KUHN ACCURA ST 7000</v>
      </c>
      <c r="E1890" s="33" t="s">
        <v>67</v>
      </c>
      <c r="F1890" s="31">
        <v>187</v>
      </c>
      <c r="G1890" s="32">
        <v>1800</v>
      </c>
      <c r="H1890" s="32"/>
      <c r="I1890" s="32">
        <f t="shared" si="30"/>
        <v>1800</v>
      </c>
      <c r="J1890" s="18" t="s">
        <v>1080</v>
      </c>
      <c r="K1890" s="33" t="s">
        <v>4472</v>
      </c>
      <c r="L1890" s="33" t="s">
        <v>4469</v>
      </c>
      <c r="M1890" s="33">
        <v>41894188</v>
      </c>
      <c r="N1890" s="30">
        <v>46196</v>
      </c>
      <c r="O1890" s="33" t="s">
        <v>4242</v>
      </c>
      <c r="P1890" s="33" t="s">
        <v>3576</v>
      </c>
      <c r="Q1890" s="30" t="str" cm="1">
        <f t="array" ref="Q1890">_xlfn.IFS(
A1890="","",
AND(A1890&lt;&gt;"",B1890=""),"FALTA LANÇAMENTO",
AND(B1890&lt;&gt;"",M1890=""),"FALTA O PEDIDO",
AND(M1890&lt;&gt;"",O1890=""),"FALTA NF",
O1890&lt;&gt;"","CONCLUÍDO")</f>
        <v>CONCLUÍDO</v>
      </c>
      <c r="R1890" s="33"/>
    </row>
    <row r="1891" spans="1:18" hidden="1">
      <c r="A1891" s="30">
        <v>46188</v>
      </c>
      <c r="B1891" s="30">
        <v>46195</v>
      </c>
      <c r="C1891" s="31">
        <v>15430003</v>
      </c>
      <c r="D1891" s="30" t="str">
        <f>IFERROR(VLOOKUP(Tabela5[[#This Row],[PREFIXO ]],Tabela4[#All],2,0),"CENTRO DE CUSTO")</f>
        <v>ATOMIZADOR TEC SPRAY ATOMAX</v>
      </c>
      <c r="E1891" s="33" t="s">
        <v>67</v>
      </c>
      <c r="F1891" s="31">
        <v>188</v>
      </c>
      <c r="G1891" s="32">
        <v>1800</v>
      </c>
      <c r="H1891" s="32"/>
      <c r="I1891" s="32">
        <f t="shared" si="30"/>
        <v>1800</v>
      </c>
      <c r="J1891" s="33" t="s">
        <v>1080</v>
      </c>
      <c r="K1891" s="33" t="s">
        <v>4473</v>
      </c>
      <c r="L1891" s="33" t="s">
        <v>4469</v>
      </c>
      <c r="M1891" s="33">
        <v>41894188</v>
      </c>
      <c r="N1891" s="30">
        <v>46196</v>
      </c>
      <c r="O1891" s="33" t="s">
        <v>4242</v>
      </c>
      <c r="P1891" s="33" t="s">
        <v>3576</v>
      </c>
      <c r="Q1891" s="30" t="str" cm="1">
        <f t="array" ref="Q1891">_xlfn.IFS(
A1891="","",
AND(A1891&lt;&gt;"",B1891=""),"FALTA LANÇAMENTO",
AND(B1891&lt;&gt;"",M1891=""),"FALTA O PEDIDO",
AND(M1891&lt;&gt;"",O1891=""),"FALTA NF",
O1891&lt;&gt;"","CONCLUÍDO")</f>
        <v>CONCLUÍDO</v>
      </c>
      <c r="R1891" s="33"/>
    </row>
    <row r="1892" spans="1:18" hidden="1">
      <c r="A1892" s="30">
        <v>46188</v>
      </c>
      <c r="B1892" s="30">
        <v>46195</v>
      </c>
      <c r="C1892" s="31">
        <v>61521039</v>
      </c>
      <c r="D1892" s="30" t="str">
        <f>IFERROR(VLOOKUP(Tabela5[[#This Row],[PREFIXO ]],Tabela4[#All],2,0),"CENTRO DE CUSTO")</f>
        <v>CAM MUNCK MERC BENZ ATEGO 1719</v>
      </c>
      <c r="E1892" s="33" t="s">
        <v>67</v>
      </c>
      <c r="F1892" s="31">
        <v>189</v>
      </c>
      <c r="G1892" s="32">
        <v>1575</v>
      </c>
      <c r="H1892" s="32"/>
      <c r="I1892" s="32">
        <f t="shared" si="30"/>
        <v>1575</v>
      </c>
      <c r="J1892" s="33" t="s">
        <v>1080</v>
      </c>
      <c r="K1892" s="33" t="s">
        <v>4474</v>
      </c>
      <c r="L1892" s="33" t="s">
        <v>4469</v>
      </c>
      <c r="M1892" s="33">
        <v>41894188</v>
      </c>
      <c r="N1892" s="30">
        <v>46196</v>
      </c>
      <c r="O1892" s="33" t="s">
        <v>4242</v>
      </c>
      <c r="P1892" s="33" t="s">
        <v>3576</v>
      </c>
      <c r="Q1892" s="30" t="str" cm="1">
        <f t="array" ref="Q1892">_xlfn.IFS(
A1892="","",
AND(A1892&lt;&gt;"",B1892=""),"FALTA LANÇAMENTO",
AND(B1892&lt;&gt;"",M1892=""),"FALTA O PEDIDO",
AND(M1892&lt;&gt;"",O1892=""),"FALTA NF",
O1892&lt;&gt;"","CONCLUÍDO")</f>
        <v>CONCLUÍDO</v>
      </c>
      <c r="R1892" s="33"/>
    </row>
    <row r="1893" spans="1:18" hidden="1">
      <c r="A1893" s="30">
        <v>46188</v>
      </c>
      <c r="B1893" s="30">
        <v>46195</v>
      </c>
      <c r="C1893" s="31">
        <v>61521028</v>
      </c>
      <c r="D1893" s="30" t="str">
        <f>IFERROR(VLOOKUP(Tabela5[[#This Row],[PREFIXO ]],Tabela4[#All],2,0),"CENTRO DE CUSTO")</f>
        <v>CENTRO DE CUSTO</v>
      </c>
      <c r="E1893" s="33" t="s">
        <v>67</v>
      </c>
      <c r="F1893" s="31">
        <v>194</v>
      </c>
      <c r="G1893" s="32">
        <v>855.5</v>
      </c>
      <c r="H1893" s="32"/>
      <c r="I1893" s="32">
        <f t="shared" si="30"/>
        <v>855.5</v>
      </c>
      <c r="J1893" s="33" t="s">
        <v>1080</v>
      </c>
      <c r="K1893" s="33" t="s">
        <v>4475</v>
      </c>
      <c r="L1893" s="33" t="s">
        <v>4469</v>
      </c>
      <c r="M1893" s="33" t="s">
        <v>4476</v>
      </c>
      <c r="N1893" s="30">
        <v>46196</v>
      </c>
      <c r="O1893" s="33" t="s">
        <v>4242</v>
      </c>
      <c r="P1893" s="33" t="s">
        <v>3576</v>
      </c>
      <c r="Q1893" s="30" t="str" cm="1">
        <f t="array" ref="Q1893">_xlfn.IFS(
A1893="","",
AND(A1893&lt;&gt;"",B1893=""),"FALTA LANÇAMENTO",
AND(B1893&lt;&gt;"",M1893=""),"FALTA O PEDIDO",
AND(M1893&lt;&gt;"",O1893=""),"FALTA NF",
O1893&lt;&gt;"","CONCLUÍDO")</f>
        <v>CONCLUÍDO</v>
      </c>
      <c r="R1893" s="33"/>
    </row>
    <row r="1894" spans="1:18" hidden="1">
      <c r="A1894" s="30">
        <v>46188</v>
      </c>
      <c r="B1894" s="30">
        <v>46195</v>
      </c>
      <c r="C1894" s="31">
        <v>51521048</v>
      </c>
      <c r="D1894" s="30" t="str">
        <f>IFERROR(VLOOKUP(Tabela5[[#This Row],[PREFIXO ]],Tabela4[#All],2,0),"CENTRO DE CUSTO")</f>
        <v>COLHED ALGODÃO JOHN DEERE CP 690</v>
      </c>
      <c r="E1894" s="33" t="s">
        <v>67</v>
      </c>
      <c r="F1894" s="31">
        <v>191</v>
      </c>
      <c r="G1894" s="32">
        <v>2300</v>
      </c>
      <c r="H1894" s="32"/>
      <c r="I1894" s="32">
        <f t="shared" si="30"/>
        <v>2300</v>
      </c>
      <c r="J1894" s="33" t="s">
        <v>1123</v>
      </c>
      <c r="K1894" s="33" t="s">
        <v>4477</v>
      </c>
      <c r="L1894" s="33" t="s">
        <v>4478</v>
      </c>
      <c r="M1894" s="37" t="s">
        <v>4479</v>
      </c>
      <c r="N1894" s="16">
        <v>46196</v>
      </c>
      <c r="O1894" s="33" t="s">
        <v>4324</v>
      </c>
      <c r="P1894" s="33" t="s">
        <v>3576</v>
      </c>
      <c r="Q1894" s="30" t="str" cm="1">
        <f t="array" ref="Q1894">_xlfn.IFS(
A1894="","",
AND(A1894&lt;&gt;"",B1894=""),"FALTA LANÇAMENTO",
AND(B1894&lt;&gt;"",M1894=""),"FALTA O PEDIDO",
AND(M1894&lt;&gt;"",O1894=""),"FALTA NF",
O1894&lt;&gt;"","CONCLUÍDO")</f>
        <v>CONCLUÍDO</v>
      </c>
      <c r="R1894" s="33"/>
    </row>
    <row r="1895" spans="1:18" hidden="1">
      <c r="A1895" s="30">
        <v>46188</v>
      </c>
      <c r="B1895" s="30">
        <v>46195</v>
      </c>
      <c r="C1895" s="31">
        <v>51521043</v>
      </c>
      <c r="D1895" s="30" t="str">
        <f>IFERROR(VLOOKUP(Tabela5[[#This Row],[PREFIXO ]],Tabela4[#All],2,0),"CENTRO DE CUSTO")</f>
        <v>COLHED ALGODÃO JOHN DEERE CP 690</v>
      </c>
      <c r="E1895" s="33" t="s">
        <v>67</v>
      </c>
      <c r="F1895" s="31">
        <v>190</v>
      </c>
      <c r="G1895" s="32">
        <v>2760</v>
      </c>
      <c r="H1895" s="32"/>
      <c r="I1895" s="32">
        <f t="shared" si="30"/>
        <v>2760</v>
      </c>
      <c r="J1895" s="33" t="s">
        <v>1123</v>
      </c>
      <c r="K1895" s="33" t="s">
        <v>4480</v>
      </c>
      <c r="L1895" s="33" t="s">
        <v>4478</v>
      </c>
      <c r="M1895" s="33" t="s">
        <v>4479</v>
      </c>
      <c r="N1895" s="41">
        <v>46196</v>
      </c>
      <c r="O1895" s="33" t="s">
        <v>4324</v>
      </c>
      <c r="P1895" s="33" t="s">
        <v>3576</v>
      </c>
      <c r="Q1895" s="30" t="str" cm="1">
        <f t="array" ref="Q1895">_xlfn.IFS(
A1895="","",
AND(A1895&lt;&gt;"",B1895=""),"FALTA LANÇAMENTO",
AND(B1895&lt;&gt;"",M1895=""),"FALTA O PEDIDO",
AND(M1895&lt;&gt;"",O1895=""),"FALTA NF",
O1895&lt;&gt;"","CONCLUÍDO")</f>
        <v>CONCLUÍDO</v>
      </c>
      <c r="R1895" s="33"/>
    </row>
    <row r="1896" spans="1:18" hidden="1">
      <c r="A1896" s="30">
        <v>46188</v>
      </c>
      <c r="B1896" s="30">
        <v>46192</v>
      </c>
      <c r="C1896" s="31">
        <v>13130047</v>
      </c>
      <c r="D1896" s="30" t="str">
        <f>IFERROR(VLOOKUP(Tabela5[[#This Row],[PREFIXO ]],Tabela4[#All],2,0),"CENTRO DE CUSTO")</f>
        <v>PULV AUTOPROP JOHN DEERE M4030</v>
      </c>
      <c r="E1896" s="33" t="s">
        <v>17</v>
      </c>
      <c r="F1896" s="31" t="s">
        <v>4481</v>
      </c>
      <c r="G1896" s="32">
        <v>3570.62</v>
      </c>
      <c r="H1896" s="32">
        <v>55297.82</v>
      </c>
      <c r="I1896" s="32">
        <f t="shared" si="30"/>
        <v>58868.44</v>
      </c>
      <c r="J1896" s="18" t="s">
        <v>1265</v>
      </c>
      <c r="K1896" s="33" t="s">
        <v>4482</v>
      </c>
      <c r="L1896" s="33" t="s">
        <v>4483</v>
      </c>
      <c r="M1896" s="37" t="s">
        <v>4484</v>
      </c>
      <c r="N1896" s="16">
        <v>46194</v>
      </c>
      <c r="O1896" s="33" t="s">
        <v>4485</v>
      </c>
      <c r="P1896" s="33" t="s">
        <v>3576</v>
      </c>
      <c r="Q1896" s="30" t="str" cm="1">
        <f t="array" ref="Q1896">_xlfn.IFS(
A1896="","",
AND(A1896&lt;&gt;"",B1896=""),"FALTA LANÇAMENTO",
AND(B1896&lt;&gt;"",M1896=""),"FALTA O PEDIDO",
AND(M1896&lt;&gt;"",O1896=""),"FALTA NF",
O1896&lt;&gt;"","CONCLUÍDO")</f>
        <v>CONCLUÍDO</v>
      </c>
      <c r="R1896" s="33"/>
    </row>
    <row r="1897" spans="1:18" hidden="1">
      <c r="A1897" s="30">
        <v>46188</v>
      </c>
      <c r="B1897" s="30">
        <v>46192</v>
      </c>
      <c r="C1897" s="31">
        <v>18010001</v>
      </c>
      <c r="D1897" s="30" t="str">
        <f>IFERROR(VLOOKUP(Tabela5[[#This Row],[PREFIXO ]],Tabela4[#All],2,0),"CENTRO DE CUSTO")</f>
        <v>AVIAO APLIC AGR AIR TRACT AT-802A</v>
      </c>
      <c r="E1897" s="33" t="s">
        <v>13</v>
      </c>
      <c r="F1897" s="31" t="s">
        <v>4486</v>
      </c>
      <c r="G1897" s="32">
        <v>11000</v>
      </c>
      <c r="H1897" s="32"/>
      <c r="I1897" s="32">
        <f t="shared" si="30"/>
        <v>11000</v>
      </c>
      <c r="J1897" s="18" t="s">
        <v>1199</v>
      </c>
      <c r="K1897" s="33" t="s">
        <v>4487</v>
      </c>
      <c r="L1897" s="33" t="s">
        <v>4488</v>
      </c>
      <c r="M1897" s="37">
        <v>41892436</v>
      </c>
      <c r="N1897" s="16">
        <v>46194</v>
      </c>
      <c r="O1897" s="45" t="s">
        <v>4489</v>
      </c>
      <c r="P1897" s="33" t="s">
        <v>4336</v>
      </c>
      <c r="Q1897" s="30" t="str" cm="1">
        <f t="array" ref="Q1897">_xlfn.IFS(
A1897="","",
AND(A1897&lt;&gt;"",B1897=""),"FALTA LANÇAMENTO",
AND(B1897&lt;&gt;"",M1897=""),"FALTA O PEDIDO",
AND(M1897&lt;&gt;"",O1897=""),"FALTA NF",
O1897&lt;&gt;"","CONCLUÍDO")</f>
        <v>CONCLUÍDO</v>
      </c>
      <c r="R1897" s="33"/>
    </row>
    <row r="1898" spans="1:18" hidden="1">
      <c r="A1898" s="30">
        <v>46188</v>
      </c>
      <c r="B1898" s="30">
        <v>46192</v>
      </c>
      <c r="C1898" s="31">
        <v>18010001</v>
      </c>
      <c r="D1898" s="30" t="str">
        <f>IFERROR(VLOOKUP(Tabela5[[#This Row],[PREFIXO ]],Tabela4[#All],2,0),"CENTRO DE CUSTO")</f>
        <v>AVIAO APLIC AGR AIR TRACT AT-802A</v>
      </c>
      <c r="E1898" s="33" t="s">
        <v>13</v>
      </c>
      <c r="F1898" s="31" t="s">
        <v>4490</v>
      </c>
      <c r="G1898" s="32">
        <v>27200</v>
      </c>
      <c r="H1898" s="32"/>
      <c r="I1898" s="32">
        <f t="shared" si="30"/>
        <v>27200</v>
      </c>
      <c r="J1898" s="18" t="s">
        <v>1199</v>
      </c>
      <c r="K1898" s="33" t="s">
        <v>4487</v>
      </c>
      <c r="L1898" s="33" t="s">
        <v>4488</v>
      </c>
      <c r="M1898" s="37">
        <v>41892436</v>
      </c>
      <c r="N1898" s="16">
        <v>46194</v>
      </c>
      <c r="O1898" s="45" t="s">
        <v>4489</v>
      </c>
      <c r="P1898" s="33" t="s">
        <v>4336</v>
      </c>
      <c r="Q1898" s="30" t="str" cm="1">
        <f t="array" ref="Q1898">_xlfn.IFS(
A1898="","",
AND(A1898&lt;&gt;"",B1898=""),"FALTA LANÇAMENTO",
AND(B1898&lt;&gt;"",M1898=""),"FALTA O PEDIDO",
AND(M1898&lt;&gt;"",O1898=""),"FALTA NF",
O1898&lt;&gt;"","CONCLUÍDO")</f>
        <v>CONCLUÍDO</v>
      </c>
      <c r="R1898" s="33"/>
    </row>
    <row r="1899" spans="1:18" hidden="1">
      <c r="A1899" s="30">
        <v>46188</v>
      </c>
      <c r="B1899" s="30">
        <v>46192</v>
      </c>
      <c r="C1899" s="31">
        <v>51521051</v>
      </c>
      <c r="D1899" s="30" t="str">
        <f>IFERROR(VLOOKUP(Tabela5[[#This Row],[PREFIXO ]],Tabela4[#All],2,0),"CENTRO DE CUSTO")</f>
        <v>COLHED ALGODÃO JOHN DEERE CP 690</v>
      </c>
      <c r="E1899" s="33" t="s">
        <v>17</v>
      </c>
      <c r="F1899" s="31">
        <v>44547</v>
      </c>
      <c r="G1899" s="32">
        <v>2551.36</v>
      </c>
      <c r="H1899" s="32">
        <v>2177.64</v>
      </c>
      <c r="I1899" s="32">
        <f t="shared" si="30"/>
        <v>4729</v>
      </c>
      <c r="J1899" s="18" t="s">
        <v>1123</v>
      </c>
      <c r="K1899" s="33" t="s">
        <v>4491</v>
      </c>
      <c r="L1899" s="33" t="s">
        <v>4492</v>
      </c>
      <c r="M1899" s="37" t="s">
        <v>4493</v>
      </c>
      <c r="N1899" s="16">
        <v>46195</v>
      </c>
      <c r="O1899" s="45" t="s">
        <v>4494</v>
      </c>
      <c r="P1899" s="33" t="s">
        <v>3576</v>
      </c>
      <c r="Q1899" s="30" t="str" cm="1">
        <f t="array" ref="Q1899">_xlfn.IFS(
A1899="","",
AND(A1899&lt;&gt;"",B1899=""),"FALTA LANÇAMENTO",
AND(B1899&lt;&gt;"",M1899=""),"FALTA O PEDIDO",
AND(M1899&lt;&gt;"",O1899=""),"FALTA NF",
O1899&lt;&gt;"","CONCLUÍDO")</f>
        <v>CONCLUÍDO</v>
      </c>
      <c r="R1899" s="33"/>
    </row>
    <row r="1900" spans="1:18" hidden="1">
      <c r="A1900" s="30">
        <v>46188</v>
      </c>
      <c r="B1900" s="30">
        <v>46192</v>
      </c>
      <c r="C1900" s="31">
        <v>51521050</v>
      </c>
      <c r="D1900" s="30" t="str">
        <f>IFERROR(VLOOKUP(Tabela5[[#This Row],[PREFIXO ]],Tabela4[#All],2,0),"CENTRO DE CUSTO")</f>
        <v>COLHED ALGODÃO JOHN DEERE CP 690</v>
      </c>
      <c r="E1900" s="33" t="s">
        <v>17</v>
      </c>
      <c r="F1900" s="31">
        <v>44449</v>
      </c>
      <c r="G1900" s="32">
        <v>2489.16</v>
      </c>
      <c r="H1900" s="32">
        <v>2177.64</v>
      </c>
      <c r="I1900" s="32">
        <f t="shared" si="30"/>
        <v>4666.7999999999993</v>
      </c>
      <c r="J1900" s="18" t="s">
        <v>1123</v>
      </c>
      <c r="K1900" s="33" t="s">
        <v>4495</v>
      </c>
      <c r="L1900" s="33" t="s">
        <v>4496</v>
      </c>
      <c r="M1900" s="37" t="s">
        <v>4497</v>
      </c>
      <c r="N1900" s="16">
        <v>46195</v>
      </c>
      <c r="O1900" s="45" t="s">
        <v>4498</v>
      </c>
      <c r="P1900" s="33" t="s">
        <v>3576</v>
      </c>
      <c r="Q1900" s="30" t="str" cm="1">
        <f t="array" ref="Q1900">_xlfn.IFS(
A1900="","",
AND(A1900&lt;&gt;"",B1900=""),"FALTA LANÇAMENTO",
AND(B1900&lt;&gt;"",M1900=""),"FALTA O PEDIDO",
AND(M1900&lt;&gt;"",O1900=""),"FALTA NF",
O1900&lt;&gt;"","CONCLUÍDO")</f>
        <v>CONCLUÍDO</v>
      </c>
      <c r="R1900" s="33"/>
    </row>
    <row r="1901" spans="1:18" hidden="1">
      <c r="A1901" s="30">
        <v>46188</v>
      </c>
      <c r="B1901" s="30">
        <v>46192</v>
      </c>
      <c r="C1901" s="31">
        <v>51519059</v>
      </c>
      <c r="D1901" s="30" t="str">
        <f>IFERROR(VLOOKUP(Tabela5[[#This Row],[PREFIXO ]],Tabela4[#All],2,0),"CENTRO DE CUSTO")</f>
        <v>CENTRO DE CUSTO</v>
      </c>
      <c r="E1901" s="33" t="s">
        <v>17</v>
      </c>
      <c r="F1901" s="31">
        <v>44679</v>
      </c>
      <c r="G1901" s="32">
        <v>2000</v>
      </c>
      <c r="H1901" s="32">
        <v>2419.6</v>
      </c>
      <c r="I1901" s="32">
        <f t="shared" si="30"/>
        <v>4419.6000000000004</v>
      </c>
      <c r="J1901" s="18" t="s">
        <v>1123</v>
      </c>
      <c r="K1901" s="33" t="s">
        <v>4499</v>
      </c>
      <c r="L1901" s="33" t="s">
        <v>4500</v>
      </c>
      <c r="M1901" s="37" t="s">
        <v>4501</v>
      </c>
      <c r="N1901" s="16">
        <v>46195</v>
      </c>
      <c r="O1901" s="45" t="s">
        <v>4502</v>
      </c>
      <c r="P1901" s="33" t="s">
        <v>3576</v>
      </c>
      <c r="Q1901" s="30" t="str" cm="1">
        <f t="array" ref="Q1901">_xlfn.IFS(
A1901="","",
AND(A1901&lt;&gt;"",B1901=""),"FALTA LANÇAMENTO",
AND(B1901&lt;&gt;"",M1901=""),"FALTA O PEDIDO",
AND(M1901&lt;&gt;"",O1901=""),"FALTA NF",
O1901&lt;&gt;"","CONCLUÍDO")</f>
        <v>CONCLUÍDO</v>
      </c>
      <c r="R1901" s="33"/>
    </row>
    <row r="1902" spans="1:18" hidden="1">
      <c r="A1902" s="30">
        <v>46188</v>
      </c>
      <c r="B1902" s="30">
        <v>46192</v>
      </c>
      <c r="C1902" s="31">
        <v>51519062</v>
      </c>
      <c r="D1902" s="30" t="str">
        <f>IFERROR(VLOOKUP(Tabela5[[#This Row],[PREFIXO ]],Tabela4[#All],2,0),"CENTRO DE CUSTO")</f>
        <v>CENTRO DE CUSTO</v>
      </c>
      <c r="E1902" s="33" t="s">
        <v>17</v>
      </c>
      <c r="F1902" s="31">
        <v>44631</v>
      </c>
      <c r="G1902" s="32">
        <v>2254.48</v>
      </c>
      <c r="H1902" s="32">
        <v>2177.64</v>
      </c>
      <c r="I1902" s="32">
        <f t="shared" si="30"/>
        <v>4432.12</v>
      </c>
      <c r="J1902" s="18" t="s">
        <v>1123</v>
      </c>
      <c r="K1902" s="33" t="s">
        <v>4503</v>
      </c>
      <c r="L1902" s="33" t="s">
        <v>4504</v>
      </c>
      <c r="M1902" s="37" t="s">
        <v>4505</v>
      </c>
      <c r="N1902" s="16">
        <v>46195</v>
      </c>
      <c r="O1902" s="45" t="s">
        <v>4506</v>
      </c>
      <c r="P1902" s="33" t="s">
        <v>3576</v>
      </c>
      <c r="Q1902" s="30" t="str" cm="1">
        <f t="array" ref="Q1902">_xlfn.IFS(
A1902="","",
AND(A1902&lt;&gt;"",B1902=""),"FALTA LANÇAMENTO",
AND(B1902&lt;&gt;"",M1902=""),"FALTA O PEDIDO",
AND(M1902&lt;&gt;"",O1902=""),"FALTA NF",
O1902&lt;&gt;"","CONCLUÍDO")</f>
        <v>CONCLUÍDO</v>
      </c>
      <c r="R1902" s="33"/>
    </row>
    <row r="1903" spans="1:18" hidden="1">
      <c r="A1903" s="30">
        <v>46188</v>
      </c>
      <c r="B1903" s="30">
        <v>46192</v>
      </c>
      <c r="C1903" s="31">
        <v>13130047</v>
      </c>
      <c r="D1903" s="30" t="str">
        <f>IFERROR(VLOOKUP(Tabela5[[#This Row],[PREFIXO ]],Tabela4[#All],2,0),"CENTRO DE CUSTO")</f>
        <v>PULV AUTOPROP JOHN DEERE M4030</v>
      </c>
      <c r="E1903" s="33" t="s">
        <v>17</v>
      </c>
      <c r="F1903" s="31">
        <v>44164</v>
      </c>
      <c r="G1903" s="32">
        <v>211.11</v>
      </c>
      <c r="H1903" s="32">
        <v>3851.38</v>
      </c>
      <c r="I1903" s="32">
        <f t="shared" si="30"/>
        <v>4062.4900000000002</v>
      </c>
      <c r="J1903" s="33" t="s">
        <v>1265</v>
      </c>
      <c r="K1903" s="33" t="s">
        <v>4507</v>
      </c>
      <c r="L1903" s="33" t="s">
        <v>4508</v>
      </c>
      <c r="M1903" s="37" t="s">
        <v>4509</v>
      </c>
      <c r="N1903" s="16">
        <v>46195</v>
      </c>
      <c r="O1903" s="45" t="s">
        <v>4510</v>
      </c>
      <c r="P1903" s="33" t="s">
        <v>3576</v>
      </c>
      <c r="Q1903" s="30" t="str" cm="1">
        <f t="array" ref="Q1903">_xlfn.IFS(
A1903="","",
AND(A1903&lt;&gt;"",B1903=""),"FALTA LANÇAMENTO",
AND(B1903&lt;&gt;"",M1903=""),"FALTA O PEDIDO",
AND(M1903&lt;&gt;"",O1903=""),"FALTA NF",
O1903&lt;&gt;"","CONCLUÍDO")</f>
        <v>CONCLUÍDO</v>
      </c>
      <c r="R1903" s="33"/>
    </row>
    <row r="1904" spans="1:18" hidden="1">
      <c r="A1904" s="30">
        <v>46188</v>
      </c>
      <c r="B1904" s="30">
        <v>46196</v>
      </c>
      <c r="C1904" s="31">
        <v>85048097</v>
      </c>
      <c r="D1904" s="30" t="str">
        <f>IFERROR(VLOOKUP(Tabela5[[#This Row],[PREFIXO ]],Tabela4[#All],2,0),"CENTRO DE CUSTO")</f>
        <v>CENTRO DE CUSTO</v>
      </c>
      <c r="E1904" s="33" t="s">
        <v>62</v>
      </c>
      <c r="F1904" s="31">
        <v>1427</v>
      </c>
      <c r="G1904" s="32">
        <v>1900</v>
      </c>
      <c r="H1904" s="32"/>
      <c r="I1904" s="32">
        <f t="shared" si="30"/>
        <v>1900</v>
      </c>
      <c r="J1904" s="33" t="s">
        <v>1199</v>
      </c>
      <c r="K1904" s="33" t="s">
        <v>4511</v>
      </c>
      <c r="L1904" s="33" t="s">
        <v>4512</v>
      </c>
      <c r="M1904" s="37">
        <v>41894183</v>
      </c>
      <c r="N1904" s="16">
        <v>46196</v>
      </c>
      <c r="O1904" s="45" t="s">
        <v>1890</v>
      </c>
      <c r="P1904" s="33" t="s">
        <v>3576</v>
      </c>
      <c r="Q1904" s="30" t="str" cm="1">
        <f t="array" ref="Q1904">_xlfn.IFS(
A1904="","",
AND(A1904&lt;&gt;"",B1904=""),"FALTA LANÇAMENTO",
AND(B1904&lt;&gt;"",M1904=""),"FALTA O PEDIDO",
AND(M1904&lt;&gt;"",O1904=""),"FALTA NF",
O1904&lt;&gt;"","CONCLUÍDO")</f>
        <v>CONCLUÍDO</v>
      </c>
      <c r="R1904" s="33"/>
    </row>
    <row r="1905" spans="1:18" hidden="1">
      <c r="A1905" s="30">
        <v>46188</v>
      </c>
      <c r="B1905" s="30">
        <v>46196</v>
      </c>
      <c r="C1905" s="31">
        <v>61521051</v>
      </c>
      <c r="D1905" s="30" t="str">
        <f>IFERROR(VLOOKUP(Tabela5[[#This Row],[PREFIXO ]],Tabela4[#All],2,0),"CENTRO DE CUSTO")</f>
        <v>CENTRO DE CUSTO</v>
      </c>
      <c r="E1905" s="33" t="s">
        <v>62</v>
      </c>
      <c r="F1905" s="31">
        <v>1426</v>
      </c>
      <c r="G1905" s="32">
        <v>10820</v>
      </c>
      <c r="H1905" s="32"/>
      <c r="I1905" s="32">
        <f t="shared" si="30"/>
        <v>10820</v>
      </c>
      <c r="J1905" s="18" t="s">
        <v>1199</v>
      </c>
      <c r="K1905" s="33" t="s">
        <v>4513</v>
      </c>
      <c r="L1905" s="33" t="s">
        <v>4512</v>
      </c>
      <c r="M1905" s="33">
        <v>41894183</v>
      </c>
      <c r="N1905" s="41">
        <v>46196</v>
      </c>
      <c r="O1905" s="45" t="s">
        <v>1890</v>
      </c>
      <c r="P1905" s="33" t="s">
        <v>3576</v>
      </c>
      <c r="Q1905" s="30" t="str" cm="1">
        <f t="array" ref="Q1905">_xlfn.IFS(
A1905="","",
AND(A1905&lt;&gt;"",B1905=""),"FALTA LANÇAMENTO",
AND(B1905&lt;&gt;"",M1905=""),"FALTA O PEDIDO",
AND(M1905&lt;&gt;"",O1905=""),"FALTA NF",
O1905&lt;&gt;"","CONCLUÍDO")</f>
        <v>CONCLUÍDO</v>
      </c>
      <c r="R1905" s="33"/>
    </row>
    <row r="1906" spans="1:18" hidden="1">
      <c r="A1906" s="30">
        <v>46188</v>
      </c>
      <c r="B1906" s="30">
        <v>46195</v>
      </c>
      <c r="C1906" s="31">
        <v>51521044</v>
      </c>
      <c r="D1906" s="30" t="str">
        <f>IFERROR(VLOOKUP(Tabela5[[#This Row],[PREFIXO ]],Tabela4[#All],2,0),"CENTRO DE CUSTO")</f>
        <v>COLHED ALGODÃO JOHN DEERE CP 690</v>
      </c>
      <c r="E1906" s="33" t="s">
        <v>67</v>
      </c>
      <c r="F1906" s="31">
        <v>192</v>
      </c>
      <c r="G1906" s="32">
        <v>1380</v>
      </c>
      <c r="H1906" s="32"/>
      <c r="I1906" s="32">
        <f t="shared" si="30"/>
        <v>1380</v>
      </c>
      <c r="J1906" s="33" t="s">
        <v>1123</v>
      </c>
      <c r="K1906" s="33" t="s">
        <v>4514</v>
      </c>
      <c r="L1906" s="33" t="s">
        <v>4478</v>
      </c>
      <c r="M1906" s="33" t="s">
        <v>4479</v>
      </c>
      <c r="N1906" s="30">
        <v>46196</v>
      </c>
      <c r="O1906" s="33" t="s">
        <v>4324</v>
      </c>
      <c r="P1906" s="33" t="s">
        <v>3576</v>
      </c>
      <c r="Q1906" s="30" t="str" cm="1">
        <f t="array" ref="Q1906">_xlfn.IFS(
A1906="","",
AND(A1906&lt;&gt;"",B1906=""),"FALTA LANÇAMENTO",
AND(B1906&lt;&gt;"",M1906=""),"FALTA O PEDIDO",
AND(M1906&lt;&gt;"",O1906=""),"FALTA NF",
O1906&lt;&gt;"","CONCLUÍDO")</f>
        <v>CONCLUÍDO</v>
      </c>
      <c r="R1906" s="33"/>
    </row>
    <row r="1907" spans="1:18" hidden="1">
      <c r="A1907" s="30">
        <v>46188</v>
      </c>
      <c r="B1907" s="30">
        <v>46196</v>
      </c>
      <c r="C1907" s="31">
        <v>61521076</v>
      </c>
      <c r="D1907" s="30" t="str">
        <f>IFERROR(VLOOKUP(Tabela5[[#This Row],[PREFIXO ]],Tabela4[#All],2,0),"CENTRO DE CUSTO")</f>
        <v>CAM CARGA SECA MERC BENZ ACCELO 815</v>
      </c>
      <c r="E1907" s="33" t="s">
        <v>29</v>
      </c>
      <c r="F1907" s="31">
        <v>56019</v>
      </c>
      <c r="G1907" s="32">
        <v>545</v>
      </c>
      <c r="H1907" s="32"/>
      <c r="I1907" s="32">
        <f t="shared" si="30"/>
        <v>545</v>
      </c>
      <c r="J1907" s="33" t="s">
        <v>1199</v>
      </c>
      <c r="K1907" s="33" t="s">
        <v>4515</v>
      </c>
      <c r="L1907" s="33" t="s">
        <v>4440</v>
      </c>
      <c r="M1907" s="33">
        <v>41894102</v>
      </c>
      <c r="N1907" s="30">
        <v>46196</v>
      </c>
      <c r="O1907" s="33" t="s">
        <v>2396</v>
      </c>
      <c r="P1907" s="33" t="s">
        <v>3576</v>
      </c>
      <c r="Q1907" s="30" t="str" cm="1">
        <f t="array" ref="Q1907">_xlfn.IFS(
A1907="","",
AND(A1907&lt;&gt;"",B1907=""),"FALTA LANÇAMENTO",
AND(B1907&lt;&gt;"",M1907=""),"FALTA O PEDIDO",
AND(M1907&lt;&gt;"",O1907=""),"FALTA NF",
O1907&lt;&gt;"","CONCLUÍDO")</f>
        <v>CONCLUÍDO</v>
      </c>
      <c r="R1907" s="33"/>
    </row>
    <row r="1908" spans="1:18" hidden="1">
      <c r="A1908" s="30">
        <v>46188</v>
      </c>
      <c r="B1908" s="30">
        <v>46212</v>
      </c>
      <c r="C1908" s="31">
        <v>5173120</v>
      </c>
      <c r="D1908" s="30" t="str">
        <f>IFERROR(VLOOKUP(Tabela5[[#This Row],[PREFIXO ]],Tabela4[#All],2,0),"CENTRO DE CUSTO")</f>
        <v>COLHED ALGODÃO JOHN DEERE 7760</v>
      </c>
      <c r="E1908" s="33" t="s">
        <v>17</v>
      </c>
      <c r="F1908" s="31">
        <v>44451</v>
      </c>
      <c r="G1908" s="32">
        <v>3498.74</v>
      </c>
      <c r="H1908" s="32">
        <v>2177.64</v>
      </c>
      <c r="I1908" s="32">
        <f t="shared" si="30"/>
        <v>5676.3799999999992</v>
      </c>
      <c r="J1908" s="33" t="s">
        <v>1123</v>
      </c>
      <c r="K1908" s="33" t="s">
        <v>4516</v>
      </c>
      <c r="L1908" s="33" t="s">
        <v>4517</v>
      </c>
      <c r="M1908" s="33" t="s">
        <v>4518</v>
      </c>
      <c r="N1908" s="30">
        <v>46213</v>
      </c>
      <c r="O1908" s="33"/>
      <c r="P1908" s="33"/>
      <c r="Q1908" s="30" t="str" cm="1">
        <f t="array" ref="Q1908">_xlfn.IFS(
A1908="","",
AND(A1908&lt;&gt;"",B1908=""),"FALTA LANÇAMENTO",
AND(B1908&lt;&gt;"",M1908=""),"FALTA O PEDIDO",
AND(M1908&lt;&gt;"",O1908=""),"FALTA NF",
O1908&lt;&gt;"","CONCLUÍDO")</f>
        <v>FALTA NF</v>
      </c>
      <c r="R1908" s="33"/>
    </row>
    <row r="1909" spans="1:18" hidden="1">
      <c r="A1909" s="30">
        <v>46188</v>
      </c>
      <c r="B1909" s="30">
        <v>46195</v>
      </c>
      <c r="C1909" s="31" t="s">
        <v>4519</v>
      </c>
      <c r="D1909" s="30" t="str">
        <f>IFERROR(VLOOKUP(Tabela5[[#This Row],[PREFIXO ]],Tabela4[#All],2,0),"CENTRO DE CUSTO")</f>
        <v>CENTRO DE CUSTO</v>
      </c>
      <c r="E1909" s="33" t="s">
        <v>67</v>
      </c>
      <c r="F1909" s="31">
        <v>193</v>
      </c>
      <c r="G1909" s="32">
        <v>3707</v>
      </c>
      <c r="H1909" s="32"/>
      <c r="I1909" s="32">
        <f t="shared" si="30"/>
        <v>3707</v>
      </c>
      <c r="J1909" s="18" t="s">
        <v>1123</v>
      </c>
      <c r="K1909" s="33" t="s">
        <v>4520</v>
      </c>
      <c r="L1909" s="33" t="s">
        <v>4521</v>
      </c>
      <c r="M1909" s="33" t="s">
        <v>4522</v>
      </c>
      <c r="N1909" s="30">
        <v>46196</v>
      </c>
      <c r="O1909" s="33" t="s">
        <v>2422</v>
      </c>
      <c r="P1909" s="33" t="s">
        <v>3576</v>
      </c>
      <c r="Q1909" s="30" t="str" cm="1">
        <f t="array" ref="Q1909">_xlfn.IFS(
A1909="","",
AND(A1909&lt;&gt;"",B1909=""),"FALTA LANÇAMENTO",
AND(B1909&lt;&gt;"",M1909=""),"FALTA O PEDIDO",
AND(M1909&lt;&gt;"",O1909=""),"FALTA NF",
O1909&lt;&gt;"","CONCLUÍDO")</f>
        <v>CONCLUÍDO</v>
      </c>
      <c r="R1909" s="33"/>
    </row>
    <row r="1910" spans="1:18" hidden="1">
      <c r="A1910" s="30">
        <v>46188</v>
      </c>
      <c r="B1910" s="16">
        <v>46195</v>
      </c>
      <c r="C1910" s="21">
        <v>500580579</v>
      </c>
      <c r="D1910" s="16" t="str">
        <f>IFERROR(VLOOKUP(Tabela5[[#This Row],[PREFIXO ]],Tabela4[#All],2,0),"CENTRO DE CUSTO")</f>
        <v>Pátio de Vendas</v>
      </c>
      <c r="E1910" s="18" t="s">
        <v>67</v>
      </c>
      <c r="F1910" s="21">
        <v>184</v>
      </c>
      <c r="G1910" s="22">
        <v>3000</v>
      </c>
      <c r="H1910" s="22"/>
      <c r="I1910" s="22">
        <f t="shared" si="30"/>
        <v>3000</v>
      </c>
      <c r="J1910" s="18" t="s">
        <v>1123</v>
      </c>
      <c r="K1910" s="18" t="s">
        <v>4523</v>
      </c>
      <c r="L1910" s="18" t="s">
        <v>4521</v>
      </c>
      <c r="M1910" s="18" t="s">
        <v>4522</v>
      </c>
      <c r="N1910" s="30">
        <v>46196</v>
      </c>
      <c r="O1910" s="18" t="s">
        <v>2422</v>
      </c>
      <c r="P1910" s="18" t="s">
        <v>3576</v>
      </c>
      <c r="Q1910" s="16" t="str" cm="1">
        <f t="array" ref="Q1910">_xlfn.IFS(
A1910="","",
AND(A1910&lt;&gt;"",B1910=""),"FALTA LANÇAMENTO",
AND(B1910&lt;&gt;"",M1910=""),"FALTA O PEDIDO",
AND(M1910&lt;&gt;"",O1910=""),"FALTA NF",
O1910&lt;&gt;"","CONCLUÍDO")</f>
        <v>CONCLUÍDO</v>
      </c>
      <c r="R1910" s="18"/>
    </row>
    <row r="1911" spans="1:18" hidden="1">
      <c r="A1911" s="30">
        <v>46188</v>
      </c>
      <c r="B1911" s="16">
        <v>46195</v>
      </c>
      <c r="C1911" s="21">
        <v>500580579</v>
      </c>
      <c r="D1911" s="16" t="str">
        <f>IFERROR(VLOOKUP(Tabela5[[#This Row],[PREFIXO ]],Tabela4[#All],2,0),"CENTRO DE CUSTO")</f>
        <v>Pátio de Vendas</v>
      </c>
      <c r="E1911" s="18" t="s">
        <v>67</v>
      </c>
      <c r="F1911" s="21">
        <v>183</v>
      </c>
      <c r="G1911" s="22">
        <v>6000</v>
      </c>
      <c r="H1911" s="22"/>
      <c r="I1911" s="22">
        <f t="shared" si="30"/>
        <v>6000</v>
      </c>
      <c r="J1911" s="18" t="s">
        <v>3654</v>
      </c>
      <c r="K1911" s="18" t="s">
        <v>4523</v>
      </c>
      <c r="L1911" s="18" t="s">
        <v>4521</v>
      </c>
      <c r="M1911" s="18" t="s">
        <v>4522</v>
      </c>
      <c r="N1911" s="41">
        <v>46196</v>
      </c>
      <c r="O1911" s="18" t="s">
        <v>2422</v>
      </c>
      <c r="P1911" s="18" t="s">
        <v>3576</v>
      </c>
      <c r="Q1911" s="16" t="str" cm="1">
        <f t="array" ref="Q1911">_xlfn.IFS(
A1911="","",
AND(A1911&lt;&gt;"",B1911=""),"FALTA LANÇAMENTO",
AND(B1911&lt;&gt;"",M1911=""),"FALTA O PEDIDO",
AND(M1911&lt;&gt;"",O1911=""),"FALTA NF",
O1911&lt;&gt;"","CONCLUÍDO")</f>
        <v>CONCLUÍDO</v>
      </c>
      <c r="R1911" s="18"/>
    </row>
    <row r="1912" spans="1:18" hidden="1">
      <c r="A1912" s="30">
        <v>46188</v>
      </c>
      <c r="B1912" s="16">
        <v>46213</v>
      </c>
      <c r="C1912" s="21">
        <v>500580325</v>
      </c>
      <c r="D1912" s="16" t="str">
        <f>IFERROR(VLOOKUP(Tabela5[[#This Row],[PREFIXO ]],Tabela4[#All],2,0),"CENTRO DE CUSTO")</f>
        <v>Colheitad. Alg Auto</v>
      </c>
      <c r="E1912" s="18" t="s">
        <v>293</v>
      </c>
      <c r="F1912" s="21">
        <v>61</v>
      </c>
      <c r="G1912" s="22">
        <v>31949.45</v>
      </c>
      <c r="H1912" s="22"/>
      <c r="I1912" s="22">
        <f t="shared" si="30"/>
        <v>31949.45</v>
      </c>
      <c r="J1912" s="18" t="s">
        <v>1113</v>
      </c>
      <c r="K1912" s="18" t="s">
        <v>4524</v>
      </c>
      <c r="L1912" s="18" t="s">
        <v>4525</v>
      </c>
      <c r="M1912" s="18" t="s">
        <v>4526</v>
      </c>
      <c r="N1912" s="41">
        <v>46213</v>
      </c>
      <c r="O1912" s="18"/>
      <c r="P1912" s="18"/>
      <c r="Q1912" s="16" t="str" cm="1">
        <f t="array" ref="Q1912">_xlfn.IFS(
A1912="","",
AND(A1912&lt;&gt;"",B1912=""),"FALTA LANÇAMENTO",
AND(B1912&lt;&gt;"",M1912=""),"FALTA O PEDIDO",
AND(M1912&lt;&gt;"",O1912=""),"FALTA NF",
O1912&lt;&gt;"","CONCLUÍDO")</f>
        <v>FALTA NF</v>
      </c>
      <c r="R1912" s="18"/>
    </row>
    <row r="1913" spans="1:18" hidden="1">
      <c r="A1913" s="30">
        <v>46188</v>
      </c>
      <c r="B1913" s="16">
        <v>46192</v>
      </c>
      <c r="C1913" s="21">
        <v>51521053</v>
      </c>
      <c r="D1913" s="16" t="str">
        <f>IFERROR(VLOOKUP(Tabela5[[#This Row],[PREFIXO ]],Tabela4[#All],2,0),"CENTRO DE CUSTO")</f>
        <v>COLHED ALGODÃO JOHN DEERE CP 690</v>
      </c>
      <c r="E1913" s="18" t="s">
        <v>17</v>
      </c>
      <c r="F1913" s="21">
        <v>44438</v>
      </c>
      <c r="G1913" s="22">
        <v>2000</v>
      </c>
      <c r="H1913" s="22">
        <v>2314.2199999999998</v>
      </c>
      <c r="I1913" s="22">
        <f t="shared" si="30"/>
        <v>4314.2199999999993</v>
      </c>
      <c r="J1913" s="18" t="s">
        <v>1123</v>
      </c>
      <c r="K1913" s="18" t="s">
        <v>4527</v>
      </c>
      <c r="L1913" s="18" t="s">
        <v>4528</v>
      </c>
      <c r="M1913" s="18" t="s">
        <v>4529</v>
      </c>
      <c r="N1913" s="41">
        <v>46195</v>
      </c>
      <c r="O1913" s="18" t="s">
        <v>4530</v>
      </c>
      <c r="P1913" s="18" t="s">
        <v>3869</v>
      </c>
      <c r="Q1913" s="16" t="str" cm="1">
        <f t="array" ref="Q1913">_xlfn.IFS(
A1913="","",
AND(A1913&lt;&gt;"",B1913=""),"FALTA LANÇAMENTO",
AND(B1913&lt;&gt;"",M1913=""),"FALTA O PEDIDO",
AND(M1913&lt;&gt;"",O1913=""),"FALTA NF",
O1913&lt;&gt;"","CONCLUÍDO")</f>
        <v>CONCLUÍDO</v>
      </c>
      <c r="R1913" s="18"/>
    </row>
    <row r="1914" spans="1:18" hidden="1">
      <c r="A1914" s="30">
        <v>46188</v>
      </c>
      <c r="B1914" s="16">
        <v>46195</v>
      </c>
      <c r="C1914" s="21">
        <v>12060002</v>
      </c>
      <c r="D1914" s="16" t="str">
        <f>IFERROR(VLOOKUP(Tabela5[[#This Row],[PREFIXO ]],Tabela4[#All],2,0),"CENTRO DE CUSTO")</f>
        <v>ONIB RODOVIÁRIO MARCOPOLO NEOBUS MEGA</v>
      </c>
      <c r="E1914" s="18" t="s">
        <v>250</v>
      </c>
      <c r="F1914" s="21">
        <v>40827</v>
      </c>
      <c r="G1914" s="22">
        <v>779.5</v>
      </c>
      <c r="H1914" s="22">
        <v>19210.5</v>
      </c>
      <c r="I1914" s="22">
        <f t="shared" si="30"/>
        <v>19990</v>
      </c>
      <c r="J1914" s="18" t="s">
        <v>1199</v>
      </c>
      <c r="K1914" s="18" t="s">
        <v>4531</v>
      </c>
      <c r="L1914" s="18" t="s">
        <v>4532</v>
      </c>
      <c r="M1914" s="18">
        <v>41896472</v>
      </c>
      <c r="N1914" s="41">
        <v>46198</v>
      </c>
      <c r="O1914" s="18" t="s">
        <v>4533</v>
      </c>
      <c r="P1914" s="18" t="s">
        <v>4140</v>
      </c>
      <c r="Q1914" s="16" t="str" cm="1">
        <f t="array" ref="Q1914">_xlfn.IFS(
A1914="","",
AND(A1914&lt;&gt;"",B1914=""),"FALTA LANÇAMENTO",
AND(B1914&lt;&gt;"",M1914=""),"FALTA O PEDIDO",
AND(M1914&lt;&gt;"",O1914=""),"FALTA NF",
O1914&lt;&gt;"","CONCLUÍDO")</f>
        <v>CONCLUÍDO</v>
      </c>
      <c r="R1914" s="18"/>
    </row>
    <row r="1915" spans="1:18" hidden="1">
      <c r="A1915" s="30">
        <v>46188</v>
      </c>
      <c r="B1915" s="16">
        <v>46195</v>
      </c>
      <c r="C1915" s="21">
        <v>41521071</v>
      </c>
      <c r="D1915" s="16" t="str">
        <f>IFERROR(VLOOKUP(Tabela5[[#This Row],[PREFIXO ]],Tabela4[#All],2,0),"CENTRO DE CUSTO")</f>
        <v>MICROONIBUS SPRINTER 417 CDI K42B</v>
      </c>
      <c r="E1915" s="18" t="s">
        <v>110</v>
      </c>
      <c r="F1915" s="21">
        <v>8869</v>
      </c>
      <c r="G1915" s="22">
        <v>2047</v>
      </c>
      <c r="H1915" s="22">
        <v>2097.9899999999998</v>
      </c>
      <c r="I1915" s="22">
        <f t="shared" si="30"/>
        <v>4144.99</v>
      </c>
      <c r="J1915" s="18" t="s">
        <v>1199</v>
      </c>
      <c r="K1915" s="18" t="s">
        <v>4534</v>
      </c>
      <c r="L1915" s="18" t="s">
        <v>4535</v>
      </c>
      <c r="M1915" s="18" t="s">
        <v>4536</v>
      </c>
      <c r="N1915" s="41">
        <v>46196</v>
      </c>
      <c r="O1915" s="18" t="s">
        <v>4537</v>
      </c>
      <c r="P1915" s="18" t="s">
        <v>3576</v>
      </c>
      <c r="Q1915" s="16" t="str" cm="1">
        <f t="array" ref="Q1915">_xlfn.IFS(
A1915="","",
AND(A1915&lt;&gt;"",B1915=""),"FALTA LANÇAMENTO",
AND(B1915&lt;&gt;"",M1915=""),"FALTA O PEDIDO",
AND(M1915&lt;&gt;"",O1915=""),"FALTA NF",
O1915&lt;&gt;"","CONCLUÍDO")</f>
        <v>CONCLUÍDO</v>
      </c>
      <c r="R1915" s="18"/>
    </row>
    <row r="1916" spans="1:18" hidden="1">
      <c r="A1916" s="30">
        <v>46188</v>
      </c>
      <c r="B1916" s="16">
        <v>46195</v>
      </c>
      <c r="C1916" s="21">
        <v>61521049</v>
      </c>
      <c r="D1916" s="16" t="str">
        <f>IFERROR(VLOOKUP(Tabela5[[#This Row],[PREFIXO ]],Tabela4[#All],2,0),"CENTRO DE CUSTO")</f>
        <v>PA CARREGADEIRA JOHN DEERE 524 K II</v>
      </c>
      <c r="E1916" s="18" t="s">
        <v>68</v>
      </c>
      <c r="F1916" s="21">
        <v>2329</v>
      </c>
      <c r="G1916" s="22">
        <v>28200</v>
      </c>
      <c r="H1916" s="22"/>
      <c r="I1916" s="22">
        <f t="shared" ref="I1916:I1979" si="31">G1916+H1916</f>
        <v>28200</v>
      </c>
      <c r="J1916" s="18" t="s">
        <v>1080</v>
      </c>
      <c r="K1916" s="18" t="s">
        <v>4538</v>
      </c>
      <c r="L1916" s="18" t="s">
        <v>4539</v>
      </c>
      <c r="M1916" s="37" t="s">
        <v>4540</v>
      </c>
      <c r="N1916" s="16">
        <v>46196</v>
      </c>
      <c r="O1916" s="45" t="s">
        <v>4541</v>
      </c>
      <c r="P1916" s="33" t="s">
        <v>3576</v>
      </c>
      <c r="Q1916" s="16" t="str" cm="1">
        <f t="array" ref="Q1916">_xlfn.IFS(
A1916="","",
AND(A1916&lt;&gt;"",B1916=""),"FALTA LANÇAMENTO",
AND(B1916&lt;&gt;"",M1916=""),"FALTA O PEDIDO",
AND(M1916&lt;&gt;"",O1916=""),"FALTA NF",
O1916&lt;&gt;"","CONCLUÍDO")</f>
        <v>CONCLUÍDO</v>
      </c>
      <c r="R1916" s="18"/>
    </row>
    <row r="1917" spans="1:18" hidden="1">
      <c r="A1917" s="30">
        <v>46188</v>
      </c>
      <c r="B1917" s="16">
        <v>46204</v>
      </c>
      <c r="C1917" s="21">
        <v>61521083</v>
      </c>
      <c r="D1917" s="16" t="str">
        <f>IFERROR(VLOOKUP(Tabela5[[#This Row],[PREFIXO ]],Tabela4[#All],2,0),"CENTRO DE CUSTO")</f>
        <v>CAM COMBOIO VOLVO VM 330</v>
      </c>
      <c r="E1917" s="18" t="s">
        <v>96</v>
      </c>
      <c r="F1917" s="21" t="s">
        <v>4542</v>
      </c>
      <c r="G1917" s="22">
        <v>522</v>
      </c>
      <c r="H1917" s="22">
        <v>906.34</v>
      </c>
      <c r="I1917" s="22">
        <f t="shared" si="31"/>
        <v>1428.3400000000001</v>
      </c>
      <c r="J1917" s="18" t="s">
        <v>1199</v>
      </c>
      <c r="K1917" s="18" t="s">
        <v>4543</v>
      </c>
      <c r="L1917" s="18" t="s">
        <v>4544</v>
      </c>
      <c r="M1917" s="18" t="s">
        <v>4545</v>
      </c>
      <c r="N1917" s="41">
        <v>46204</v>
      </c>
      <c r="O1917" s="18" t="s">
        <v>4546</v>
      </c>
      <c r="P1917" s="18" t="s">
        <v>4208</v>
      </c>
      <c r="Q1917" s="16" t="str" cm="1">
        <f t="array" ref="Q1917">_xlfn.IFS(
A1917="","",
AND(A1917&lt;&gt;"",B1917=""),"FALTA LANÇAMENTO",
AND(B1917&lt;&gt;"",M1917=""),"FALTA O PEDIDO",
AND(M1917&lt;&gt;"",O1917=""),"FALTA NF",
O1917&lt;&gt;"","CONCLUÍDO")</f>
        <v>CONCLUÍDO</v>
      </c>
      <c r="R1917" s="18"/>
    </row>
    <row r="1918" spans="1:18" hidden="1">
      <c r="A1918" s="30">
        <v>46188</v>
      </c>
      <c r="B1918" s="16">
        <v>46204</v>
      </c>
      <c r="C1918" s="21">
        <v>61521079</v>
      </c>
      <c r="D1918" s="16" t="str">
        <f>IFERROR(VLOOKUP(Tabela5[[#This Row],[PREFIXO ]],Tabela4[#All],2,0),"CENTRO DE CUSTO")</f>
        <v>CAM PIPA BOMB VOLVO VM 330</v>
      </c>
      <c r="E1918" s="18" t="s">
        <v>250</v>
      </c>
      <c r="F1918" s="21">
        <v>40809</v>
      </c>
      <c r="G1918" s="22">
        <v>650</v>
      </c>
      <c r="H1918" s="22">
        <v>1121.8499999999999</v>
      </c>
      <c r="I1918" s="22">
        <f t="shared" si="31"/>
        <v>1771.85</v>
      </c>
      <c r="J1918" s="18" t="s">
        <v>1199</v>
      </c>
      <c r="K1918" s="18" t="s">
        <v>4547</v>
      </c>
      <c r="L1918" s="18" t="s">
        <v>4548</v>
      </c>
      <c r="M1918" s="18" t="s">
        <v>4549</v>
      </c>
      <c r="N1918" s="41">
        <v>46205</v>
      </c>
      <c r="O1918" s="18" t="s">
        <v>4442</v>
      </c>
      <c r="P1918" s="18" t="s">
        <v>4140</v>
      </c>
      <c r="Q1918" s="16" t="str" cm="1">
        <f t="array" ref="Q1918">_xlfn.IFS(
A1918="","",
AND(A1918&lt;&gt;"",B1918=""),"FALTA LANÇAMENTO",
AND(B1918&lt;&gt;"",M1918=""),"FALTA O PEDIDO",
AND(M1918&lt;&gt;"",O1918=""),"FALTA NF",
O1918&lt;&gt;"","CONCLUÍDO")</f>
        <v>CONCLUÍDO</v>
      </c>
      <c r="R1918" s="18"/>
    </row>
    <row r="1919" spans="1:18" hidden="1">
      <c r="A1919" s="30">
        <v>46188</v>
      </c>
      <c r="B1919" s="16">
        <v>46202</v>
      </c>
      <c r="C1919" s="21">
        <v>51521066</v>
      </c>
      <c r="D1919" s="16" t="str">
        <f>IFERROR(VLOOKUP(Tabela5[[#This Row],[PREFIXO ]],Tabela4[#All],2,0),"CENTRO DE CUSTO")</f>
        <v>COLHED ALGODÃO JOHN DEERE CP 690</v>
      </c>
      <c r="E1919" s="18" t="s">
        <v>70</v>
      </c>
      <c r="F1919" s="21">
        <v>22781</v>
      </c>
      <c r="G1919" s="22">
        <v>2100</v>
      </c>
      <c r="H1919" s="22"/>
      <c r="I1919" s="22">
        <f t="shared" si="31"/>
        <v>2100</v>
      </c>
      <c r="J1919" s="18" t="s">
        <v>1113</v>
      </c>
      <c r="K1919" s="18" t="s">
        <v>4550</v>
      </c>
      <c r="L1919" s="18" t="s">
        <v>4551</v>
      </c>
      <c r="M1919" s="36" t="s">
        <v>4552</v>
      </c>
      <c r="N1919" s="16">
        <v>46202</v>
      </c>
      <c r="O1919" s="46"/>
      <c r="P1919" s="18"/>
      <c r="Q1919" s="16" t="str" cm="1">
        <f t="array" ref="Q1919">_xlfn.IFS(
A1919="","",
AND(A1919&lt;&gt;"",B1919=""),"FALTA LANÇAMENTO",
AND(B1919&lt;&gt;"",M1919=""),"FALTA O PEDIDO",
AND(M1919&lt;&gt;"",O1919=""),"FALTA NF",
O1919&lt;&gt;"","CONCLUÍDO")</f>
        <v>FALTA NF</v>
      </c>
      <c r="R1919" s="18"/>
    </row>
    <row r="1920" spans="1:18" hidden="1">
      <c r="A1920" s="30">
        <v>46188</v>
      </c>
      <c r="B1920" s="30">
        <v>46197</v>
      </c>
      <c r="C1920" s="31">
        <v>6173059</v>
      </c>
      <c r="D1920" s="30" t="str">
        <f>IFERROR(VLOOKUP(Tabela5[[#This Row],[PREFIXO ]],Tabela4[#All],2,0),"CENTRO DE CUSTO")</f>
        <v>CAM CARGA SECA FORD F-4000</v>
      </c>
      <c r="E1920" s="33" t="s">
        <v>121</v>
      </c>
      <c r="F1920" s="31">
        <v>89</v>
      </c>
      <c r="G1920" s="32">
        <v>817</v>
      </c>
      <c r="H1920" s="32">
        <v>2099.31</v>
      </c>
      <c r="I1920" s="32">
        <f t="shared" si="31"/>
        <v>2916.31</v>
      </c>
      <c r="J1920" s="18" t="s">
        <v>1199</v>
      </c>
      <c r="K1920" s="33" t="s">
        <v>4553</v>
      </c>
      <c r="L1920" s="33" t="s">
        <v>4554</v>
      </c>
      <c r="M1920" s="36" t="s">
        <v>4555</v>
      </c>
      <c r="N1920" s="16">
        <v>46198</v>
      </c>
      <c r="O1920" s="46" t="s">
        <v>4556</v>
      </c>
      <c r="P1920" s="33" t="s">
        <v>4056</v>
      </c>
      <c r="Q1920" s="30" t="str" cm="1">
        <f t="array" ref="Q1920">_xlfn.IFS(
A1920="","",
AND(A1920&lt;&gt;"",B1920=""),"FALTA LANÇAMENTO",
AND(B1920&lt;&gt;"",M1920=""),"FALTA O PEDIDO",
AND(M1920&lt;&gt;"",O1920=""),"FALTA NF",
O1920&lt;&gt;"","CONCLUÍDO")</f>
        <v>CONCLUÍDO</v>
      </c>
      <c r="R1920" s="33"/>
    </row>
    <row r="1921" spans="1:18" hidden="1">
      <c r="A1921" s="30">
        <v>46188</v>
      </c>
      <c r="B1921" s="30">
        <v>46198</v>
      </c>
      <c r="C1921" s="31">
        <v>61521065</v>
      </c>
      <c r="D1921" s="30" t="str">
        <f>IFERROR(VLOOKUP(Tabela5[[#This Row],[PREFIXO ]],Tabela4[#All],2,0),"CENTRO DE CUSTO")</f>
        <v>CAM ROLL ON/OFF VOLVO VM 330</v>
      </c>
      <c r="E1921" s="33" t="s">
        <v>29</v>
      </c>
      <c r="F1921" s="31">
        <v>55948</v>
      </c>
      <c r="G1921" s="32">
        <v>16693</v>
      </c>
      <c r="H1921" s="32">
        <v>39045.72</v>
      </c>
      <c r="I1921" s="32">
        <f t="shared" si="31"/>
        <v>55738.720000000001</v>
      </c>
      <c r="J1921" s="33" t="s">
        <v>1199</v>
      </c>
      <c r="K1921" s="33" t="s">
        <v>4557</v>
      </c>
      <c r="L1921" s="33" t="s">
        <v>4558</v>
      </c>
      <c r="M1921" s="36" t="s">
        <v>4559</v>
      </c>
      <c r="N1921" s="16">
        <v>46200</v>
      </c>
      <c r="O1921" s="46" t="s">
        <v>4560</v>
      </c>
      <c r="P1921" s="33" t="s">
        <v>4056</v>
      </c>
      <c r="Q1921" s="30" t="str" cm="1">
        <f t="array" ref="Q1921">_xlfn.IFS(
A1921="","",
AND(A1921&lt;&gt;"",B1921=""),"FALTA LANÇAMENTO",
AND(B1921&lt;&gt;"",M1921=""),"FALTA O PEDIDO",
AND(M1921&lt;&gt;"",O1921=""),"FALTA NF",
O1921&lt;&gt;"","CONCLUÍDO")</f>
        <v>CONCLUÍDO</v>
      </c>
      <c r="R1921" s="33"/>
    </row>
    <row r="1922" spans="1:18" hidden="1">
      <c r="A1922" s="30">
        <v>46188</v>
      </c>
      <c r="B1922" s="30">
        <v>46196</v>
      </c>
      <c r="C1922" s="31">
        <v>61521011</v>
      </c>
      <c r="D1922" s="30" t="str">
        <f>IFERROR(VLOOKUP(Tabela5[[#This Row],[PREFIXO ]],Tabela4[#All],2,0),"CENTRO DE CUSTO")</f>
        <v>CAM COMBOIO MERC BENZ ATRON 2729</v>
      </c>
      <c r="E1922" s="33" t="s">
        <v>121</v>
      </c>
      <c r="F1922" s="31">
        <v>90</v>
      </c>
      <c r="G1922" s="32">
        <v>1662.5</v>
      </c>
      <c r="H1922" s="32">
        <v>3233.96</v>
      </c>
      <c r="I1922" s="32">
        <f t="shared" si="31"/>
        <v>4896.46</v>
      </c>
      <c r="J1922" s="18" t="s">
        <v>1199</v>
      </c>
      <c r="K1922" s="33" t="s">
        <v>4561</v>
      </c>
      <c r="L1922" s="33" t="s">
        <v>4562</v>
      </c>
      <c r="M1922" s="37" t="s">
        <v>4563</v>
      </c>
      <c r="N1922" s="16">
        <v>46197</v>
      </c>
      <c r="O1922" s="45" t="s">
        <v>3189</v>
      </c>
      <c r="P1922" s="33" t="s">
        <v>4056</v>
      </c>
      <c r="Q1922" s="30" t="str" cm="1">
        <f t="array" ref="Q1922">_xlfn.IFS(
A1922="","",
AND(A1922&lt;&gt;"",B1922=""),"FALTA LANÇAMENTO",
AND(B1922&lt;&gt;"",M1922=""),"FALTA O PEDIDO",
AND(M1922&lt;&gt;"",O1922=""),"FALTA NF",
O1922&lt;&gt;"","CONCLUÍDO")</f>
        <v>CONCLUÍDO</v>
      </c>
      <c r="R1922" s="33"/>
    </row>
    <row r="1923" spans="1:18" hidden="1">
      <c r="A1923" s="30">
        <v>46188</v>
      </c>
      <c r="B1923" s="30">
        <v>46195</v>
      </c>
      <c r="C1923" s="31">
        <v>51521063</v>
      </c>
      <c r="D1923" s="30" t="str">
        <f>IFERROR(VLOOKUP(Tabela5[[#This Row],[PREFIXO ]],Tabela4[#All],2,0),"CENTRO DE CUSTO")</f>
        <v>COLHED ALGODÃO JOHN DEERE CP 690</v>
      </c>
      <c r="E1923" s="33" t="s">
        <v>173</v>
      </c>
      <c r="F1923" s="31">
        <v>1011</v>
      </c>
      <c r="G1923" s="32">
        <v>3844</v>
      </c>
      <c r="H1923" s="32">
        <v>31736.9</v>
      </c>
      <c r="I1923" s="32">
        <f t="shared" si="31"/>
        <v>35580.9</v>
      </c>
      <c r="J1923" s="18" t="s">
        <v>1123</v>
      </c>
      <c r="K1923" s="33" t="s">
        <v>4564</v>
      </c>
      <c r="L1923" s="33" t="s">
        <v>4565</v>
      </c>
      <c r="M1923" s="37" t="s">
        <v>4566</v>
      </c>
      <c r="N1923" s="16">
        <v>46205</v>
      </c>
      <c r="O1923" s="45" t="s">
        <v>4567</v>
      </c>
      <c r="P1923" s="33" t="s">
        <v>4140</v>
      </c>
      <c r="Q1923" s="30" t="str" cm="1">
        <f t="array" ref="Q1923">_xlfn.IFS(
A1923="","",
AND(A1923&lt;&gt;"",B1923=""),"FALTA LANÇAMENTO",
AND(B1923&lt;&gt;"",M1923=""),"FALTA O PEDIDO",
AND(M1923&lt;&gt;"",O1923=""),"FALTA NF",
O1923&lt;&gt;"","CONCLUÍDO")</f>
        <v>CONCLUÍDO</v>
      </c>
      <c r="R1923" s="33"/>
    </row>
    <row r="1924" spans="1:18" hidden="1">
      <c r="A1924" s="30">
        <v>46188</v>
      </c>
      <c r="B1924" s="30">
        <v>46195</v>
      </c>
      <c r="C1924" s="31">
        <v>51521045</v>
      </c>
      <c r="D1924" s="30" t="str">
        <f>IFERROR(VLOOKUP(Tabela5[[#This Row],[PREFIXO ]],Tabela4[#All],2,0),"CENTRO DE CUSTO")</f>
        <v>COLHED ALGODÃO JOHN DEERE CP 690</v>
      </c>
      <c r="E1924" s="33" t="s">
        <v>173</v>
      </c>
      <c r="F1924" s="31">
        <v>1010</v>
      </c>
      <c r="G1924" s="32">
        <v>939</v>
      </c>
      <c r="H1924" s="32">
        <v>18297</v>
      </c>
      <c r="I1924" s="32">
        <f t="shared" si="31"/>
        <v>19236</v>
      </c>
      <c r="J1924" s="18" t="s">
        <v>1123</v>
      </c>
      <c r="K1924" s="33" t="s">
        <v>4568</v>
      </c>
      <c r="L1924" s="33" t="s">
        <v>4569</v>
      </c>
      <c r="M1924" s="37" t="s">
        <v>4570</v>
      </c>
      <c r="N1924" s="16">
        <v>46198</v>
      </c>
      <c r="O1924" s="45" t="s">
        <v>4571</v>
      </c>
      <c r="P1924" s="33" t="s">
        <v>4140</v>
      </c>
      <c r="Q1924" s="30" t="str" cm="1">
        <f t="array" ref="Q1924">_xlfn.IFS(
A1924="","",
AND(A1924&lt;&gt;"",B1924=""),"FALTA LANÇAMENTO",
AND(B1924&lt;&gt;"",M1924=""),"FALTA O PEDIDO",
AND(M1924&lt;&gt;"",O1924=""),"FALTA NF",
O1924&lt;&gt;"","CONCLUÍDO")</f>
        <v>CONCLUÍDO</v>
      </c>
      <c r="R1924" s="33"/>
    </row>
    <row r="1925" spans="1:18" hidden="1">
      <c r="A1925" s="30">
        <v>46188</v>
      </c>
      <c r="B1925" s="30">
        <v>46192</v>
      </c>
      <c r="C1925" s="31">
        <v>51521063</v>
      </c>
      <c r="D1925" s="30" t="str">
        <f>IFERROR(VLOOKUP(Tabela5[[#This Row],[PREFIXO ]],Tabela4[#All],2,0),"CENTRO DE CUSTO")</f>
        <v>COLHED ALGODÃO JOHN DEERE CP 690</v>
      </c>
      <c r="E1925" s="33" t="s">
        <v>17</v>
      </c>
      <c r="F1925" s="31">
        <v>44637</v>
      </c>
      <c r="G1925" s="32">
        <v>3552.5</v>
      </c>
      <c r="H1925" s="32">
        <v>2177.64</v>
      </c>
      <c r="I1925" s="32">
        <f t="shared" si="31"/>
        <v>5730.1399999999994</v>
      </c>
      <c r="J1925" s="18" t="s">
        <v>1123</v>
      </c>
      <c r="K1925" s="33" t="s">
        <v>4572</v>
      </c>
      <c r="L1925" s="33" t="s">
        <v>4573</v>
      </c>
      <c r="M1925" s="37" t="s">
        <v>4574</v>
      </c>
      <c r="N1925" s="16">
        <v>46195</v>
      </c>
      <c r="O1925" s="45" t="s">
        <v>4575</v>
      </c>
      <c r="P1925" s="33" t="s">
        <v>3576</v>
      </c>
      <c r="Q1925" s="30" t="str" cm="1">
        <f t="array" ref="Q1925">_xlfn.IFS(
A1925="","",
AND(A1925&lt;&gt;"",B1925=""),"FALTA LANÇAMENTO",
AND(B1925&lt;&gt;"",M1925=""),"FALTA O PEDIDO",
AND(M1925&lt;&gt;"",O1925=""),"FALTA NF",
O1925&lt;&gt;"","CONCLUÍDO")</f>
        <v>CONCLUÍDO</v>
      </c>
      <c r="R1925" s="33"/>
    </row>
    <row r="1926" spans="1:18" hidden="1">
      <c r="A1926" s="30">
        <v>46188</v>
      </c>
      <c r="B1926" s="30">
        <v>46195</v>
      </c>
      <c r="C1926" s="31">
        <v>500580088</v>
      </c>
      <c r="D1926" s="30" t="str">
        <f>IFERROR(VLOOKUP(Tabela5[[#This Row],[PREFIXO ]],Tabela4[#All],2,0),"CENTRO DE CUSTO")</f>
        <v>Ônibus</v>
      </c>
      <c r="E1926" s="33" t="s">
        <v>249</v>
      </c>
      <c r="F1926" s="31">
        <v>249</v>
      </c>
      <c r="G1926" s="32">
        <v>10850</v>
      </c>
      <c r="H1926" s="32"/>
      <c r="I1926" s="32">
        <f t="shared" si="31"/>
        <v>10850</v>
      </c>
      <c r="J1926" s="18" t="s">
        <v>1199</v>
      </c>
      <c r="K1926" s="33" t="s">
        <v>4576</v>
      </c>
      <c r="L1926" s="33" t="s">
        <v>4577</v>
      </c>
      <c r="M1926" s="33" t="s">
        <v>4578</v>
      </c>
      <c r="N1926" s="41">
        <v>46196</v>
      </c>
      <c r="O1926" s="33" t="s">
        <v>2418</v>
      </c>
      <c r="P1926" s="33" t="s">
        <v>3576</v>
      </c>
      <c r="Q1926" s="30" t="str" cm="1">
        <f t="array" ref="Q1926">_xlfn.IFS(
A1926="","",
AND(A1926&lt;&gt;"",B1926=""),"FALTA LANÇAMENTO",
AND(B1926&lt;&gt;"",M1926=""),"FALTA O PEDIDO",
AND(M1926&lt;&gt;"",O1926=""),"FALTA NF",
O1926&lt;&gt;"","CONCLUÍDO")</f>
        <v>CONCLUÍDO</v>
      </c>
      <c r="R1926" s="33"/>
    </row>
    <row r="1927" spans="1:18" hidden="1">
      <c r="A1927" s="30">
        <v>46188</v>
      </c>
      <c r="B1927" s="30">
        <v>46192</v>
      </c>
      <c r="C1927" s="31">
        <v>51519058</v>
      </c>
      <c r="D1927" s="30" t="str">
        <f>IFERROR(VLOOKUP(Tabela5[[#This Row],[PREFIXO ]],Tabela4[#All],2,0),"CENTRO DE CUSTO")</f>
        <v>CENTRO DE CUSTO</v>
      </c>
      <c r="E1927" s="33" t="s">
        <v>17</v>
      </c>
      <c r="F1927" s="31">
        <v>44450</v>
      </c>
      <c r="G1927" s="32">
        <v>6095</v>
      </c>
      <c r="H1927" s="32">
        <v>2177.64</v>
      </c>
      <c r="I1927" s="32">
        <f t="shared" si="31"/>
        <v>8272.64</v>
      </c>
      <c r="J1927" s="33" t="s">
        <v>1123</v>
      </c>
      <c r="K1927" s="33" t="s">
        <v>4579</v>
      </c>
      <c r="L1927" s="33" t="s">
        <v>4580</v>
      </c>
      <c r="M1927" s="33" t="s">
        <v>4581</v>
      </c>
      <c r="N1927" s="30">
        <v>46195</v>
      </c>
      <c r="O1927" s="33" t="s">
        <v>4582</v>
      </c>
      <c r="P1927" s="33" t="s">
        <v>3869</v>
      </c>
      <c r="Q1927" s="30" t="str" cm="1">
        <f t="array" ref="Q1927">_xlfn.IFS(
A1927="","",
AND(A1927&lt;&gt;"",B1927=""),"FALTA LANÇAMENTO",
AND(B1927&lt;&gt;"",M1927=""),"FALTA O PEDIDO",
AND(M1927&lt;&gt;"",O1927=""),"FALTA NF",
O1927&lt;&gt;"","CONCLUÍDO")</f>
        <v>CONCLUÍDO</v>
      </c>
      <c r="R1927" s="33"/>
    </row>
    <row r="1928" spans="1:18" hidden="1">
      <c r="A1928" s="30">
        <v>46190</v>
      </c>
      <c r="B1928" s="30">
        <v>46191</v>
      </c>
      <c r="C1928" s="31">
        <v>51521064</v>
      </c>
      <c r="D1928" s="30" t="str">
        <f>IFERROR(VLOOKUP(Tabela5[[#This Row],[PREFIXO ]],Tabela4[#All],2,0),"CENTRO DE CUSTO")</f>
        <v>COLHED ALGODÃO JOHN DEERE CP 690</v>
      </c>
      <c r="E1928" s="33" t="s">
        <v>71</v>
      </c>
      <c r="F1928" s="31">
        <v>7789</v>
      </c>
      <c r="G1928" s="32">
        <v>7990.37</v>
      </c>
      <c r="H1928" s="32">
        <v>8796.36</v>
      </c>
      <c r="I1928" s="32">
        <f t="shared" si="31"/>
        <v>16786.73</v>
      </c>
      <c r="J1928" s="33" t="s">
        <v>1123</v>
      </c>
      <c r="K1928" s="33" t="s">
        <v>4583</v>
      </c>
      <c r="L1928" s="33" t="s">
        <v>4584</v>
      </c>
      <c r="M1928" s="33" t="s">
        <v>4585</v>
      </c>
      <c r="N1928" s="30">
        <v>46191</v>
      </c>
      <c r="O1928" s="33"/>
      <c r="P1928" s="33"/>
      <c r="Q1928" s="30" t="str" cm="1">
        <f t="array" ref="Q1928">_xlfn.IFS(
A1928="","",
AND(A1928&lt;&gt;"",B1928=""),"FALTA LANÇAMENTO",
AND(B1928&lt;&gt;"",M1928=""),"FALTA O PEDIDO",
AND(M1928&lt;&gt;"",O1928=""),"FALTA NF",
O1928&lt;&gt;"","CONCLUÍDO")</f>
        <v>FALTA NF</v>
      </c>
      <c r="R1928" s="33"/>
    </row>
    <row r="1929" spans="1:18" hidden="1">
      <c r="A1929" s="30">
        <v>46191</v>
      </c>
      <c r="B1929" s="30">
        <v>46197</v>
      </c>
      <c r="C1929" s="31">
        <v>81521331</v>
      </c>
      <c r="D1929" s="30" t="str">
        <f>IFERROR(VLOOKUP(Tabela5[[#This Row],[PREFIXO ]],Tabela4[#All],2,0),"CENTRO DE CUSTO")</f>
        <v>PLANT GRÃOS N.HOLLAND PL7000 60 LINHAS</v>
      </c>
      <c r="E1929" s="33" t="s">
        <v>311</v>
      </c>
      <c r="F1929" s="31">
        <v>774</v>
      </c>
      <c r="G1929" s="32">
        <v>5031</v>
      </c>
      <c r="H1929" s="32"/>
      <c r="I1929" s="32">
        <f t="shared" si="31"/>
        <v>5031</v>
      </c>
      <c r="J1929" s="18" t="s">
        <v>1199</v>
      </c>
      <c r="K1929" s="33"/>
      <c r="L1929" s="33" t="s">
        <v>4586</v>
      </c>
      <c r="M1929" s="33" t="s">
        <v>4587</v>
      </c>
      <c r="N1929" s="30">
        <v>46199</v>
      </c>
      <c r="O1929" s="33" t="s">
        <v>2888</v>
      </c>
      <c r="P1929" s="33" t="s">
        <v>4140</v>
      </c>
      <c r="Q1929" s="30" t="str" cm="1">
        <f t="array" ref="Q1929">_xlfn.IFS(
A1929="","",
AND(A1929&lt;&gt;"",B1929=""),"FALTA LANÇAMENTO",
AND(B1929&lt;&gt;"",M1929=""),"FALTA O PEDIDO",
AND(M1929&lt;&gt;"",O1929=""),"FALTA NF",
O1929&lt;&gt;"","CONCLUÍDO")</f>
        <v>CONCLUÍDO</v>
      </c>
      <c r="R1929" s="33"/>
    </row>
    <row r="1930" spans="1:18" hidden="1">
      <c r="A1930" s="30">
        <v>46191</v>
      </c>
      <c r="B1930" s="30">
        <v>46197</v>
      </c>
      <c r="C1930" s="31">
        <v>81521294</v>
      </c>
      <c r="D1930" s="30" t="str">
        <f>IFERROR(VLOOKUP(Tabela5[[#This Row],[PREFIXO ]],Tabela4[#All],2,0),"CENTRO DE CUSTO")</f>
        <v>PLANT GRÃOS N.HOLLAND PL7000 60 LINHAS</v>
      </c>
      <c r="E1930" s="33" t="s">
        <v>311</v>
      </c>
      <c r="F1930" s="31">
        <v>764</v>
      </c>
      <c r="G1930" s="32">
        <v>5661</v>
      </c>
      <c r="H1930" s="32"/>
      <c r="I1930" s="32">
        <f t="shared" si="31"/>
        <v>5661</v>
      </c>
      <c r="J1930" s="33" t="s">
        <v>1199</v>
      </c>
      <c r="K1930" s="33"/>
      <c r="L1930" s="33" t="s">
        <v>4586</v>
      </c>
      <c r="M1930" s="33" t="s">
        <v>4587</v>
      </c>
      <c r="N1930" s="30">
        <v>46199</v>
      </c>
      <c r="O1930" s="33" t="s">
        <v>2888</v>
      </c>
      <c r="P1930" s="33" t="s">
        <v>4140</v>
      </c>
      <c r="Q1930" s="30" t="str" cm="1">
        <f t="array" ref="Q1930">_xlfn.IFS(
A1930="","",
AND(A1930&lt;&gt;"",B1930=""),"FALTA LANÇAMENTO",
AND(B1930&lt;&gt;"",M1930=""),"FALTA O PEDIDO",
AND(M1930&lt;&gt;"",O1930=""),"FALTA NF",
O1930&lt;&gt;"","CONCLUÍDO")</f>
        <v>CONCLUÍDO</v>
      </c>
      <c r="R1930" s="33"/>
    </row>
    <row r="1931" spans="1:18" hidden="1">
      <c r="A1931" s="30">
        <v>46191</v>
      </c>
      <c r="B1931" s="30">
        <v>46197</v>
      </c>
      <c r="C1931" s="31">
        <v>85048097</v>
      </c>
      <c r="D1931" s="30" t="str">
        <f>IFERROR(VLOOKUP(Tabela5[[#This Row],[PREFIXO ]],Tabela4[#All],2,0),"CENTRO DE CUSTO")</f>
        <v>CENTRO DE CUSTO</v>
      </c>
      <c r="E1931" s="33" t="s">
        <v>311</v>
      </c>
      <c r="F1931" s="31">
        <v>766</v>
      </c>
      <c r="G1931" s="32">
        <v>3960</v>
      </c>
      <c r="H1931" s="32"/>
      <c r="I1931" s="32">
        <f t="shared" si="31"/>
        <v>3960</v>
      </c>
      <c r="J1931" s="33" t="s">
        <v>1199</v>
      </c>
      <c r="K1931" s="33"/>
      <c r="L1931" s="33" t="s">
        <v>4586</v>
      </c>
      <c r="M1931" s="33" t="s">
        <v>4587</v>
      </c>
      <c r="N1931" s="30">
        <v>46199</v>
      </c>
      <c r="O1931" s="33" t="s">
        <v>2888</v>
      </c>
      <c r="P1931" s="33" t="s">
        <v>4140</v>
      </c>
      <c r="Q1931" s="30" t="str" cm="1">
        <f t="array" ref="Q1931">_xlfn.IFS(
A1931="","",
AND(A1931&lt;&gt;"",B1931=""),"FALTA LANÇAMENTO",
AND(B1931&lt;&gt;"",M1931=""),"FALTA O PEDIDO",
AND(M1931&lt;&gt;"",O1931=""),"FALTA NF",
O1931&lt;&gt;"","CONCLUÍDO")</f>
        <v>CONCLUÍDO</v>
      </c>
      <c r="R1931" s="33"/>
    </row>
    <row r="1932" spans="1:18" hidden="1">
      <c r="A1932" s="30">
        <v>46191</v>
      </c>
      <c r="B1932" s="30">
        <v>46197</v>
      </c>
      <c r="C1932" s="31">
        <v>8173160</v>
      </c>
      <c r="D1932" s="30" t="str">
        <f>IFERROR(VLOOKUP(Tabela5[[#This Row],[PREFIXO ]],Tabela4[#All],2,0),"CENTRO DE CUSTO")</f>
        <v>CENTRO DE CUSTO</v>
      </c>
      <c r="E1932" s="33" t="s">
        <v>311</v>
      </c>
      <c r="F1932" s="31">
        <v>790</v>
      </c>
      <c r="G1932" s="32">
        <v>4383</v>
      </c>
      <c r="H1932" s="32"/>
      <c r="I1932" s="32">
        <f t="shared" si="31"/>
        <v>4383</v>
      </c>
      <c r="J1932" s="33" t="s">
        <v>1199</v>
      </c>
      <c r="K1932" s="33"/>
      <c r="L1932" s="33" t="s">
        <v>4586</v>
      </c>
      <c r="M1932" s="33" t="s">
        <v>4587</v>
      </c>
      <c r="N1932" s="30">
        <v>46199</v>
      </c>
      <c r="O1932" s="33" t="s">
        <v>2888</v>
      </c>
      <c r="P1932" s="33" t="s">
        <v>4140</v>
      </c>
      <c r="Q1932" s="30" t="str" cm="1">
        <f t="array" ref="Q1932">_xlfn.IFS(
A1932="","",
AND(A1932&lt;&gt;"",B1932=""),"FALTA LANÇAMENTO",
AND(B1932&lt;&gt;"",M1932=""),"FALTA O PEDIDO",
AND(M1932&lt;&gt;"",O1932=""),"FALTA NF",
O1932&lt;&gt;"","CONCLUÍDO")</f>
        <v>CONCLUÍDO</v>
      </c>
      <c r="R1932" s="33"/>
    </row>
    <row r="1933" spans="1:18" hidden="1">
      <c r="A1933" s="30">
        <v>46191</v>
      </c>
      <c r="B1933" s="30">
        <v>46197</v>
      </c>
      <c r="C1933" s="31">
        <v>8173169</v>
      </c>
      <c r="D1933" s="30" t="str">
        <f>IFERROR(VLOOKUP(Tabela5[[#This Row],[PREFIXO ]],Tabela4[#All],2,0),"CENTRO DE CUSTO")</f>
        <v>PLANT GRÃOS JOHN DEERE 9200 PI 12 LINHAS</v>
      </c>
      <c r="E1933" s="33" t="s">
        <v>311</v>
      </c>
      <c r="F1933" s="31">
        <v>789</v>
      </c>
      <c r="G1933" s="32">
        <v>4095</v>
      </c>
      <c r="H1933" s="32"/>
      <c r="I1933" s="32">
        <f t="shared" si="31"/>
        <v>4095</v>
      </c>
      <c r="J1933" s="33" t="s">
        <v>1199</v>
      </c>
      <c r="K1933" s="33"/>
      <c r="L1933" s="33" t="s">
        <v>4586</v>
      </c>
      <c r="M1933" s="33" t="s">
        <v>4587</v>
      </c>
      <c r="N1933" s="30">
        <v>46199</v>
      </c>
      <c r="O1933" s="33" t="s">
        <v>2888</v>
      </c>
      <c r="P1933" s="33" t="s">
        <v>4140</v>
      </c>
      <c r="Q1933" s="30" t="str" cm="1">
        <f t="array" ref="Q1933">_xlfn.IFS(
A1933="","",
AND(A1933&lt;&gt;"",B1933=""),"FALTA LANÇAMENTO",
AND(B1933&lt;&gt;"",M1933=""),"FALTA O PEDIDO",
AND(M1933&lt;&gt;"",O1933=""),"FALTA NF",
O1933&lt;&gt;"","CONCLUÍDO")</f>
        <v>CONCLUÍDO</v>
      </c>
      <c r="R1933" s="33"/>
    </row>
    <row r="1934" spans="1:18" hidden="1">
      <c r="A1934" s="30">
        <v>46191</v>
      </c>
      <c r="B1934" s="30">
        <v>46197</v>
      </c>
      <c r="C1934" s="31">
        <v>81519219</v>
      </c>
      <c r="D1934" s="30" t="str">
        <f>IFERROR(VLOOKUP(Tabela5[[#This Row],[PREFIXO ]],Tabela4[#All],2,0),"CENTRO DE CUSTO")</f>
        <v>PLANT GRÃOS JOHN DEERE DB90 ME 60 LINHAS</v>
      </c>
      <c r="E1934" s="33" t="s">
        <v>311</v>
      </c>
      <c r="F1934" s="31">
        <v>770</v>
      </c>
      <c r="G1934" s="32">
        <v>4150</v>
      </c>
      <c r="H1934" s="32"/>
      <c r="I1934" s="32">
        <f t="shared" si="31"/>
        <v>4150</v>
      </c>
      <c r="J1934" s="33" t="s">
        <v>1199</v>
      </c>
      <c r="K1934" s="33"/>
      <c r="L1934" s="33" t="s">
        <v>4588</v>
      </c>
      <c r="M1934" s="33" t="s">
        <v>4589</v>
      </c>
      <c r="N1934" s="30">
        <v>46199</v>
      </c>
      <c r="O1934" s="33" t="s">
        <v>2884</v>
      </c>
      <c r="P1934" s="33" t="s">
        <v>4140</v>
      </c>
      <c r="Q1934" s="30" t="str" cm="1">
        <f t="array" ref="Q1934">_xlfn.IFS(
A1934="","",
AND(A1934&lt;&gt;"",B1934=""),"FALTA LANÇAMENTO",
AND(B1934&lt;&gt;"",M1934=""),"FALTA O PEDIDO",
AND(M1934&lt;&gt;"",O1934=""),"FALTA NF",
O1934&lt;&gt;"","CONCLUÍDO")</f>
        <v>CONCLUÍDO</v>
      </c>
      <c r="R1934" s="33"/>
    </row>
    <row r="1935" spans="1:18" hidden="1">
      <c r="A1935" s="30">
        <v>46191</v>
      </c>
      <c r="B1935" s="30">
        <v>46197</v>
      </c>
      <c r="C1935" s="31">
        <v>81521316</v>
      </c>
      <c r="D1935" s="30" t="str">
        <f>IFERROR(VLOOKUP(Tabela5[[#This Row],[PREFIXO ]],Tabela4[#All],2,0),"CENTRO DE CUSTO")</f>
        <v>PLANT GRÃOS JOHN DEERE DB90 ME 60 LINHAS</v>
      </c>
      <c r="E1935" s="33" t="s">
        <v>311</v>
      </c>
      <c r="F1935" s="31">
        <v>771</v>
      </c>
      <c r="G1935" s="32">
        <v>3600</v>
      </c>
      <c r="H1935" s="32"/>
      <c r="I1935" s="32">
        <f t="shared" si="31"/>
        <v>3600</v>
      </c>
      <c r="J1935" s="33" t="s">
        <v>1199</v>
      </c>
      <c r="K1935" s="33"/>
      <c r="L1935" s="33" t="s">
        <v>4588</v>
      </c>
      <c r="M1935" s="33" t="s">
        <v>4589</v>
      </c>
      <c r="N1935" s="30">
        <v>46199</v>
      </c>
      <c r="O1935" s="33" t="s">
        <v>2884</v>
      </c>
      <c r="P1935" s="33" t="s">
        <v>4140</v>
      </c>
      <c r="Q1935" s="30" t="str" cm="1">
        <f t="array" ref="Q1935">_xlfn.IFS(
A1935="","",
AND(A1935&lt;&gt;"",B1935=""),"FALTA LANÇAMENTO",
AND(B1935&lt;&gt;"",M1935=""),"FALTA O PEDIDO",
AND(M1935&lt;&gt;"",O1935=""),"FALTA NF",
O1935&lt;&gt;"","CONCLUÍDO")</f>
        <v>CONCLUÍDO</v>
      </c>
      <c r="R1935" s="33"/>
    </row>
    <row r="1936" spans="1:18" hidden="1">
      <c r="A1936" s="30">
        <v>46191</v>
      </c>
      <c r="B1936" s="30">
        <v>46197</v>
      </c>
      <c r="C1936" s="31">
        <v>17320836</v>
      </c>
      <c r="D1936" s="30" t="str">
        <f>IFERROR(VLOOKUP(Tabela5[[#This Row],[PREFIXO ]],Tabela4[#All],2,0),"CENTRO DE CUSTO")</f>
        <v>PLANTADEIRA CASE IH FAST RISER 6100</v>
      </c>
      <c r="E1936" s="33" t="s">
        <v>311</v>
      </c>
      <c r="F1936" s="31">
        <v>781</v>
      </c>
      <c r="G1936" s="32">
        <v>4750</v>
      </c>
      <c r="H1936" s="32"/>
      <c r="I1936" s="32">
        <f t="shared" si="31"/>
        <v>4750</v>
      </c>
      <c r="J1936" s="33" t="s">
        <v>1199</v>
      </c>
      <c r="K1936" s="33"/>
      <c r="L1936" s="33" t="s">
        <v>4588</v>
      </c>
      <c r="M1936" s="33" t="s">
        <v>4589</v>
      </c>
      <c r="N1936" s="30">
        <v>46199</v>
      </c>
      <c r="O1936" s="33" t="s">
        <v>2884</v>
      </c>
      <c r="P1936" s="33" t="s">
        <v>4140</v>
      </c>
      <c r="Q1936" s="30" t="str" cm="1">
        <f t="array" ref="Q1936">_xlfn.IFS(
A1936="","",
AND(A1936&lt;&gt;"",B1936=""),"FALTA LANÇAMENTO",
AND(B1936&lt;&gt;"",M1936=""),"FALTA O PEDIDO",
AND(M1936&lt;&gt;"",O1936=""),"FALTA NF",
O1936&lt;&gt;"","CONCLUÍDO")</f>
        <v>CONCLUÍDO</v>
      </c>
      <c r="R1936" s="33"/>
    </row>
    <row r="1937" spans="1:18" hidden="1">
      <c r="A1937" s="30">
        <v>46191</v>
      </c>
      <c r="B1937" s="30">
        <v>46197</v>
      </c>
      <c r="C1937" s="31">
        <v>81522081</v>
      </c>
      <c r="D1937" s="30" t="str">
        <f>IFERROR(VLOOKUP(Tabela5[[#This Row],[PREFIXO ]],Tabela4[#All],2,0),"CENTRO DE CUSTO")</f>
        <v>PLANT GRÃOS JOHN DEERE 2100 DF 30 LINHAS</v>
      </c>
      <c r="E1937" s="33" t="s">
        <v>311</v>
      </c>
      <c r="F1937" s="31">
        <v>792</v>
      </c>
      <c r="G1937" s="32">
        <v>4370</v>
      </c>
      <c r="H1937" s="32"/>
      <c r="I1937" s="32">
        <f t="shared" si="31"/>
        <v>4370</v>
      </c>
      <c r="J1937" s="33" t="s">
        <v>1199</v>
      </c>
      <c r="K1937" s="33"/>
      <c r="L1937" s="33" t="s">
        <v>4588</v>
      </c>
      <c r="M1937" s="33" t="s">
        <v>4589</v>
      </c>
      <c r="N1937" s="30">
        <v>46199</v>
      </c>
      <c r="O1937" s="33" t="s">
        <v>2884</v>
      </c>
      <c r="P1937" s="33" t="s">
        <v>4140</v>
      </c>
      <c r="Q1937" s="30" t="str" cm="1">
        <f t="array" ref="Q1937">_xlfn.IFS(
A1937="","",
AND(A1937&lt;&gt;"",B1937=""),"FALTA LANÇAMENTO",
AND(B1937&lt;&gt;"",M1937=""),"FALTA O PEDIDO",
AND(M1937&lt;&gt;"",O1937=""),"FALTA NF",
O1937&lt;&gt;"","CONCLUÍDO")</f>
        <v>CONCLUÍDO</v>
      </c>
      <c r="R1937" s="33"/>
    </row>
    <row r="1938" spans="1:18" hidden="1">
      <c r="A1938" s="30">
        <v>46191</v>
      </c>
      <c r="B1938" s="30">
        <v>46197</v>
      </c>
      <c r="C1938" s="31">
        <v>81521315</v>
      </c>
      <c r="D1938" s="30" t="str">
        <f>IFERROR(VLOOKUP(Tabela5[[#This Row],[PREFIXO ]],Tabela4[#All],2,0),"CENTRO DE CUSTO")</f>
        <v>PLANT GRÃOS JOHN DEERE DB90 ME 60 LINHAS</v>
      </c>
      <c r="E1938" s="33" t="s">
        <v>311</v>
      </c>
      <c r="F1938" s="31">
        <v>767</v>
      </c>
      <c r="G1938" s="32">
        <v>3990</v>
      </c>
      <c r="H1938" s="32"/>
      <c r="I1938" s="32">
        <f t="shared" si="31"/>
        <v>3990</v>
      </c>
      <c r="J1938" s="33" t="s">
        <v>1199</v>
      </c>
      <c r="K1938" s="33"/>
      <c r="L1938" s="33" t="s">
        <v>4588</v>
      </c>
      <c r="M1938" s="33" t="s">
        <v>4589</v>
      </c>
      <c r="N1938" s="30">
        <v>46199</v>
      </c>
      <c r="O1938" s="33" t="s">
        <v>2884</v>
      </c>
      <c r="P1938" s="33" t="s">
        <v>4140</v>
      </c>
      <c r="Q1938" s="30" t="str" cm="1">
        <f t="array" ref="Q1938">_xlfn.IFS(
A1938="","",
AND(A1938&lt;&gt;"",B1938=""),"FALTA LANÇAMENTO",
AND(B1938&lt;&gt;"",M1938=""),"FALTA O PEDIDO",
AND(M1938&lt;&gt;"",O1938=""),"FALTA NF",
O1938&lt;&gt;"","CONCLUÍDO")</f>
        <v>CONCLUÍDO</v>
      </c>
      <c r="R1938" s="33"/>
    </row>
    <row r="1939" spans="1:18" hidden="1">
      <c r="A1939" s="30">
        <v>46191</v>
      </c>
      <c r="B1939" s="30">
        <v>46197</v>
      </c>
      <c r="C1939" s="31">
        <v>81520086</v>
      </c>
      <c r="D1939" s="30" t="str">
        <f>IFERROR(VLOOKUP(Tabela5[[#This Row],[PREFIXO ]],Tabela4[#All],2,0),"CENTRO DE CUSTO")</f>
        <v>PLANT GRÃOS JOHN DEERE 2100 DF 15 LINHAS</v>
      </c>
      <c r="E1939" s="33" t="s">
        <v>311</v>
      </c>
      <c r="F1939" s="31">
        <v>785</v>
      </c>
      <c r="G1939" s="32">
        <v>4626</v>
      </c>
      <c r="H1939" s="32"/>
      <c r="I1939" s="32">
        <f t="shared" si="31"/>
        <v>4626</v>
      </c>
      <c r="J1939" s="33" t="s">
        <v>1199</v>
      </c>
      <c r="K1939" s="33"/>
      <c r="L1939" s="33" t="s">
        <v>4588</v>
      </c>
      <c r="M1939" s="33" t="s">
        <v>4589</v>
      </c>
      <c r="N1939" s="30">
        <v>46199</v>
      </c>
      <c r="O1939" s="33" t="s">
        <v>2884</v>
      </c>
      <c r="P1939" s="33" t="s">
        <v>4140</v>
      </c>
      <c r="Q1939" s="30" t="str" cm="1">
        <f t="array" ref="Q1939">_xlfn.IFS(
A1939="","",
AND(A1939&lt;&gt;"",B1939=""),"FALTA LANÇAMENTO",
AND(B1939&lt;&gt;"",M1939=""),"FALTA O PEDIDO",
AND(M1939&lt;&gt;"",O1939=""),"FALTA NF",
O1939&lt;&gt;"","CONCLUÍDO")</f>
        <v>CONCLUÍDO</v>
      </c>
      <c r="R1939" s="33"/>
    </row>
    <row r="1940" spans="1:18" hidden="1">
      <c r="A1940" s="30">
        <v>46191</v>
      </c>
      <c r="B1940" s="30">
        <v>46197</v>
      </c>
      <c r="C1940" s="31">
        <v>81521335</v>
      </c>
      <c r="D1940" s="30" t="str">
        <f>IFERROR(VLOOKUP(Tabela5[[#This Row],[PREFIXO ]],Tabela4[#All],2,0),"CENTRO DE CUSTO")</f>
        <v>PLANT GRÃOS N.HOLLAND PL7000 60 LINHAS</v>
      </c>
      <c r="E1940" s="33" t="s">
        <v>311</v>
      </c>
      <c r="F1940" s="31">
        <v>769</v>
      </c>
      <c r="G1940" s="32">
        <v>8100</v>
      </c>
      <c r="H1940" s="32"/>
      <c r="I1940" s="32">
        <f t="shared" si="31"/>
        <v>8100</v>
      </c>
      <c r="J1940" s="33" t="s">
        <v>1199</v>
      </c>
      <c r="K1940" s="33"/>
      <c r="L1940" s="33" t="s">
        <v>4590</v>
      </c>
      <c r="M1940" s="33">
        <v>41897199</v>
      </c>
      <c r="N1940" s="30">
        <v>46199</v>
      </c>
      <c r="O1940" s="33" t="s">
        <v>1455</v>
      </c>
      <c r="P1940" s="33" t="s">
        <v>4140</v>
      </c>
      <c r="Q1940" s="30" t="str" cm="1">
        <f t="array" ref="Q1940">_xlfn.IFS(
A1940="","",
AND(A1940&lt;&gt;"",B1940=""),"FALTA LANÇAMENTO",
AND(B1940&lt;&gt;"",M1940=""),"FALTA O PEDIDO",
AND(M1940&lt;&gt;"",O1940=""),"FALTA NF",
O1940&lt;&gt;"","CONCLUÍDO")</f>
        <v>CONCLUÍDO</v>
      </c>
      <c r="R1940" s="33"/>
    </row>
    <row r="1941" spans="1:18" hidden="1">
      <c r="A1941" s="30">
        <v>46191</v>
      </c>
      <c r="B1941" s="30">
        <v>46197</v>
      </c>
      <c r="C1941" s="31">
        <v>81520164</v>
      </c>
      <c r="D1941" s="30" t="str">
        <f>IFERROR(VLOOKUP(Tabela5[[#This Row],[PREFIXO ]],Tabela4[#All],2,0),"CENTRO DE CUSTO")</f>
        <v>PLANTADEIRA JD 2130 15 LINHAS</v>
      </c>
      <c r="E1941" s="33" t="s">
        <v>311</v>
      </c>
      <c r="F1941" s="31">
        <v>786</v>
      </c>
      <c r="G1941" s="32">
        <v>3940</v>
      </c>
      <c r="H1941" s="32"/>
      <c r="I1941" s="32">
        <f t="shared" si="31"/>
        <v>3940</v>
      </c>
      <c r="J1941" s="33" t="s">
        <v>1199</v>
      </c>
      <c r="K1941" s="33"/>
      <c r="L1941" s="33" t="s">
        <v>4590</v>
      </c>
      <c r="M1941" s="33">
        <v>41897199</v>
      </c>
      <c r="N1941" s="30">
        <v>46199</v>
      </c>
      <c r="O1941" s="33" t="s">
        <v>1455</v>
      </c>
      <c r="P1941" s="33" t="s">
        <v>4140</v>
      </c>
      <c r="Q1941" s="30" t="str" cm="1">
        <f t="array" ref="Q1941">_xlfn.IFS(
A1941="","",
AND(A1941&lt;&gt;"",B1941=""),"FALTA LANÇAMENTO",
AND(B1941&lt;&gt;"",M1941=""),"FALTA O PEDIDO",
AND(M1941&lt;&gt;"",O1941=""),"FALTA NF",
O1941&lt;&gt;"","CONCLUÍDO")</f>
        <v>CONCLUÍDO</v>
      </c>
      <c r="R1941" s="33"/>
    </row>
    <row r="1942" spans="1:18" hidden="1">
      <c r="A1942" s="30">
        <v>46191</v>
      </c>
      <c r="B1942" s="30">
        <v>46197</v>
      </c>
      <c r="C1942" s="31">
        <v>8181027</v>
      </c>
      <c r="D1942" s="30" t="str">
        <f>IFERROR(VLOOKUP(Tabela5[[#This Row],[PREFIXO ]],Tabela4[#All],2,0),"CENTRO DE CUSTO")</f>
        <v>PLANT GRÃOS JOHN DEERE 9200 PI 12 LINHAS</v>
      </c>
      <c r="E1942" s="33" t="s">
        <v>311</v>
      </c>
      <c r="F1942" s="31">
        <v>788</v>
      </c>
      <c r="G1942" s="32">
        <v>3940</v>
      </c>
      <c r="H1942" s="32"/>
      <c r="I1942" s="32">
        <f t="shared" si="31"/>
        <v>3940</v>
      </c>
      <c r="J1942" s="33" t="s">
        <v>1199</v>
      </c>
      <c r="K1942" s="33"/>
      <c r="L1942" s="33" t="s">
        <v>4590</v>
      </c>
      <c r="M1942" s="33">
        <v>41897199</v>
      </c>
      <c r="N1942" s="30">
        <v>46199</v>
      </c>
      <c r="O1942" s="33" t="s">
        <v>1455</v>
      </c>
      <c r="P1942" s="33" t="s">
        <v>4140</v>
      </c>
      <c r="Q1942" s="30" t="str" cm="1">
        <f t="array" ref="Q1942">_xlfn.IFS(
A1942="","",
AND(A1942&lt;&gt;"",B1942=""),"FALTA LANÇAMENTO",
AND(B1942&lt;&gt;"",M1942=""),"FALTA O PEDIDO",
AND(M1942&lt;&gt;"",O1942=""),"FALTA NF",
O1942&lt;&gt;"","CONCLUÍDO")</f>
        <v>CONCLUÍDO</v>
      </c>
      <c r="R1942" s="33"/>
    </row>
    <row r="1943" spans="1:18" hidden="1">
      <c r="A1943" s="30">
        <v>46191</v>
      </c>
      <c r="B1943" s="30">
        <v>46197</v>
      </c>
      <c r="C1943" s="31">
        <v>81521317</v>
      </c>
      <c r="D1943" s="30" t="str">
        <f>IFERROR(VLOOKUP(Tabela5[[#This Row],[PREFIXO ]],Tabela4[#All],2,0),"CENTRO DE CUSTO")</f>
        <v>PLANT GRÃOS JOHN DEERE DB90 ME 60 LINHAS</v>
      </c>
      <c r="E1943" s="33" t="s">
        <v>311</v>
      </c>
      <c r="F1943" s="31">
        <v>772</v>
      </c>
      <c r="G1943" s="32">
        <v>3820</v>
      </c>
      <c r="H1943" s="32"/>
      <c r="I1943" s="32">
        <f t="shared" si="31"/>
        <v>3820</v>
      </c>
      <c r="J1943" s="33" t="s">
        <v>1199</v>
      </c>
      <c r="K1943" s="33"/>
      <c r="L1943" s="33" t="s">
        <v>4590</v>
      </c>
      <c r="M1943" s="33">
        <v>41897199</v>
      </c>
      <c r="N1943" s="30">
        <v>46199</v>
      </c>
      <c r="O1943" s="33" t="s">
        <v>1455</v>
      </c>
      <c r="P1943" s="33" t="s">
        <v>4140</v>
      </c>
      <c r="Q1943" s="30" t="str" cm="1">
        <f t="array" ref="Q1943">_xlfn.IFS(
A1943="","",
AND(A1943&lt;&gt;"",B1943=""),"FALTA LANÇAMENTO",
AND(B1943&lt;&gt;"",M1943=""),"FALTA O PEDIDO",
AND(M1943&lt;&gt;"",O1943=""),"FALTA NF",
O1943&lt;&gt;"","CONCLUÍDO")</f>
        <v>CONCLUÍDO</v>
      </c>
      <c r="R1943" s="33"/>
    </row>
    <row r="1944" spans="1:18" hidden="1">
      <c r="A1944" s="30">
        <v>46191</v>
      </c>
      <c r="B1944" s="30">
        <v>46197</v>
      </c>
      <c r="C1944" s="31">
        <v>81521295</v>
      </c>
      <c r="D1944" s="30" t="str">
        <f>IFERROR(VLOOKUP(Tabela5[[#This Row],[PREFIXO ]],Tabela4[#All],2,0),"CENTRO DE CUSTO")</f>
        <v>PLANTADEIRA NH PL7000 60 LINHAS</v>
      </c>
      <c r="E1944" s="33" t="s">
        <v>311</v>
      </c>
      <c r="F1944" s="31">
        <v>779</v>
      </c>
      <c r="G1944" s="32">
        <v>3490</v>
      </c>
      <c r="H1944" s="32"/>
      <c r="I1944" s="32">
        <f t="shared" si="31"/>
        <v>3490</v>
      </c>
      <c r="J1944" s="33" t="s">
        <v>1199</v>
      </c>
      <c r="K1944" s="33"/>
      <c r="L1944" s="33" t="s">
        <v>4590</v>
      </c>
      <c r="M1944" s="33">
        <v>41897199</v>
      </c>
      <c r="N1944" s="30">
        <v>46199</v>
      </c>
      <c r="O1944" s="33" t="s">
        <v>1455</v>
      </c>
      <c r="P1944" s="33" t="s">
        <v>4140</v>
      </c>
      <c r="Q1944" s="30" t="str" cm="1">
        <f t="array" ref="Q1944">_xlfn.IFS(
A1944="","",
AND(A1944&lt;&gt;"",B1944=""),"FALTA LANÇAMENTO",
AND(B1944&lt;&gt;"",M1944=""),"FALTA O PEDIDO",
AND(M1944&lt;&gt;"",O1944=""),"FALTA NF",
O1944&lt;&gt;"","CONCLUÍDO")</f>
        <v>CONCLUÍDO</v>
      </c>
      <c r="R1944" s="33"/>
    </row>
    <row r="1945" spans="1:18" hidden="1">
      <c r="A1945" s="30">
        <v>46191</v>
      </c>
      <c r="B1945" s="30">
        <v>46197</v>
      </c>
      <c r="C1945" s="31">
        <v>81521332</v>
      </c>
      <c r="D1945" s="30" t="str">
        <f>IFERROR(VLOOKUP(Tabela5[[#This Row],[PREFIXO ]],Tabela4[#All],2,0),"CENTRO DE CUSTO")</f>
        <v>PLANT GRÃOS N.HOLLAND PL7000 60 LINHAS</v>
      </c>
      <c r="E1945" s="33" t="s">
        <v>311</v>
      </c>
      <c r="F1945" s="31">
        <v>775</v>
      </c>
      <c r="G1945" s="32">
        <v>3950</v>
      </c>
      <c r="H1945" s="32"/>
      <c r="I1945" s="32">
        <f t="shared" si="31"/>
        <v>3950</v>
      </c>
      <c r="J1945" s="33" t="s">
        <v>1199</v>
      </c>
      <c r="K1945" s="33"/>
      <c r="L1945" s="33" t="s">
        <v>4590</v>
      </c>
      <c r="M1945" s="33">
        <v>41897199</v>
      </c>
      <c r="N1945" s="30">
        <v>46199</v>
      </c>
      <c r="O1945" s="33" t="s">
        <v>1455</v>
      </c>
      <c r="P1945" s="33" t="s">
        <v>4140</v>
      </c>
      <c r="Q1945" s="30" t="str" cm="1">
        <f t="array" ref="Q1945">_xlfn.IFS(
A1945="","",
AND(A1945&lt;&gt;"",B1945=""),"FALTA LANÇAMENTO",
AND(B1945&lt;&gt;"",M1945=""),"FALTA O PEDIDO",
AND(M1945&lt;&gt;"",O1945=""),"FALTA NF",
O1945&lt;&gt;"","CONCLUÍDO")</f>
        <v>CONCLUÍDO</v>
      </c>
      <c r="R1945" s="33"/>
    </row>
    <row r="1946" spans="1:18" hidden="1">
      <c r="A1946" s="30">
        <v>46191</v>
      </c>
      <c r="B1946" s="30">
        <v>46197</v>
      </c>
      <c r="C1946" s="31">
        <v>81521334</v>
      </c>
      <c r="D1946" s="30" t="str">
        <f>IFERROR(VLOOKUP(Tabela5[[#This Row],[PREFIXO ]],Tabela4[#All],2,0),"CENTRO DE CUSTO")</f>
        <v>PLANT GRÃOS N.HOLLAND PL7000 60 LINHAS</v>
      </c>
      <c r="E1946" s="33" t="s">
        <v>311</v>
      </c>
      <c r="F1946" s="31">
        <v>780</v>
      </c>
      <c r="G1946" s="32">
        <v>4860</v>
      </c>
      <c r="H1946" s="32"/>
      <c r="I1946" s="32">
        <f t="shared" si="31"/>
        <v>4860</v>
      </c>
      <c r="J1946" s="33" t="s">
        <v>1199</v>
      </c>
      <c r="K1946" s="33"/>
      <c r="L1946" s="33" t="s">
        <v>4591</v>
      </c>
      <c r="M1946" s="33" t="s">
        <v>4592</v>
      </c>
      <c r="N1946" s="30">
        <v>46205</v>
      </c>
      <c r="O1946" s="33" t="s">
        <v>2882</v>
      </c>
      <c r="P1946" s="33" t="s">
        <v>4140</v>
      </c>
      <c r="Q1946" s="30" t="str" cm="1">
        <f t="array" ref="Q1946">_xlfn.IFS(
A1946="","",
AND(A1946&lt;&gt;"",B1946=""),"FALTA LANÇAMENTO",
AND(B1946&lt;&gt;"",M1946=""),"FALTA O PEDIDO",
AND(M1946&lt;&gt;"",O1946=""),"FALTA NF",
O1946&lt;&gt;"","CONCLUÍDO")</f>
        <v>CONCLUÍDO</v>
      </c>
      <c r="R1946" s="33"/>
    </row>
    <row r="1947" spans="1:18" hidden="1">
      <c r="A1947" s="30">
        <v>46191</v>
      </c>
      <c r="B1947" s="30">
        <v>46197</v>
      </c>
      <c r="C1947" s="31">
        <v>81521297</v>
      </c>
      <c r="D1947" s="30" t="str">
        <f>IFERROR(VLOOKUP(Tabela5[[#This Row],[PREFIXO ]],Tabela4[#All],2,0),"CENTRO DE CUSTO")</f>
        <v>PLANT GRÃOS CASE FAST RISER 60 LINHAS</v>
      </c>
      <c r="E1947" s="33" t="s">
        <v>311</v>
      </c>
      <c r="F1947" s="31">
        <v>773</v>
      </c>
      <c r="G1947" s="32">
        <v>4599</v>
      </c>
      <c r="H1947" s="32"/>
      <c r="I1947" s="32">
        <f t="shared" si="31"/>
        <v>4599</v>
      </c>
      <c r="J1947" s="33" t="s">
        <v>1199</v>
      </c>
      <c r="K1947" s="33"/>
      <c r="L1947" s="33" t="s">
        <v>4591</v>
      </c>
      <c r="M1947" s="33" t="s">
        <v>4592</v>
      </c>
      <c r="N1947" s="30">
        <v>46205</v>
      </c>
      <c r="O1947" s="33" t="s">
        <v>2882</v>
      </c>
      <c r="P1947" s="33" t="s">
        <v>4140</v>
      </c>
      <c r="Q1947" s="30" t="str" cm="1">
        <f t="array" ref="Q1947">_xlfn.IFS(
A1947="","",
AND(A1947&lt;&gt;"",B1947=""),"FALTA LANÇAMENTO",
AND(B1947&lt;&gt;"",M1947=""),"FALTA O PEDIDO",
AND(M1947&lt;&gt;"",O1947=""),"FALTA NF",
O1947&lt;&gt;"","CONCLUÍDO")</f>
        <v>CONCLUÍDO</v>
      </c>
      <c r="R1947" s="33"/>
    </row>
    <row r="1948" spans="1:18" hidden="1">
      <c r="A1948" s="30">
        <v>46191</v>
      </c>
      <c r="B1948" s="30">
        <v>46197</v>
      </c>
      <c r="C1948" s="31">
        <v>81521296</v>
      </c>
      <c r="D1948" s="30" t="str">
        <f>IFERROR(VLOOKUP(Tabela5[[#This Row],[PREFIXO ]],Tabela4[#All],2,0),"CENTRO DE CUSTO")</f>
        <v>PLANT GRÃOS CASE FAST RISER 60 LINHAS</v>
      </c>
      <c r="E1948" s="33" t="s">
        <v>311</v>
      </c>
      <c r="F1948" s="31">
        <v>768</v>
      </c>
      <c r="G1948" s="32">
        <v>8595</v>
      </c>
      <c r="H1948" s="32"/>
      <c r="I1948" s="32">
        <f t="shared" si="31"/>
        <v>8595</v>
      </c>
      <c r="J1948" s="33" t="s">
        <v>1199</v>
      </c>
      <c r="K1948" s="33"/>
      <c r="L1948" s="33" t="s">
        <v>4591</v>
      </c>
      <c r="M1948" s="33" t="s">
        <v>4592</v>
      </c>
      <c r="N1948" s="30">
        <v>46205</v>
      </c>
      <c r="O1948" s="33" t="s">
        <v>2882</v>
      </c>
      <c r="P1948" s="33" t="s">
        <v>4140</v>
      </c>
      <c r="Q1948" s="30" t="str" cm="1">
        <f t="array" ref="Q1948">_xlfn.IFS(
A1948="","",
AND(A1948&lt;&gt;"",B1948=""),"FALTA LANÇAMENTO",
AND(B1948&lt;&gt;"",M1948=""),"FALTA O PEDIDO",
AND(M1948&lt;&gt;"",O1948=""),"FALTA NF",
O1948&lt;&gt;"","CONCLUÍDO")</f>
        <v>CONCLUÍDO</v>
      </c>
      <c r="R1948" s="33"/>
    </row>
    <row r="1949" spans="1:18" hidden="1">
      <c r="A1949" s="30">
        <v>46191</v>
      </c>
      <c r="B1949" s="30">
        <v>46197</v>
      </c>
      <c r="C1949" s="31">
        <v>8181032</v>
      </c>
      <c r="D1949" s="30" t="str">
        <f>IFERROR(VLOOKUP(Tabela5[[#This Row],[PREFIXO ]],Tabela4[#All],2,0),"CENTRO DE CUSTO")</f>
        <v>PLANT GRÃOS JOHN DEERE 9200 PI 12 LINHAS</v>
      </c>
      <c r="E1949" s="33" t="s">
        <v>311</v>
      </c>
      <c r="F1949" s="31">
        <v>784</v>
      </c>
      <c r="G1949" s="32">
        <v>3940</v>
      </c>
      <c r="H1949" s="32"/>
      <c r="I1949" s="32">
        <f t="shared" si="31"/>
        <v>3940</v>
      </c>
      <c r="J1949" s="33" t="s">
        <v>1199</v>
      </c>
      <c r="K1949" s="33"/>
      <c r="L1949" s="33" t="s">
        <v>4591</v>
      </c>
      <c r="M1949" s="33" t="s">
        <v>4592</v>
      </c>
      <c r="N1949" s="30">
        <v>46205</v>
      </c>
      <c r="O1949" s="33" t="s">
        <v>2882</v>
      </c>
      <c r="P1949" s="33" t="s">
        <v>4140</v>
      </c>
      <c r="Q1949" s="30" t="str" cm="1">
        <f t="array" ref="Q1949">_xlfn.IFS(
A1949="","",
AND(A1949&lt;&gt;"",B1949=""),"FALTA LANÇAMENTO",
AND(B1949&lt;&gt;"",M1949=""),"FALTA O PEDIDO",
AND(M1949&lt;&gt;"",O1949=""),"FALTA NF",
O1949&lt;&gt;"","CONCLUÍDO")</f>
        <v>CONCLUÍDO</v>
      </c>
      <c r="R1949" s="33"/>
    </row>
    <row r="1950" spans="1:18" hidden="1">
      <c r="A1950" s="30">
        <v>46191</v>
      </c>
      <c r="B1950" s="30">
        <v>46197</v>
      </c>
      <c r="C1950" s="31">
        <v>8173157</v>
      </c>
      <c r="D1950" s="30" t="str">
        <f>IFERROR(VLOOKUP(Tabela5[[#This Row],[PREFIXO ]],Tabela4[#All],2,0),"CENTRO DE CUSTO")</f>
        <v>PLANTADEIRA JD 9200 - 12 LINHAS</v>
      </c>
      <c r="E1950" s="33" t="s">
        <v>311</v>
      </c>
      <c r="F1950" s="31">
        <v>787</v>
      </c>
      <c r="G1950" s="32">
        <v>3940</v>
      </c>
      <c r="H1950" s="32"/>
      <c r="I1950" s="32">
        <f t="shared" si="31"/>
        <v>3940</v>
      </c>
      <c r="J1950" s="33" t="s">
        <v>1199</v>
      </c>
      <c r="K1950" s="33"/>
      <c r="L1950" s="33" t="s">
        <v>4591</v>
      </c>
      <c r="M1950" s="33" t="s">
        <v>4592</v>
      </c>
      <c r="N1950" s="30">
        <v>46205</v>
      </c>
      <c r="O1950" s="33" t="s">
        <v>2882</v>
      </c>
      <c r="P1950" s="33" t="s">
        <v>4140</v>
      </c>
      <c r="Q1950" s="30" t="str" cm="1">
        <f t="array" ref="Q1950">_xlfn.IFS(
A1950="","",
AND(A1950&lt;&gt;"",B1950=""),"FALTA LANÇAMENTO",
AND(B1950&lt;&gt;"",M1950=""),"FALTA O PEDIDO",
AND(M1950&lt;&gt;"",O1950=""),"FALTA NF",
O1950&lt;&gt;"","CONCLUÍDO")</f>
        <v>CONCLUÍDO</v>
      </c>
      <c r="R1950" s="33"/>
    </row>
    <row r="1951" spans="1:18" hidden="1">
      <c r="A1951" s="30">
        <v>46191</v>
      </c>
      <c r="B1951" s="30">
        <v>46204</v>
      </c>
      <c r="C1951" s="31" t="s">
        <v>4593</v>
      </c>
      <c r="D1951" s="30" t="str">
        <f>IFERROR(VLOOKUP(Tabela5[[#This Row],[PREFIXO ]],Tabela4[#All],2,0),"CENTRO DE CUSTO")</f>
        <v>CENTRO DE CUSTO</v>
      </c>
      <c r="E1951" s="33" t="s">
        <v>235</v>
      </c>
      <c r="F1951" s="31">
        <v>2748</v>
      </c>
      <c r="G1951" s="32">
        <v>4950</v>
      </c>
      <c r="H1951" s="32">
        <v>5130</v>
      </c>
      <c r="I1951" s="32">
        <f t="shared" si="31"/>
        <v>10080</v>
      </c>
      <c r="J1951" s="33" t="s">
        <v>1123</v>
      </c>
      <c r="K1951" s="33" t="s">
        <v>4594</v>
      </c>
      <c r="L1951" s="33" t="s">
        <v>4595</v>
      </c>
      <c r="M1951" s="33" t="s">
        <v>4596</v>
      </c>
      <c r="N1951" s="30">
        <v>46205</v>
      </c>
      <c r="O1951" s="33" t="s">
        <v>4597</v>
      </c>
      <c r="P1951" s="33" t="s">
        <v>4140</v>
      </c>
      <c r="Q1951" s="30" t="str" cm="1">
        <f t="array" ref="Q1951">_xlfn.IFS(
A1951="","",
AND(A1951&lt;&gt;"",B1951=""),"FALTA LANÇAMENTO",
AND(B1951&lt;&gt;"",M1951=""),"FALTA O PEDIDO",
AND(M1951&lt;&gt;"",O1951=""),"FALTA NF",
O1951&lt;&gt;"","CONCLUÍDO")</f>
        <v>CONCLUÍDO</v>
      </c>
      <c r="R1951" s="33"/>
    </row>
    <row r="1952" spans="1:18" hidden="1">
      <c r="A1952" s="30">
        <v>46191</v>
      </c>
      <c r="B1952" s="30">
        <v>46204</v>
      </c>
      <c r="C1952" s="31">
        <v>51521085</v>
      </c>
      <c r="D1952" s="30" t="str">
        <f>IFERROR(VLOOKUP(Tabela5[[#This Row],[PREFIXO ]],Tabela4[#All],2,0),"CENTRO DE CUSTO")</f>
        <v>COLHEIT DE GRÃOS N.HOLLAND CR 8.90</v>
      </c>
      <c r="E1952" s="33" t="s">
        <v>235</v>
      </c>
      <c r="F1952" s="31">
        <v>2752</v>
      </c>
      <c r="G1952" s="32">
        <v>350</v>
      </c>
      <c r="H1952" s="32">
        <v>6650</v>
      </c>
      <c r="I1952" s="32">
        <f t="shared" si="31"/>
        <v>7000</v>
      </c>
      <c r="J1952" s="33" t="s">
        <v>1123</v>
      </c>
      <c r="K1952" s="33" t="s">
        <v>4598</v>
      </c>
      <c r="L1952" s="33" t="s">
        <v>4599</v>
      </c>
      <c r="M1952" s="33" t="s">
        <v>4600</v>
      </c>
      <c r="N1952" s="30">
        <v>46205</v>
      </c>
      <c r="O1952" s="33" t="s">
        <v>1639</v>
      </c>
      <c r="P1952" s="33" t="s">
        <v>4140</v>
      </c>
      <c r="Q1952" s="30" t="str" cm="1">
        <f t="array" ref="Q1952">_xlfn.IFS(
A1952="","",
AND(A1952&lt;&gt;"",B1952=""),"FALTA LANÇAMENTO",
AND(B1952&lt;&gt;"",M1952=""),"FALTA O PEDIDO",
AND(M1952&lt;&gt;"",O1952=""),"FALTA NF",
O1952&lt;&gt;"","CONCLUÍDO")</f>
        <v>CONCLUÍDO</v>
      </c>
      <c r="R1952" s="33"/>
    </row>
    <row r="1953" spans="1:18" hidden="1">
      <c r="A1953" s="30">
        <v>46191</v>
      </c>
      <c r="B1953" s="30">
        <v>46204</v>
      </c>
      <c r="C1953" s="31">
        <v>51521085</v>
      </c>
      <c r="D1953" s="30" t="str">
        <f>IFERROR(VLOOKUP(Tabela5[[#This Row],[PREFIXO ]],Tabela4[#All],2,0),"CENTRO DE CUSTO")</f>
        <v>COLHEIT DE GRÃOS N.HOLLAND CR 8.90</v>
      </c>
      <c r="E1953" s="33" t="s">
        <v>235</v>
      </c>
      <c r="F1953" s="31">
        <v>2737</v>
      </c>
      <c r="G1953" s="32">
        <v>27800</v>
      </c>
      <c r="H1953" s="32">
        <v>770</v>
      </c>
      <c r="I1953" s="32">
        <f t="shared" si="31"/>
        <v>28570</v>
      </c>
      <c r="J1953" s="33" t="s">
        <v>1123</v>
      </c>
      <c r="K1953" s="33" t="s">
        <v>4601</v>
      </c>
      <c r="L1953" s="33" t="s">
        <v>4602</v>
      </c>
      <c r="M1953" s="33" t="s">
        <v>4603</v>
      </c>
      <c r="N1953" s="30">
        <v>46206</v>
      </c>
      <c r="O1953" s="33" t="s">
        <v>4604</v>
      </c>
      <c r="P1953" s="33" t="s">
        <v>4605</v>
      </c>
      <c r="Q1953" s="30" t="str" cm="1">
        <f t="array" ref="Q1953">_xlfn.IFS(
A1953="","",
AND(A1953&lt;&gt;"",B1953=""),"FALTA LANÇAMENTO",
AND(B1953&lt;&gt;"",M1953=""),"FALTA O PEDIDO",
AND(M1953&lt;&gt;"",O1953=""),"FALTA NF",
O1953&lt;&gt;"","CONCLUÍDO")</f>
        <v>CONCLUÍDO</v>
      </c>
      <c r="R1953" s="33"/>
    </row>
    <row r="1954" spans="1:18" hidden="1">
      <c r="A1954" s="30">
        <v>46191</v>
      </c>
      <c r="B1954" s="30">
        <v>46197</v>
      </c>
      <c r="C1954" s="31">
        <v>61521065</v>
      </c>
      <c r="D1954" s="30" t="str">
        <f>IFERROR(VLOOKUP(Tabela5[[#This Row],[PREFIXO ]],Tabela4[#All],2,0),"CENTRO DE CUSTO")</f>
        <v>CAM ROLL ON/OFF VOLVO VM 330</v>
      </c>
      <c r="E1954" s="33" t="s">
        <v>121</v>
      </c>
      <c r="F1954" s="31">
        <v>91</v>
      </c>
      <c r="G1954" s="32">
        <v>932.69</v>
      </c>
      <c r="H1954" s="32"/>
      <c r="I1954" s="32">
        <f t="shared" si="31"/>
        <v>932.69</v>
      </c>
      <c r="J1954" s="33" t="s">
        <v>1199</v>
      </c>
      <c r="K1954" s="33" t="s">
        <v>4606</v>
      </c>
      <c r="L1954" s="33" t="s">
        <v>4607</v>
      </c>
      <c r="M1954" s="17" t="s">
        <v>4608</v>
      </c>
      <c r="N1954" s="30">
        <v>46198</v>
      </c>
      <c r="O1954" s="33" t="s">
        <v>3249</v>
      </c>
      <c r="P1954" s="33" t="s">
        <v>4056</v>
      </c>
      <c r="Q1954" s="30" t="str" cm="1">
        <f t="array" ref="Q1954">_xlfn.IFS(
A1954="","",
AND(A1954&lt;&gt;"",B1954=""),"FALTA LANÇAMENTO",
AND(B1954&lt;&gt;"",M1954=""),"FALTA O PEDIDO",
AND(M1954&lt;&gt;"",O1954=""),"FALTA NF",
O1954&lt;&gt;"","CONCLUÍDO")</f>
        <v>CONCLUÍDO</v>
      </c>
      <c r="R1954" s="33"/>
    </row>
    <row r="1955" spans="1:18" hidden="1">
      <c r="A1955" s="30">
        <v>46192</v>
      </c>
      <c r="B1955" s="30">
        <v>46211</v>
      </c>
      <c r="C1955" s="31">
        <v>23220008</v>
      </c>
      <c r="D1955" s="30" t="str">
        <f>IFERROR(VLOOKUP(Tabela5[[#This Row],[PREFIXO ]],Tabela4[#All],2,0),"CENTRO DE CUSTO")</f>
        <v>CENTRO DE CUSTO</v>
      </c>
      <c r="E1955" s="33" t="s">
        <v>162</v>
      </c>
      <c r="F1955" s="31">
        <v>30438</v>
      </c>
      <c r="G1955" s="32">
        <v>4700</v>
      </c>
      <c r="H1955" s="32"/>
      <c r="I1955" s="32">
        <f t="shared" si="31"/>
        <v>4700</v>
      </c>
      <c r="J1955" s="33" t="s">
        <v>1123</v>
      </c>
      <c r="K1955" s="33" t="s">
        <v>4609</v>
      </c>
      <c r="L1955" s="33" t="s">
        <v>4610</v>
      </c>
      <c r="M1955" s="33" t="s">
        <v>4611</v>
      </c>
      <c r="N1955" s="39">
        <v>46213</v>
      </c>
      <c r="O1955" s="33"/>
      <c r="P1955" s="33"/>
      <c r="Q1955" s="30" t="str" cm="1">
        <f t="array" ref="Q1955">_xlfn.IFS(
A1955="","",
AND(A1955&lt;&gt;"",B1955=""),"FALTA LANÇAMENTO",
AND(B1955&lt;&gt;"",M1955=""),"FALTA O PEDIDO",
AND(M1955&lt;&gt;"",O1955=""),"FALTA NF",
O1955&lt;&gt;"","CONCLUÍDO")</f>
        <v>FALTA NF</v>
      </c>
      <c r="R1955" s="33"/>
    </row>
    <row r="1956" spans="1:18" hidden="1">
      <c r="A1956" s="30">
        <v>46192</v>
      </c>
      <c r="B1956" s="30">
        <v>46204</v>
      </c>
      <c r="C1956" s="31">
        <v>61521090</v>
      </c>
      <c r="D1956" s="30" t="str">
        <f>IFERROR(VLOOKUP(Tabela5[[#This Row],[PREFIXO ]],Tabela4[#All],2,0),"CENTRO DE CUSTO")</f>
        <v>PA CARREGADEIRA JOHN DEERE 524 K II</v>
      </c>
      <c r="E1956" s="33" t="s">
        <v>173</v>
      </c>
      <c r="F1956" s="31">
        <v>1147</v>
      </c>
      <c r="G1956" s="32">
        <v>3204</v>
      </c>
      <c r="H1956" s="32">
        <v>4161.6099999999997</v>
      </c>
      <c r="I1956" s="32">
        <f t="shared" si="31"/>
        <v>7365.61</v>
      </c>
      <c r="J1956" s="33" t="s">
        <v>1265</v>
      </c>
      <c r="K1956" s="33" t="s">
        <v>4612</v>
      </c>
      <c r="L1956" s="33" t="s">
        <v>4613</v>
      </c>
      <c r="M1956" s="33" t="s">
        <v>4614</v>
      </c>
      <c r="N1956" s="30">
        <v>46205</v>
      </c>
      <c r="O1956" s="33" t="s">
        <v>4615</v>
      </c>
      <c r="P1956" s="33" t="s">
        <v>4140</v>
      </c>
      <c r="Q1956" s="30" t="str" cm="1">
        <f t="array" ref="Q1956">_xlfn.IFS(
A1956="","",
AND(A1956&lt;&gt;"",B1956=""),"FALTA LANÇAMENTO",
AND(B1956&lt;&gt;"",M1956=""),"FALTA O PEDIDO",
AND(M1956&lt;&gt;"",O1956=""),"FALTA NF",
O1956&lt;&gt;"","CONCLUÍDO")</f>
        <v>CONCLUÍDO</v>
      </c>
      <c r="R1956" s="33"/>
    </row>
    <row r="1957" spans="1:18" hidden="1">
      <c r="A1957" s="30">
        <v>46195</v>
      </c>
      <c r="B1957" s="30">
        <v>46198</v>
      </c>
      <c r="C1957" s="31">
        <v>1173005</v>
      </c>
      <c r="D1957" s="30" t="str">
        <f>IFERROR(VLOOKUP(Tabela5[[#This Row],[PREFIXO ]],Tabela4[#All],2,0),"CENTRO DE CUSTO")</f>
        <v>TRAT PN LEVE M FERGUSON MF 275</v>
      </c>
      <c r="E1957" s="33" t="s">
        <v>312</v>
      </c>
      <c r="F1957" s="31" t="s">
        <v>2895</v>
      </c>
      <c r="G1957" s="32">
        <v>1066</v>
      </c>
      <c r="H1957" s="32"/>
      <c r="I1957" s="32">
        <f t="shared" si="31"/>
        <v>1066</v>
      </c>
      <c r="J1957" s="33" t="s">
        <v>1199</v>
      </c>
      <c r="K1957" s="33" t="s">
        <v>4616</v>
      </c>
      <c r="L1957" s="33" t="s">
        <v>4617</v>
      </c>
      <c r="M1957" s="33" t="s">
        <v>4618</v>
      </c>
      <c r="N1957" s="30">
        <v>46198</v>
      </c>
      <c r="O1957" s="33" t="s">
        <v>2503</v>
      </c>
      <c r="P1957" s="33" t="s">
        <v>4056</v>
      </c>
      <c r="Q1957" s="30" t="str" cm="1">
        <f t="array" ref="Q1957">_xlfn.IFS(
A1957="","",
AND(A1957&lt;&gt;"",B1957=""),"FALTA LANÇAMENTO",
AND(B1957&lt;&gt;"",M1957=""),"FALTA O PEDIDO",
AND(M1957&lt;&gt;"",O1957=""),"FALTA NF",
O1957&lt;&gt;"","CONCLUÍDO")</f>
        <v>CONCLUÍDO</v>
      </c>
      <c r="R1957" s="33"/>
    </row>
    <row r="1958" spans="1:18" hidden="1">
      <c r="A1958" s="30">
        <v>46195</v>
      </c>
      <c r="B1958" s="30">
        <v>46198</v>
      </c>
      <c r="C1958" s="31">
        <v>11521037</v>
      </c>
      <c r="D1958" s="30" t="str">
        <f>IFERROR(VLOOKUP(Tabela5[[#This Row],[PREFIXO ]],Tabela4[#All],2,0),"CENTRO DE CUSTO")</f>
        <v>TRAT PN EXT PES N.HOLLAND T9.600</v>
      </c>
      <c r="E1958" s="33" t="s">
        <v>312</v>
      </c>
      <c r="F1958" s="31" t="s">
        <v>2888</v>
      </c>
      <c r="G1958" s="32">
        <v>1601.95</v>
      </c>
      <c r="H1958" s="32"/>
      <c r="I1958" s="32">
        <f t="shared" si="31"/>
        <v>1601.95</v>
      </c>
      <c r="J1958" s="33" t="s">
        <v>1199</v>
      </c>
      <c r="K1958" s="33" t="s">
        <v>4619</v>
      </c>
      <c r="L1958" s="33" t="s">
        <v>4617</v>
      </c>
      <c r="M1958" s="33" t="s">
        <v>4618</v>
      </c>
      <c r="N1958" s="30">
        <v>46198</v>
      </c>
      <c r="O1958" s="33" t="s">
        <v>2503</v>
      </c>
      <c r="P1958" s="33" t="s">
        <v>4056</v>
      </c>
      <c r="Q1958" s="30" t="str" cm="1">
        <f t="array" ref="Q1958">_xlfn.IFS(
A1958="","",
AND(A1958&lt;&gt;"",B1958=""),"FALTA LANÇAMENTO",
AND(B1958&lt;&gt;"",M1958=""),"FALTA O PEDIDO",
AND(M1958&lt;&gt;"",O1958=""),"FALTA NF",
O1958&lt;&gt;"","CONCLUÍDO")</f>
        <v>CONCLUÍDO</v>
      </c>
      <c r="R1958" s="33"/>
    </row>
    <row r="1959" spans="1:18" hidden="1">
      <c r="A1959" s="30">
        <v>46195</v>
      </c>
      <c r="B1959" s="30">
        <v>46198</v>
      </c>
      <c r="C1959" s="31">
        <v>1173114</v>
      </c>
      <c r="D1959" s="30" t="str">
        <f>IFERROR(VLOOKUP(Tabela5[[#This Row],[PREFIXO ]],Tabela4[#All],2,0),"CENTRO DE CUSTO")</f>
        <v>CENTRO DE CUSTO</v>
      </c>
      <c r="E1959" s="33" t="s">
        <v>312</v>
      </c>
      <c r="F1959" s="31" t="s">
        <v>2886</v>
      </c>
      <c r="G1959" s="32">
        <v>1350</v>
      </c>
      <c r="H1959" s="32"/>
      <c r="I1959" s="32">
        <f t="shared" si="31"/>
        <v>1350</v>
      </c>
      <c r="J1959" s="33" t="s">
        <v>1199</v>
      </c>
      <c r="K1959" s="33" t="s">
        <v>4620</v>
      </c>
      <c r="L1959" s="33" t="s">
        <v>4617</v>
      </c>
      <c r="M1959" s="33" t="s">
        <v>4618</v>
      </c>
      <c r="N1959" s="30">
        <v>46198</v>
      </c>
      <c r="O1959" s="33" t="s">
        <v>2503</v>
      </c>
      <c r="P1959" s="33" t="s">
        <v>4056</v>
      </c>
      <c r="Q1959" s="30" t="str" cm="1">
        <f t="array" ref="Q1959">_xlfn.IFS(
A1959="","",
AND(A1959&lt;&gt;"",B1959=""),"FALTA LANÇAMENTO",
AND(B1959&lt;&gt;"",M1959=""),"FALTA O PEDIDO",
AND(M1959&lt;&gt;"",O1959=""),"FALTA NF",
O1959&lt;&gt;"","CONCLUÍDO")</f>
        <v>CONCLUÍDO</v>
      </c>
      <c r="R1959" s="33"/>
    </row>
    <row r="1960" spans="1:18" hidden="1">
      <c r="A1960" s="16">
        <v>46195</v>
      </c>
      <c r="B1960" s="16">
        <v>46198</v>
      </c>
      <c r="C1960" s="21">
        <v>8181121</v>
      </c>
      <c r="D1960" s="16" t="str">
        <f>IFERROR(VLOOKUP(Tabela5[[#This Row],[PREFIXO ]],Tabela4[#All],2,0),"CENTRO DE CUSTO")</f>
        <v>SULCADOR POWER 4,5 540RPM</v>
      </c>
      <c r="E1960" s="18" t="s">
        <v>312</v>
      </c>
      <c r="F1960" s="21" t="s">
        <v>2768</v>
      </c>
      <c r="G1960" s="22">
        <v>1338</v>
      </c>
      <c r="H1960" s="22"/>
      <c r="I1960" s="22">
        <f t="shared" si="31"/>
        <v>1338</v>
      </c>
      <c r="J1960" s="18" t="s">
        <v>1199</v>
      </c>
      <c r="K1960" s="18" t="s">
        <v>4621</v>
      </c>
      <c r="L1960" s="18" t="s">
        <v>4617</v>
      </c>
      <c r="M1960" s="18" t="s">
        <v>4618</v>
      </c>
      <c r="N1960" s="30">
        <v>46198</v>
      </c>
      <c r="O1960" s="18" t="s">
        <v>2503</v>
      </c>
      <c r="P1960" s="18" t="s">
        <v>4056</v>
      </c>
      <c r="Q1960" s="16" t="str" cm="1">
        <f t="array" ref="Q1960">_xlfn.IFS(
A1960="","",
AND(A1960&lt;&gt;"",B1960=""),"FALTA LANÇAMENTO",
AND(B1960&lt;&gt;"",M1960=""),"FALTA O PEDIDO",
AND(M1960&lt;&gt;"",O1960=""),"FALTA NF",
O1960&lt;&gt;"","CONCLUÍDO")</f>
        <v>CONCLUÍDO</v>
      </c>
      <c r="R1960" s="18"/>
    </row>
    <row r="1961" spans="1:18" hidden="1">
      <c r="A1961" s="16">
        <v>46195</v>
      </c>
      <c r="B1961" s="16">
        <v>46198</v>
      </c>
      <c r="C1961" s="21">
        <v>51519060</v>
      </c>
      <c r="D1961" s="16" t="str">
        <f>IFERROR(VLOOKUP(Tabela5[[#This Row],[PREFIXO ]],Tabela4[#All],2,0),"CENTRO DE CUSTO")</f>
        <v>CENTRO DE CUSTO</v>
      </c>
      <c r="E1961" s="18" t="s">
        <v>255</v>
      </c>
      <c r="F1961" s="21">
        <v>1003</v>
      </c>
      <c r="G1961" s="22">
        <v>1100</v>
      </c>
      <c r="H1961" s="22"/>
      <c r="I1961" s="22">
        <f t="shared" si="31"/>
        <v>1100</v>
      </c>
      <c r="J1961" s="18" t="s">
        <v>1123</v>
      </c>
      <c r="K1961" s="18" t="s">
        <v>4622</v>
      </c>
      <c r="L1961" s="18" t="s">
        <v>4623</v>
      </c>
      <c r="M1961" s="18" t="s">
        <v>4624</v>
      </c>
      <c r="N1961" s="41">
        <v>46199</v>
      </c>
      <c r="O1961" s="18" t="s">
        <v>3333</v>
      </c>
      <c r="P1961" s="18" t="s">
        <v>4056</v>
      </c>
      <c r="Q1961" s="16" t="str" cm="1">
        <f t="array" ref="Q1961">_xlfn.IFS(
A1961="","",
AND(A1961&lt;&gt;"",B1961=""),"FALTA LANÇAMENTO",
AND(B1961&lt;&gt;"",M1961=""),"FALTA O PEDIDO",
AND(M1961&lt;&gt;"",O1961=""),"FALTA NF",
O1961&lt;&gt;"","CONCLUÍDO")</f>
        <v>CONCLUÍDO</v>
      </c>
      <c r="R1961" s="18"/>
    </row>
    <row r="1962" spans="1:18" hidden="1">
      <c r="A1962" s="16">
        <v>46195</v>
      </c>
      <c r="B1962" s="16">
        <v>46198</v>
      </c>
      <c r="C1962" s="21">
        <v>5173118</v>
      </c>
      <c r="D1962" s="16" t="str">
        <f>IFERROR(VLOOKUP(Tabela5[[#This Row],[PREFIXO ]],Tabela4[#All],2,0),"CENTRO DE CUSTO")</f>
        <v>COLHED ALGODÃO JOHN DEERE 7760</v>
      </c>
      <c r="E1962" s="18" t="s">
        <v>255</v>
      </c>
      <c r="F1962" s="21">
        <v>1004</v>
      </c>
      <c r="G1962" s="22">
        <v>1400</v>
      </c>
      <c r="H1962" s="22"/>
      <c r="I1962" s="22">
        <f t="shared" si="31"/>
        <v>1400</v>
      </c>
      <c r="J1962" s="18" t="s">
        <v>1123</v>
      </c>
      <c r="K1962" s="18" t="s">
        <v>4625</v>
      </c>
      <c r="L1962" s="18" t="s">
        <v>4623</v>
      </c>
      <c r="M1962" s="18" t="s">
        <v>4624</v>
      </c>
      <c r="N1962" s="41">
        <v>46199</v>
      </c>
      <c r="O1962" s="18" t="s">
        <v>3333</v>
      </c>
      <c r="P1962" s="18" t="s">
        <v>4056</v>
      </c>
      <c r="Q1962" s="16" t="str" cm="1">
        <f t="array" ref="Q1962">_xlfn.IFS(
A1962="","",
AND(A1962&lt;&gt;"",B1962=""),"FALTA LANÇAMENTO",
AND(B1962&lt;&gt;"",M1962=""),"FALTA O PEDIDO",
AND(M1962&lt;&gt;"",O1962=""),"FALTA NF",
O1962&lt;&gt;"","CONCLUÍDO")</f>
        <v>CONCLUÍDO</v>
      </c>
      <c r="R1962" s="18"/>
    </row>
    <row r="1963" spans="1:18" hidden="1">
      <c r="A1963" s="16">
        <v>46195</v>
      </c>
      <c r="B1963" s="16">
        <v>46198</v>
      </c>
      <c r="C1963" s="21">
        <v>51521059</v>
      </c>
      <c r="D1963" s="16" t="str">
        <f>IFERROR(VLOOKUP(Tabela5[[#This Row],[PREFIXO ]],Tabela4[#All],2,0),"CENTRO DE CUSTO")</f>
        <v>COLHED ALGODÃO JOHN DEERE CP 690</v>
      </c>
      <c r="E1963" s="18" t="s">
        <v>255</v>
      </c>
      <c r="F1963" s="21">
        <v>996</v>
      </c>
      <c r="G1963" s="22">
        <v>1350</v>
      </c>
      <c r="H1963" s="22"/>
      <c r="I1963" s="22">
        <f t="shared" si="31"/>
        <v>1350</v>
      </c>
      <c r="J1963" s="18" t="s">
        <v>1123</v>
      </c>
      <c r="K1963" s="18" t="s">
        <v>4626</v>
      </c>
      <c r="L1963" s="18" t="s">
        <v>4623</v>
      </c>
      <c r="M1963" s="18" t="s">
        <v>4624</v>
      </c>
      <c r="N1963" s="41">
        <v>46199</v>
      </c>
      <c r="O1963" s="18" t="s">
        <v>3333</v>
      </c>
      <c r="P1963" s="18" t="s">
        <v>4056</v>
      </c>
      <c r="Q1963" s="16" t="str" cm="1">
        <f t="array" ref="Q1963">_xlfn.IFS(
A1963="","",
AND(A1963&lt;&gt;"",B1963=""),"FALTA LANÇAMENTO",
AND(B1963&lt;&gt;"",M1963=""),"FALTA O PEDIDO",
AND(M1963&lt;&gt;"",O1963=""),"FALTA NF",
O1963&lt;&gt;"","CONCLUÍDO")</f>
        <v>CONCLUÍDO</v>
      </c>
      <c r="R1963" s="18"/>
    </row>
    <row r="1964" spans="1:18" hidden="1">
      <c r="A1964" s="16">
        <v>46195</v>
      </c>
      <c r="B1964" s="16">
        <v>46198</v>
      </c>
      <c r="C1964" s="21">
        <v>51521096</v>
      </c>
      <c r="D1964" s="16" t="str">
        <f>IFERROR(VLOOKUP(Tabela5[[#This Row],[PREFIXO ]],Tabela4[#All],2,0),"CENTRO DE CUSTO")</f>
        <v>COLHEIT DE GRÃOS N.HOLLAND CR 8.90</v>
      </c>
      <c r="E1964" s="18" t="s">
        <v>255</v>
      </c>
      <c r="F1964" s="21">
        <v>997</v>
      </c>
      <c r="G1964" s="22">
        <v>1200</v>
      </c>
      <c r="H1964" s="22"/>
      <c r="I1964" s="22">
        <f t="shared" si="31"/>
        <v>1200</v>
      </c>
      <c r="J1964" s="18" t="s">
        <v>1123</v>
      </c>
      <c r="K1964" s="18" t="s">
        <v>4627</v>
      </c>
      <c r="L1964" s="18" t="s">
        <v>4623</v>
      </c>
      <c r="M1964" s="18" t="s">
        <v>4624</v>
      </c>
      <c r="N1964" s="41">
        <v>46199</v>
      </c>
      <c r="O1964" s="18" t="s">
        <v>3333</v>
      </c>
      <c r="P1964" s="18" t="s">
        <v>4056</v>
      </c>
      <c r="Q1964" s="16" t="str" cm="1">
        <f t="array" ref="Q1964">_xlfn.IFS(
A1964="","",
AND(A1964&lt;&gt;"",B1964=""),"FALTA LANÇAMENTO",
AND(B1964&lt;&gt;"",M1964=""),"FALTA O PEDIDO",
AND(M1964&lt;&gt;"",O1964=""),"FALTA NF",
O1964&lt;&gt;"","CONCLUÍDO")</f>
        <v>CONCLUÍDO</v>
      </c>
      <c r="R1964" s="18"/>
    </row>
    <row r="1965" spans="1:18" hidden="1">
      <c r="A1965" s="30">
        <v>46195</v>
      </c>
      <c r="B1965" s="30">
        <v>46198</v>
      </c>
      <c r="C1965" s="31" t="s">
        <v>4628</v>
      </c>
      <c r="D1965" s="30" t="str">
        <f>IFERROR(VLOOKUP(Tabela5[[#This Row],[PREFIXO ]],Tabela4[#All],2,0),"CENTRO DE CUSTO")</f>
        <v>CENTRO DE CUSTO</v>
      </c>
      <c r="E1965" s="33" t="s">
        <v>255</v>
      </c>
      <c r="F1965" s="31">
        <v>998</v>
      </c>
      <c r="G1965" s="32">
        <v>1250</v>
      </c>
      <c r="H1965" s="32"/>
      <c r="I1965" s="32">
        <f t="shared" si="31"/>
        <v>1250</v>
      </c>
      <c r="J1965" s="33" t="s">
        <v>1123</v>
      </c>
      <c r="K1965" s="33" t="s">
        <v>4629</v>
      </c>
      <c r="L1965" s="33" t="s">
        <v>4623</v>
      </c>
      <c r="M1965" s="33" t="s">
        <v>4624</v>
      </c>
      <c r="N1965" s="30">
        <v>46199</v>
      </c>
      <c r="O1965" s="33" t="s">
        <v>3333</v>
      </c>
      <c r="P1965" s="33" t="s">
        <v>4056</v>
      </c>
      <c r="Q1965" s="30" t="str" cm="1">
        <f t="array" ref="Q1965">_xlfn.IFS(
A1965="","",
AND(A1965&lt;&gt;"",B1965=""),"FALTA LANÇAMENTO",
AND(B1965&lt;&gt;"",M1965=""),"FALTA O PEDIDO",
AND(M1965&lt;&gt;"",O1965=""),"FALTA NF",
O1965&lt;&gt;"","CONCLUÍDO")</f>
        <v>CONCLUÍDO</v>
      </c>
      <c r="R1965" s="33"/>
    </row>
    <row r="1966" spans="1:18" hidden="1">
      <c r="A1966" s="30">
        <v>46195</v>
      </c>
      <c r="B1966" s="30">
        <v>46198</v>
      </c>
      <c r="C1966" s="31">
        <v>51519034</v>
      </c>
      <c r="D1966" s="30" t="str">
        <f>IFERROR(VLOOKUP(Tabela5[[#This Row],[PREFIXO ]],Tabela4[#All],2,0),"CENTRO DE CUSTO")</f>
        <v>COLHEIT DE GRÃOS N.HOLLAND CR 8.90</v>
      </c>
      <c r="E1966" s="33" t="s">
        <v>255</v>
      </c>
      <c r="F1966" s="31">
        <v>1000</v>
      </c>
      <c r="G1966" s="32">
        <v>1400</v>
      </c>
      <c r="H1966" s="32"/>
      <c r="I1966" s="32">
        <f t="shared" si="31"/>
        <v>1400</v>
      </c>
      <c r="J1966" s="33" t="s">
        <v>1123</v>
      </c>
      <c r="K1966" s="33" t="s">
        <v>4630</v>
      </c>
      <c r="L1966" s="33" t="s">
        <v>4623</v>
      </c>
      <c r="M1966" s="33" t="s">
        <v>4624</v>
      </c>
      <c r="N1966" s="30">
        <v>46199</v>
      </c>
      <c r="O1966" s="33" t="s">
        <v>3333</v>
      </c>
      <c r="P1966" s="33" t="s">
        <v>4056</v>
      </c>
      <c r="Q1966" s="30" t="str" cm="1">
        <f t="array" ref="Q1966">_xlfn.IFS(
A1966="","",
AND(A1966&lt;&gt;"",B1966=""),"FALTA LANÇAMENTO",
AND(B1966&lt;&gt;"",M1966=""),"FALTA O PEDIDO",
AND(M1966&lt;&gt;"",O1966=""),"FALTA NF",
O1966&lt;&gt;"","CONCLUÍDO")</f>
        <v>CONCLUÍDO</v>
      </c>
      <c r="R1966" s="33"/>
    </row>
    <row r="1967" spans="1:18" hidden="1">
      <c r="A1967" s="30">
        <v>46195</v>
      </c>
      <c r="B1967" s="30">
        <v>46198</v>
      </c>
      <c r="C1967" s="31">
        <v>51521066</v>
      </c>
      <c r="D1967" s="30" t="str">
        <f>IFERROR(VLOOKUP(Tabela5[[#This Row],[PREFIXO ]],Tabela4[#All],2,0),"CENTRO DE CUSTO")</f>
        <v>COLHED ALGODÃO JOHN DEERE CP 690</v>
      </c>
      <c r="E1967" s="33" t="s">
        <v>255</v>
      </c>
      <c r="F1967" s="31">
        <v>999</v>
      </c>
      <c r="G1967" s="32">
        <v>1600</v>
      </c>
      <c r="H1967" s="32"/>
      <c r="I1967" s="32">
        <f t="shared" si="31"/>
        <v>1600</v>
      </c>
      <c r="J1967" s="33" t="s">
        <v>1123</v>
      </c>
      <c r="K1967" s="33" t="s">
        <v>4631</v>
      </c>
      <c r="L1967" s="33" t="s">
        <v>4623</v>
      </c>
      <c r="M1967" s="33" t="s">
        <v>4624</v>
      </c>
      <c r="N1967" s="30">
        <v>46199</v>
      </c>
      <c r="O1967" s="33" t="s">
        <v>3333</v>
      </c>
      <c r="P1967" s="33" t="s">
        <v>4056</v>
      </c>
      <c r="Q1967" s="30" t="str" cm="1">
        <f t="array" ref="Q1967">_xlfn.IFS(
A1967="","",
AND(A1967&lt;&gt;"",B1967=""),"FALTA LANÇAMENTO",
AND(B1967&lt;&gt;"",M1967=""),"FALTA O PEDIDO",
AND(M1967&lt;&gt;"",O1967=""),"FALTA NF",
O1967&lt;&gt;"","CONCLUÍDO")</f>
        <v>CONCLUÍDO</v>
      </c>
      <c r="R1967" s="33"/>
    </row>
    <row r="1968" spans="1:18" hidden="1">
      <c r="A1968" s="30">
        <v>46195</v>
      </c>
      <c r="B1968" s="30">
        <v>46198</v>
      </c>
      <c r="C1968" s="31" t="s">
        <v>4632</v>
      </c>
      <c r="D1968" s="30" t="str">
        <f>IFERROR(VLOOKUP(Tabela5[[#This Row],[PREFIXO ]],Tabela4[#All],2,0),"CENTRO DE CUSTO")</f>
        <v>CENTRO DE CUSTO</v>
      </c>
      <c r="E1968" s="33" t="s">
        <v>255</v>
      </c>
      <c r="F1968" s="31">
        <v>1001</v>
      </c>
      <c r="G1968" s="32">
        <v>2500</v>
      </c>
      <c r="H1968" s="32"/>
      <c r="I1968" s="32">
        <f t="shared" si="31"/>
        <v>2500</v>
      </c>
      <c r="J1968" s="33" t="s">
        <v>1123</v>
      </c>
      <c r="K1968" s="33" t="s">
        <v>4633</v>
      </c>
      <c r="L1968" s="33" t="s">
        <v>4623</v>
      </c>
      <c r="M1968" s="33" t="s">
        <v>4624</v>
      </c>
      <c r="N1968" s="30">
        <v>46199</v>
      </c>
      <c r="O1968" s="33" t="s">
        <v>3333</v>
      </c>
      <c r="P1968" s="33" t="s">
        <v>4056</v>
      </c>
      <c r="Q1968" s="30" t="str" cm="1">
        <f t="array" ref="Q1968">_xlfn.IFS(
A1968="","",
AND(A1968&lt;&gt;"",B1968=""),"FALTA LANÇAMENTO",
AND(B1968&lt;&gt;"",M1968=""),"FALTA O PEDIDO",
AND(M1968&lt;&gt;"",O1968=""),"FALTA NF",
O1968&lt;&gt;"","CONCLUÍDO")</f>
        <v>CONCLUÍDO</v>
      </c>
      <c r="R1968" s="33"/>
    </row>
    <row r="1969" spans="1:18" hidden="1">
      <c r="A1969" s="30">
        <v>46195</v>
      </c>
      <c r="B1969" s="30">
        <v>46198</v>
      </c>
      <c r="C1969" s="31" t="s">
        <v>4634</v>
      </c>
      <c r="D1969" s="30" t="str">
        <f>IFERROR(VLOOKUP(Tabela5[[#This Row],[PREFIXO ]],Tabela4[#All],2,0),"CENTRO DE CUSTO")</f>
        <v>CENTRO DE CUSTO</v>
      </c>
      <c r="E1969" s="33" t="s">
        <v>255</v>
      </c>
      <c r="F1969" s="31">
        <v>1002</v>
      </c>
      <c r="G1969" s="32">
        <v>2500</v>
      </c>
      <c r="H1969" s="32"/>
      <c r="I1969" s="32">
        <f t="shared" si="31"/>
        <v>2500</v>
      </c>
      <c r="J1969" s="18" t="s">
        <v>1123</v>
      </c>
      <c r="K1969" s="33" t="s">
        <v>4635</v>
      </c>
      <c r="L1969" s="33" t="s">
        <v>4623</v>
      </c>
      <c r="M1969" s="33" t="s">
        <v>4624</v>
      </c>
      <c r="N1969" s="30">
        <v>46199</v>
      </c>
      <c r="O1969" s="33" t="s">
        <v>3333</v>
      </c>
      <c r="P1969" s="33" t="s">
        <v>4056</v>
      </c>
      <c r="Q1969" s="30" t="str" cm="1">
        <f t="array" ref="Q1969">_xlfn.IFS(
A1969="","",
AND(A1969&lt;&gt;"",B1969=""),"FALTA LANÇAMENTO",
AND(B1969&lt;&gt;"",M1969=""),"FALTA O PEDIDO",
AND(M1969&lt;&gt;"",O1969=""),"FALTA NF",
O1969&lt;&gt;"","CONCLUÍDO")</f>
        <v>CONCLUÍDO</v>
      </c>
      <c r="R1969" s="33"/>
    </row>
    <row r="1970" spans="1:18" hidden="1">
      <c r="A1970" s="30">
        <v>46195</v>
      </c>
      <c r="B1970" s="30">
        <v>46198</v>
      </c>
      <c r="C1970" s="31">
        <v>11521025</v>
      </c>
      <c r="D1970" s="30" t="str">
        <f>IFERROR(VLOOKUP(Tabela5[[#This Row],[PREFIXO ]],Tabela4[#All],2,0),"CENTRO DE CUSTO")</f>
        <v>TRAT PN MED CASE PUMA 140</v>
      </c>
      <c r="E1970" s="33" t="s">
        <v>359</v>
      </c>
      <c r="F1970" s="31" t="s">
        <v>4636</v>
      </c>
      <c r="G1970" s="32">
        <v>1500</v>
      </c>
      <c r="H1970" s="32"/>
      <c r="I1970" s="32">
        <f t="shared" si="31"/>
        <v>1500</v>
      </c>
      <c r="J1970" s="18" t="s">
        <v>1199</v>
      </c>
      <c r="K1970" s="33" t="s">
        <v>4637</v>
      </c>
      <c r="L1970" s="33" t="s">
        <v>4638</v>
      </c>
      <c r="M1970" s="33" t="s">
        <v>4639</v>
      </c>
      <c r="N1970" s="30">
        <v>46198</v>
      </c>
      <c r="O1970" s="33" t="s">
        <v>4640</v>
      </c>
      <c r="P1970" s="33" t="s">
        <v>4056</v>
      </c>
      <c r="Q1970" s="30" t="str" cm="1">
        <f t="array" ref="Q1970">_xlfn.IFS(
A1970="","",
AND(A1970&lt;&gt;"",B1970=""),"FALTA LANÇAMENTO",
AND(B1970&lt;&gt;"",M1970=""),"FALTA O PEDIDO",
AND(M1970&lt;&gt;"",O1970=""),"FALTA NF",
O1970&lt;&gt;"","CONCLUÍDO")</f>
        <v>CONCLUÍDO</v>
      </c>
      <c r="R1970" s="33"/>
    </row>
    <row r="1971" spans="1:18" hidden="1">
      <c r="A1971" s="30">
        <v>46195</v>
      </c>
      <c r="B1971" s="30">
        <v>46198</v>
      </c>
      <c r="C1971" s="31">
        <v>1173019</v>
      </c>
      <c r="D1971" s="30" t="str">
        <f>IFERROR(VLOOKUP(Tabela5[[#This Row],[PREFIXO ]],Tabela4[#All],2,0),"CENTRO DE CUSTO")</f>
        <v>TRAT PN MED N.HOLLAND 7630</v>
      </c>
      <c r="E1971" s="33" t="s">
        <v>359</v>
      </c>
      <c r="F1971" s="31" t="s">
        <v>4641</v>
      </c>
      <c r="G1971" s="32">
        <v>1184.4000000000001</v>
      </c>
      <c r="H1971" s="32"/>
      <c r="I1971" s="32">
        <f t="shared" si="31"/>
        <v>1184.4000000000001</v>
      </c>
      <c r="J1971" s="33" t="s">
        <v>1199</v>
      </c>
      <c r="K1971" s="33" t="s">
        <v>4642</v>
      </c>
      <c r="L1971" s="33" t="s">
        <v>4638</v>
      </c>
      <c r="M1971" s="33" t="s">
        <v>4639</v>
      </c>
      <c r="N1971" s="30">
        <v>46198</v>
      </c>
      <c r="O1971" s="33" t="s">
        <v>4640</v>
      </c>
      <c r="P1971" s="33" t="s">
        <v>4056</v>
      </c>
      <c r="Q1971" s="30" t="str" cm="1">
        <f t="array" ref="Q1971">_xlfn.IFS(
A1971="","",
AND(A1971&lt;&gt;"",B1971=""),"FALTA LANÇAMENTO",
AND(B1971&lt;&gt;"",M1971=""),"FALTA O PEDIDO",
AND(M1971&lt;&gt;"",O1971=""),"FALTA NF",
O1971&lt;&gt;"","CONCLUÍDO")</f>
        <v>CONCLUÍDO</v>
      </c>
      <c r="R1971" s="33"/>
    </row>
    <row r="1972" spans="1:18" hidden="1">
      <c r="A1972" s="30">
        <v>46195</v>
      </c>
      <c r="B1972" s="30">
        <v>46198</v>
      </c>
      <c r="C1972" s="31">
        <v>8181121</v>
      </c>
      <c r="D1972" s="30" t="str">
        <f>IFERROR(VLOOKUP(Tabela5[[#This Row],[PREFIXO ]],Tabela4[#All],2,0),"CENTRO DE CUSTO")</f>
        <v>SULCADOR POWER 4,5 540RPM</v>
      </c>
      <c r="E1972" s="33" t="s">
        <v>359</v>
      </c>
      <c r="F1972" s="31" t="s">
        <v>4643</v>
      </c>
      <c r="G1972" s="32">
        <v>1879.2</v>
      </c>
      <c r="H1972" s="32"/>
      <c r="I1972" s="32">
        <f t="shared" si="31"/>
        <v>1879.2</v>
      </c>
      <c r="J1972" s="33" t="s">
        <v>1199</v>
      </c>
      <c r="K1972" s="33" t="s">
        <v>4644</v>
      </c>
      <c r="L1972" s="33" t="s">
        <v>4638</v>
      </c>
      <c r="M1972" s="33" t="s">
        <v>4639</v>
      </c>
      <c r="N1972" s="30">
        <v>46198</v>
      </c>
      <c r="O1972" s="33" t="s">
        <v>4640</v>
      </c>
      <c r="P1972" s="33" t="s">
        <v>4056</v>
      </c>
      <c r="Q1972" s="30" t="str" cm="1">
        <f t="array" ref="Q1972">_xlfn.IFS(
A1972="","",
AND(A1972&lt;&gt;"",B1972=""),"FALTA LANÇAMENTO",
AND(B1972&lt;&gt;"",M1972=""),"FALTA O PEDIDO",
AND(M1972&lt;&gt;"",O1972=""),"FALTA NF",
O1972&lt;&gt;"","CONCLUÍDO")</f>
        <v>CONCLUÍDO</v>
      </c>
      <c r="R1972" s="33"/>
    </row>
    <row r="1973" spans="1:18" hidden="1">
      <c r="A1973" s="30">
        <v>46195</v>
      </c>
      <c r="B1973" s="30">
        <v>46198</v>
      </c>
      <c r="C1973" s="31">
        <v>11521001</v>
      </c>
      <c r="D1973" s="30" t="str">
        <f>IFERROR(VLOOKUP(Tabela5[[#This Row],[PREFIXO ]],Tabela4[#All],2,0),"CENTRO DE CUSTO")</f>
        <v>TRAT PN EXT PES CASE STEIGER 620</v>
      </c>
      <c r="E1973" s="33" t="s">
        <v>359</v>
      </c>
      <c r="F1973" s="31" t="s">
        <v>4645</v>
      </c>
      <c r="G1973" s="32">
        <v>1264</v>
      </c>
      <c r="H1973" s="32"/>
      <c r="I1973" s="32">
        <f t="shared" si="31"/>
        <v>1264</v>
      </c>
      <c r="J1973" s="33" t="s">
        <v>1199</v>
      </c>
      <c r="K1973" s="33" t="s">
        <v>4646</v>
      </c>
      <c r="L1973" s="33" t="s">
        <v>4638</v>
      </c>
      <c r="M1973" s="33" t="s">
        <v>4639</v>
      </c>
      <c r="N1973" s="30">
        <v>46198</v>
      </c>
      <c r="O1973" s="33" t="s">
        <v>4640</v>
      </c>
      <c r="P1973" s="33" t="s">
        <v>4056</v>
      </c>
      <c r="Q1973" s="30" t="str" cm="1">
        <f t="array" ref="Q1973">_xlfn.IFS(
A1973="","",
AND(A1973&lt;&gt;"",B1973=""),"FALTA LANÇAMENTO",
AND(B1973&lt;&gt;"",M1973=""),"FALTA O PEDIDO",
AND(M1973&lt;&gt;"",O1973=""),"FALTA NF",
O1973&lt;&gt;"","CONCLUÍDO")</f>
        <v>CONCLUÍDO</v>
      </c>
      <c r="R1973" s="33"/>
    </row>
    <row r="1974" spans="1:18" hidden="1">
      <c r="A1974" s="30">
        <v>46195</v>
      </c>
      <c r="B1974" s="30">
        <v>46198</v>
      </c>
      <c r="C1974" s="31">
        <v>1173012</v>
      </c>
      <c r="D1974" s="30" t="str">
        <f>IFERROR(VLOOKUP(Tabela5[[#This Row],[PREFIXO ]],Tabela4[#All],2,0),"CENTRO DE CUSTO")</f>
        <v>TRAT PN MED N.HOLLAND 7630</v>
      </c>
      <c r="E1974" s="33" t="s">
        <v>359</v>
      </c>
      <c r="F1974" s="31" t="s">
        <v>4647</v>
      </c>
      <c r="G1974" s="32">
        <v>1548</v>
      </c>
      <c r="H1974" s="32"/>
      <c r="I1974" s="32">
        <f t="shared" si="31"/>
        <v>1548</v>
      </c>
      <c r="J1974" s="33" t="s">
        <v>1199</v>
      </c>
      <c r="K1974" s="33" t="s">
        <v>4648</v>
      </c>
      <c r="L1974" s="33" t="s">
        <v>4638</v>
      </c>
      <c r="M1974" s="33" t="s">
        <v>4639</v>
      </c>
      <c r="N1974" s="30">
        <v>46198</v>
      </c>
      <c r="O1974" s="33" t="s">
        <v>4640</v>
      </c>
      <c r="P1974" s="33" t="s">
        <v>4056</v>
      </c>
      <c r="Q1974" s="30" t="str" cm="1">
        <f t="array" ref="Q1974">_xlfn.IFS(
A1974="","",
AND(A1974&lt;&gt;"",B1974=""),"FALTA LANÇAMENTO",
AND(B1974&lt;&gt;"",M1974=""),"FALTA O PEDIDO",
AND(M1974&lt;&gt;"",O1974=""),"FALTA NF",
O1974&lt;&gt;"","CONCLUÍDO")</f>
        <v>CONCLUÍDO</v>
      </c>
      <c r="R1974" s="33"/>
    </row>
    <row r="1975" spans="1:18" hidden="1">
      <c r="A1975" s="30">
        <v>46195</v>
      </c>
      <c r="B1975" s="30">
        <v>46198</v>
      </c>
      <c r="C1975" s="31">
        <v>11521037</v>
      </c>
      <c r="D1975" s="30" t="str">
        <f>IFERROR(VLOOKUP(Tabela5[[#This Row],[PREFIXO ]],Tabela4[#All],2,0),"CENTRO DE CUSTO")</f>
        <v>TRAT PN EXT PES N.HOLLAND T9.600</v>
      </c>
      <c r="E1975" s="33" t="s">
        <v>359</v>
      </c>
      <c r="F1975" s="31" t="s">
        <v>4649</v>
      </c>
      <c r="G1975" s="32">
        <v>1429.2</v>
      </c>
      <c r="H1975" s="32"/>
      <c r="I1975" s="32">
        <f t="shared" si="31"/>
        <v>1429.2</v>
      </c>
      <c r="J1975" s="33" t="s">
        <v>1199</v>
      </c>
      <c r="K1975" s="33" t="s">
        <v>4650</v>
      </c>
      <c r="L1975" s="33" t="s">
        <v>4638</v>
      </c>
      <c r="M1975" s="33" t="s">
        <v>4639</v>
      </c>
      <c r="N1975" s="30">
        <v>46198</v>
      </c>
      <c r="O1975" s="33" t="s">
        <v>4640</v>
      </c>
      <c r="P1975" s="33" t="s">
        <v>4056</v>
      </c>
      <c r="Q1975" s="30" t="str" cm="1">
        <f t="array" ref="Q1975">_xlfn.IFS(
A1975="","",
AND(A1975&lt;&gt;"",B1975=""),"FALTA LANÇAMENTO",
AND(B1975&lt;&gt;"",M1975=""),"FALTA O PEDIDO",
AND(M1975&lt;&gt;"",O1975=""),"FALTA NF",
O1975&lt;&gt;"","CONCLUÍDO")</f>
        <v>CONCLUÍDO</v>
      </c>
      <c r="R1975" s="33"/>
    </row>
    <row r="1976" spans="1:18" hidden="1">
      <c r="A1976" s="30">
        <v>46195</v>
      </c>
      <c r="B1976" s="30">
        <v>46198</v>
      </c>
      <c r="C1976" s="31">
        <v>13100037</v>
      </c>
      <c r="D1976" s="30" t="str">
        <f>IFERROR(VLOOKUP(Tabela5[[#This Row],[PREFIXO ]],Tabela4[#All],2,0),"CENTRO DE CUSTO")</f>
        <v>CENTRO DE CUSTO</v>
      </c>
      <c r="E1976" s="33" t="s">
        <v>359</v>
      </c>
      <c r="F1976" s="31" t="s">
        <v>4651</v>
      </c>
      <c r="G1976" s="32">
        <v>1838</v>
      </c>
      <c r="H1976" s="32"/>
      <c r="I1976" s="32">
        <f t="shared" si="31"/>
        <v>1838</v>
      </c>
      <c r="J1976" s="33" t="s">
        <v>1199</v>
      </c>
      <c r="K1976" s="33" t="s">
        <v>4652</v>
      </c>
      <c r="L1976" s="33" t="s">
        <v>4638</v>
      </c>
      <c r="M1976" s="33" t="s">
        <v>4639</v>
      </c>
      <c r="N1976" s="30">
        <v>46198</v>
      </c>
      <c r="O1976" s="33" t="s">
        <v>4640</v>
      </c>
      <c r="P1976" s="33" t="s">
        <v>4056</v>
      </c>
      <c r="Q1976" s="30" t="str" cm="1">
        <f t="array" ref="Q1976">_xlfn.IFS(
A1976="","",
AND(A1976&lt;&gt;"",B1976=""),"FALTA LANÇAMENTO",
AND(B1976&lt;&gt;"",M1976=""),"FALTA O PEDIDO",
AND(M1976&lt;&gt;"",O1976=""),"FALTA NF",
O1976&lt;&gt;"","CONCLUÍDO")</f>
        <v>CONCLUÍDO</v>
      </c>
      <c r="R1976" s="33"/>
    </row>
    <row r="1977" spans="1:18" hidden="1">
      <c r="A1977" s="30">
        <v>46195</v>
      </c>
      <c r="B1977" s="30">
        <v>46198</v>
      </c>
      <c r="C1977" s="31">
        <v>11521022</v>
      </c>
      <c r="D1977" s="30" t="str">
        <f>IFERROR(VLOOKUP(Tabela5[[#This Row],[PREFIXO ]],Tabela4[#All],2,0),"CENTRO DE CUSTO")</f>
        <v>TRAT PN MED CASE PUMA 140</v>
      </c>
      <c r="E1977" s="33" t="s">
        <v>359</v>
      </c>
      <c r="F1977" s="31" t="s">
        <v>4653</v>
      </c>
      <c r="G1977" s="32">
        <v>1390.8</v>
      </c>
      <c r="H1977" s="32"/>
      <c r="I1977" s="32">
        <f t="shared" si="31"/>
        <v>1390.8</v>
      </c>
      <c r="J1977" s="33" t="s">
        <v>1199</v>
      </c>
      <c r="K1977" s="33" t="s">
        <v>4654</v>
      </c>
      <c r="L1977" s="33" t="s">
        <v>4638</v>
      </c>
      <c r="M1977" s="33" t="s">
        <v>4639</v>
      </c>
      <c r="N1977" s="30">
        <v>46198</v>
      </c>
      <c r="O1977" s="33" t="s">
        <v>4640</v>
      </c>
      <c r="P1977" s="33" t="s">
        <v>4056</v>
      </c>
      <c r="Q1977" s="30" t="str" cm="1">
        <f t="array" ref="Q1977">_xlfn.IFS(
A1977="","",
AND(A1977&lt;&gt;"",B1977=""),"FALTA LANÇAMENTO",
AND(B1977&lt;&gt;"",M1977=""),"FALTA O PEDIDO",
AND(M1977&lt;&gt;"",O1977=""),"FALTA NF",
O1977&lt;&gt;"","CONCLUÍDO")</f>
        <v>CONCLUÍDO</v>
      </c>
      <c r="R1977" s="33"/>
    </row>
    <row r="1978" spans="1:18" hidden="1">
      <c r="A1978" s="30">
        <v>46195</v>
      </c>
      <c r="B1978" s="30">
        <v>46198</v>
      </c>
      <c r="C1978" s="31">
        <v>1173005</v>
      </c>
      <c r="D1978" s="30" t="str">
        <f>IFERROR(VLOOKUP(Tabela5[[#This Row],[PREFIXO ]],Tabela4[#All],2,0),"CENTRO DE CUSTO")</f>
        <v>TRAT PN LEVE M FERGUSON MF 275</v>
      </c>
      <c r="E1978" s="33" t="s">
        <v>359</v>
      </c>
      <c r="F1978" s="31" t="s">
        <v>4655</v>
      </c>
      <c r="G1978" s="32">
        <v>1382</v>
      </c>
      <c r="H1978" s="32"/>
      <c r="I1978" s="32">
        <f t="shared" si="31"/>
        <v>1382</v>
      </c>
      <c r="J1978" s="33" t="s">
        <v>1199</v>
      </c>
      <c r="K1978" s="33" t="s">
        <v>4656</v>
      </c>
      <c r="L1978" s="33" t="s">
        <v>4638</v>
      </c>
      <c r="M1978" s="33" t="s">
        <v>4639</v>
      </c>
      <c r="N1978" s="30">
        <v>46198</v>
      </c>
      <c r="O1978" s="33" t="s">
        <v>4640</v>
      </c>
      <c r="P1978" s="33" t="s">
        <v>4056</v>
      </c>
      <c r="Q1978" s="30" t="str" cm="1">
        <f t="array" ref="Q1978">_xlfn.IFS(
A1978="","",
AND(A1978&lt;&gt;"",B1978=""),"FALTA LANÇAMENTO",
AND(B1978&lt;&gt;"",M1978=""),"FALTA O PEDIDO",
AND(M1978&lt;&gt;"",O1978=""),"FALTA NF",
O1978&lt;&gt;"","CONCLUÍDO")</f>
        <v>CONCLUÍDO</v>
      </c>
      <c r="R1978" s="33"/>
    </row>
    <row r="1979" spans="1:18" hidden="1">
      <c r="A1979" s="30">
        <v>46195</v>
      </c>
      <c r="B1979" s="30">
        <v>46198</v>
      </c>
      <c r="C1979" s="31">
        <v>500580100</v>
      </c>
      <c r="D1979" s="30" t="str">
        <f>IFERROR(VLOOKUP(Tabela5[[#This Row],[PREFIXO ]],Tabela4[#All],2,0),"CENTRO DE CUSTO")</f>
        <v>Autopropelidos</v>
      </c>
      <c r="E1979" s="33" t="s">
        <v>62</v>
      </c>
      <c r="F1979" s="31">
        <v>1398</v>
      </c>
      <c r="G1979" s="32">
        <v>3900</v>
      </c>
      <c r="H1979" s="32"/>
      <c r="I1979" s="32">
        <f t="shared" si="31"/>
        <v>3900</v>
      </c>
      <c r="J1979" s="33" t="s">
        <v>1080</v>
      </c>
      <c r="K1979" s="33" t="s">
        <v>4657</v>
      </c>
      <c r="L1979" s="33" t="s">
        <v>4658</v>
      </c>
      <c r="M1979" s="33" t="s">
        <v>4659</v>
      </c>
      <c r="N1979" s="30">
        <v>46198</v>
      </c>
      <c r="O1979" s="33" t="s">
        <v>4660</v>
      </c>
      <c r="P1979" s="33" t="s">
        <v>4056</v>
      </c>
      <c r="Q1979" s="30" t="str" cm="1">
        <f t="array" ref="Q1979">_xlfn.IFS(
A1979="","",
AND(A1979&lt;&gt;"",B1979=""),"FALTA LANÇAMENTO",
AND(B1979&lt;&gt;"",M1979=""),"FALTA O PEDIDO",
AND(M1979&lt;&gt;"",O1979=""),"FALTA NF",
O1979&lt;&gt;"","CONCLUÍDO")</f>
        <v>CONCLUÍDO</v>
      </c>
      <c r="R1979" s="33"/>
    </row>
    <row r="1980" spans="1:18" hidden="1">
      <c r="A1980" s="30">
        <v>46195</v>
      </c>
      <c r="B1980" s="30">
        <v>46198</v>
      </c>
      <c r="C1980" s="31">
        <v>500580072</v>
      </c>
      <c r="D1980" s="30" t="str">
        <f>IFERROR(VLOOKUP(Tabela5[[#This Row],[PREFIXO ]],Tabela4[#All],2,0),"CENTRO DE CUSTO")</f>
        <v>Tratores Médios</v>
      </c>
      <c r="E1980" s="33" t="s">
        <v>62</v>
      </c>
      <c r="F1980" s="31">
        <v>1432</v>
      </c>
      <c r="G1980" s="32">
        <v>1220</v>
      </c>
      <c r="H1980" s="32"/>
      <c r="I1980" s="32">
        <f t="shared" ref="I1980:I2043" si="32">G1980+H1980</f>
        <v>1220</v>
      </c>
      <c r="J1980" s="33" t="s">
        <v>1199</v>
      </c>
      <c r="K1980" s="33" t="s">
        <v>4661</v>
      </c>
      <c r="L1980" s="33" t="s">
        <v>4658</v>
      </c>
      <c r="M1980" s="33" t="s">
        <v>4659</v>
      </c>
      <c r="N1980" s="30">
        <v>46198</v>
      </c>
      <c r="O1980" s="33" t="s">
        <v>4660</v>
      </c>
      <c r="P1980" s="33" t="s">
        <v>4056</v>
      </c>
      <c r="Q1980" s="30" t="str" cm="1">
        <f t="array" ref="Q1980">_xlfn.IFS(
A1980="","",
AND(A1980&lt;&gt;"",B1980=""),"FALTA LANÇAMENTO",
AND(B1980&lt;&gt;"",M1980=""),"FALTA O PEDIDO",
AND(M1980&lt;&gt;"",O1980=""),"FALTA NF",
O1980&lt;&gt;"","CONCLUÍDO")</f>
        <v>CONCLUÍDO</v>
      </c>
      <c r="R1980" s="33"/>
    </row>
    <row r="1981" spans="1:18" hidden="1">
      <c r="A1981" s="30">
        <v>46195</v>
      </c>
      <c r="B1981" s="30">
        <v>46198</v>
      </c>
      <c r="C1981" s="31">
        <v>500580090</v>
      </c>
      <c r="D1981" s="30" t="str">
        <f>IFERROR(VLOOKUP(Tabela5[[#This Row],[PREFIXO ]],Tabela4[#All],2,0),"CENTRO DE CUSTO")</f>
        <v>Plantadeiras</v>
      </c>
      <c r="E1981" s="33" t="s">
        <v>62</v>
      </c>
      <c r="F1981" s="31">
        <v>1424</v>
      </c>
      <c r="G1981" s="32">
        <v>4720</v>
      </c>
      <c r="H1981" s="32"/>
      <c r="I1981" s="32">
        <f t="shared" si="32"/>
        <v>4720</v>
      </c>
      <c r="J1981" s="33" t="s">
        <v>1199</v>
      </c>
      <c r="K1981" s="33" t="s">
        <v>4662</v>
      </c>
      <c r="L1981" s="33" t="s">
        <v>4658</v>
      </c>
      <c r="M1981" s="33" t="s">
        <v>4659</v>
      </c>
      <c r="N1981" s="30">
        <v>46198</v>
      </c>
      <c r="O1981" s="33" t="s">
        <v>4660</v>
      </c>
      <c r="P1981" s="33" t="s">
        <v>4056</v>
      </c>
      <c r="Q1981" s="30" t="str" cm="1">
        <f t="array" ref="Q1981">_xlfn.IFS(
A1981="","",
AND(A1981&lt;&gt;"",B1981=""),"FALTA LANÇAMENTO",
AND(B1981&lt;&gt;"",M1981=""),"FALTA O PEDIDO",
AND(M1981&lt;&gt;"",O1981=""),"FALTA NF",
O1981&lt;&gt;"","CONCLUÍDO")</f>
        <v>CONCLUÍDO</v>
      </c>
      <c r="R1981" s="33"/>
    </row>
    <row r="1982" spans="1:18" hidden="1">
      <c r="A1982" s="30">
        <v>46195</v>
      </c>
      <c r="B1982" s="30">
        <v>46198</v>
      </c>
      <c r="C1982" s="31">
        <v>500580325</v>
      </c>
      <c r="D1982" s="30" t="str">
        <f>IFERROR(VLOOKUP(Tabela5[[#This Row],[PREFIXO ]],Tabela4[#All],2,0),"CENTRO DE CUSTO")</f>
        <v>Colheitad. Alg Auto</v>
      </c>
      <c r="E1982" s="33" t="s">
        <v>62</v>
      </c>
      <c r="F1982" s="31">
        <v>1421</v>
      </c>
      <c r="G1982" s="32">
        <v>2200</v>
      </c>
      <c r="H1982" s="32"/>
      <c r="I1982" s="32">
        <f t="shared" si="32"/>
        <v>2200</v>
      </c>
      <c r="J1982" s="33" t="s">
        <v>1123</v>
      </c>
      <c r="K1982" s="33" t="s">
        <v>4663</v>
      </c>
      <c r="L1982" s="33" t="s">
        <v>4658</v>
      </c>
      <c r="M1982" s="33" t="s">
        <v>4659</v>
      </c>
      <c r="N1982" s="30">
        <v>46198</v>
      </c>
      <c r="O1982" s="33" t="s">
        <v>4660</v>
      </c>
      <c r="P1982" s="33" t="s">
        <v>4056</v>
      </c>
      <c r="Q1982" s="30" t="str" cm="1">
        <f t="array" ref="Q1982">_xlfn.IFS(
A1982="","",
AND(A1982&lt;&gt;"",B1982=""),"FALTA LANÇAMENTO",
AND(B1982&lt;&gt;"",M1982=""),"FALTA O PEDIDO",
AND(M1982&lt;&gt;"",O1982=""),"FALTA NF",
O1982&lt;&gt;"","CONCLUÍDO")</f>
        <v>CONCLUÍDO</v>
      </c>
      <c r="R1982" s="33"/>
    </row>
    <row r="1983" spans="1:18" hidden="1">
      <c r="A1983" s="30">
        <v>46195</v>
      </c>
      <c r="B1983" s="30">
        <v>46227</v>
      </c>
      <c r="C1983" s="31">
        <v>65014011</v>
      </c>
      <c r="D1983" s="30" t="str">
        <f>IFERROR(VLOOKUP(Tabela5[[#This Row],[PREFIXO ]],Tabela4[#All],2,0),"CENTRO DE CUSTO")</f>
        <v>CENTRO DE CUSTO</v>
      </c>
      <c r="E1983" s="33" t="s">
        <v>39</v>
      </c>
      <c r="F1983" s="31">
        <v>65014011</v>
      </c>
      <c r="G1983" s="32">
        <v>2900</v>
      </c>
      <c r="H1983" s="32"/>
      <c r="I1983" s="32">
        <f t="shared" si="32"/>
        <v>2900</v>
      </c>
      <c r="J1983" s="18" t="s">
        <v>1199</v>
      </c>
      <c r="K1983" s="33" t="s">
        <v>4664</v>
      </c>
      <c r="L1983" s="33" t="s">
        <v>4665</v>
      </c>
      <c r="M1983" s="33" t="s">
        <v>4666</v>
      </c>
      <c r="N1983" s="30">
        <v>46198</v>
      </c>
      <c r="O1983" s="33" t="s">
        <v>4667</v>
      </c>
      <c r="P1983" s="33" t="s">
        <v>4140</v>
      </c>
      <c r="Q1983" s="30" t="str" cm="1">
        <f t="array" ref="Q1983">_xlfn.IFS(
A1983="","",
AND(A1983&lt;&gt;"",B1983=""),"FALTA LANÇAMENTO",
AND(B1983&lt;&gt;"",M1983=""),"FALTA O PEDIDO",
AND(M1983&lt;&gt;"",O1983=""),"FALTA NF",
O1983&lt;&gt;"","CONCLUÍDO")</f>
        <v>CONCLUÍDO</v>
      </c>
      <c r="R1983" s="33"/>
    </row>
    <row r="1984" spans="1:18" hidden="1">
      <c r="A1984" s="30">
        <v>46195</v>
      </c>
      <c r="B1984" s="30">
        <v>46227</v>
      </c>
      <c r="C1984" s="31" t="s">
        <v>4668</v>
      </c>
      <c r="D1984" s="30" t="str">
        <f>IFERROR(VLOOKUP(Tabela5[[#This Row],[PREFIXO ]],Tabela4[#All],2,0),"CENTRO DE CUSTO")</f>
        <v>CENTRO DE CUSTO</v>
      </c>
      <c r="E1984" s="33" t="s">
        <v>39</v>
      </c>
      <c r="F1984" s="31" t="s">
        <v>4668</v>
      </c>
      <c r="G1984" s="32">
        <v>4200</v>
      </c>
      <c r="H1984" s="32"/>
      <c r="I1984" s="32">
        <f t="shared" si="32"/>
        <v>4200</v>
      </c>
      <c r="J1984" s="18" t="s">
        <v>1199</v>
      </c>
      <c r="K1984" s="33" t="s">
        <v>4669</v>
      </c>
      <c r="L1984" s="33" t="s">
        <v>4665</v>
      </c>
      <c r="M1984" s="33" t="s">
        <v>4666</v>
      </c>
      <c r="N1984" s="30">
        <v>46198</v>
      </c>
      <c r="O1984" s="33" t="s">
        <v>4667</v>
      </c>
      <c r="P1984" s="33" t="s">
        <v>4140</v>
      </c>
      <c r="Q1984" s="30" t="str" cm="1">
        <f t="array" ref="Q1984">_xlfn.IFS(
A1984="","",
AND(A1984&lt;&gt;"",B1984=""),"FALTA LANÇAMENTO",
AND(B1984&lt;&gt;"",M1984=""),"FALTA O PEDIDO",
AND(M1984&lt;&gt;"",O1984=""),"FALTA NF",
O1984&lt;&gt;"","CONCLUÍDO")</f>
        <v>CONCLUÍDO</v>
      </c>
      <c r="R1984" s="33"/>
    </row>
    <row r="1985" spans="1:18" hidden="1">
      <c r="A1985" s="30">
        <v>46195</v>
      </c>
      <c r="B1985" s="30">
        <v>46197</v>
      </c>
      <c r="C1985" s="31">
        <v>61521030</v>
      </c>
      <c r="D1985" s="30" t="str">
        <f>IFERROR(VLOOKUP(Tabela5[[#This Row],[PREFIXO ]],Tabela4[#All],2,0),"CENTRO DE CUSTO")</f>
        <v>CAV MEC PES MERC BENZ ACTRO 2651</v>
      </c>
      <c r="E1985" s="33" t="s">
        <v>124</v>
      </c>
      <c r="F1985" s="31">
        <v>579</v>
      </c>
      <c r="G1985" s="32">
        <v>3628.8</v>
      </c>
      <c r="H1985" s="32"/>
      <c r="I1985" s="32">
        <f t="shared" si="32"/>
        <v>3628.8</v>
      </c>
      <c r="J1985" s="18" t="s">
        <v>1199</v>
      </c>
      <c r="K1985" s="33" t="s">
        <v>4670</v>
      </c>
      <c r="L1985" s="33" t="s">
        <v>4671</v>
      </c>
      <c r="M1985" s="33" t="s">
        <v>4672</v>
      </c>
      <c r="N1985" s="39">
        <v>46198</v>
      </c>
      <c r="O1985" s="33" t="s">
        <v>4673</v>
      </c>
      <c r="P1985" s="33" t="s">
        <v>4140</v>
      </c>
      <c r="Q1985" s="30" t="str" cm="1">
        <f t="array" ref="Q1985">_xlfn.IFS(
A1985="","",
AND(A1985&lt;&gt;"",B1985=""),"FALTA LANÇAMENTO",
AND(B1985&lt;&gt;"",M1985=""),"FALTA O PEDIDO",
AND(M1985&lt;&gt;"",O1985=""),"FALTA NF",
O1985&lt;&gt;"","CONCLUÍDO")</f>
        <v>CONCLUÍDO</v>
      </c>
      <c r="R1985" s="33"/>
    </row>
    <row r="1986" spans="1:18" hidden="1">
      <c r="A1986" s="30">
        <v>46195</v>
      </c>
      <c r="B1986" s="30">
        <v>46197</v>
      </c>
      <c r="C1986" s="31">
        <v>11040013</v>
      </c>
      <c r="D1986" s="30" t="str">
        <f>IFERROR(VLOOKUP(Tabela5[[#This Row],[PREFIXO ]],Tabela4[#All],2,0),"CENTRO DE CUSTO")</f>
        <v>CAV MEC EXT PES SCANIA R500</v>
      </c>
      <c r="E1986" s="33" t="s">
        <v>124</v>
      </c>
      <c r="F1986" s="31">
        <v>590</v>
      </c>
      <c r="G1986" s="32">
        <v>4108.8</v>
      </c>
      <c r="H1986" s="32">
        <v>385</v>
      </c>
      <c r="I1986" s="32">
        <f t="shared" si="32"/>
        <v>4493.8</v>
      </c>
      <c r="J1986" s="18" t="s">
        <v>1199</v>
      </c>
      <c r="K1986" s="33" t="s">
        <v>4674</v>
      </c>
      <c r="L1986" s="33" t="s">
        <v>4671</v>
      </c>
      <c r="M1986" s="33" t="s">
        <v>4672</v>
      </c>
      <c r="N1986" s="30">
        <v>46198</v>
      </c>
      <c r="O1986" s="33" t="s">
        <v>4673</v>
      </c>
      <c r="P1986" s="33" t="s">
        <v>4140</v>
      </c>
      <c r="Q1986" s="30" t="str" cm="1">
        <f t="array" ref="Q1986">_xlfn.IFS(
A1986="","",
AND(A1986&lt;&gt;"",B1986=""),"FALTA LANÇAMENTO",
AND(B1986&lt;&gt;"",M1986=""),"FALTA O PEDIDO",
AND(M1986&lt;&gt;"",O1986=""),"FALTA NF",
O1986&lt;&gt;"","CONCLUÍDO")</f>
        <v>CONCLUÍDO</v>
      </c>
      <c r="R1986" s="33"/>
    </row>
    <row r="1987" spans="1:18" hidden="1">
      <c r="A1987" s="30">
        <v>46195</v>
      </c>
      <c r="B1987" s="30">
        <v>46197</v>
      </c>
      <c r="C1987" s="31">
        <v>11040006</v>
      </c>
      <c r="D1987" s="30" t="str">
        <f>IFERROR(VLOOKUP(Tabela5[[#This Row],[PREFIXO ]],Tabela4[#All],2,0),"CENTRO DE CUSTO")</f>
        <v>CAV MEC EXT PES SCANIA R500</v>
      </c>
      <c r="E1987" s="33" t="s">
        <v>124</v>
      </c>
      <c r="F1987" s="31">
        <v>588</v>
      </c>
      <c r="G1987" s="32">
        <v>4406.3999999999996</v>
      </c>
      <c r="H1987" s="32"/>
      <c r="I1987" s="32">
        <f t="shared" si="32"/>
        <v>4406.3999999999996</v>
      </c>
      <c r="J1987" s="18" t="s">
        <v>1199</v>
      </c>
      <c r="K1987" s="33" t="s">
        <v>4675</v>
      </c>
      <c r="L1987" s="33" t="s">
        <v>4671</v>
      </c>
      <c r="M1987" s="33" t="s">
        <v>4672</v>
      </c>
      <c r="N1987" s="39">
        <v>46198</v>
      </c>
      <c r="O1987" s="33" t="s">
        <v>4673</v>
      </c>
      <c r="P1987" s="33" t="s">
        <v>4140</v>
      </c>
      <c r="Q1987" s="30" t="str" cm="1">
        <f t="array" ref="Q1987">_xlfn.IFS(
A1987="","",
AND(A1987&lt;&gt;"",B1987=""),"FALTA LANÇAMENTO",
AND(B1987&lt;&gt;"",M1987=""),"FALTA O PEDIDO",
AND(M1987&lt;&gt;"",O1987=""),"FALTA NF",
O1987&lt;&gt;"","CONCLUÍDO")</f>
        <v>CONCLUÍDO</v>
      </c>
      <c r="R1987" s="33"/>
    </row>
    <row r="1988" spans="1:18" hidden="1">
      <c r="A1988" s="30">
        <v>46195</v>
      </c>
      <c r="B1988" s="30">
        <v>46197</v>
      </c>
      <c r="C1988" s="31">
        <v>61521065</v>
      </c>
      <c r="D1988" s="30" t="str">
        <f>IFERROR(VLOOKUP(Tabela5[[#This Row],[PREFIXO ]],Tabela4[#All],2,0),"CENTRO DE CUSTO")</f>
        <v>CAM ROLL ON/OFF VOLVO VM 330</v>
      </c>
      <c r="E1988" s="33" t="s">
        <v>124</v>
      </c>
      <c r="F1988" s="31">
        <v>604</v>
      </c>
      <c r="G1988" s="32">
        <v>1980</v>
      </c>
      <c r="H1988" s="32"/>
      <c r="I1988" s="32">
        <f t="shared" si="32"/>
        <v>1980</v>
      </c>
      <c r="J1988" s="18" t="s">
        <v>1199</v>
      </c>
      <c r="K1988" s="33" t="s">
        <v>4676</v>
      </c>
      <c r="L1988" s="33" t="s">
        <v>4671</v>
      </c>
      <c r="M1988" s="33" t="s">
        <v>4672</v>
      </c>
      <c r="N1988" s="39">
        <v>46198</v>
      </c>
      <c r="O1988" s="33" t="s">
        <v>4673</v>
      </c>
      <c r="P1988" s="33" t="s">
        <v>4140</v>
      </c>
      <c r="Q1988" s="30" t="str" cm="1">
        <f t="array" ref="Q1988">_xlfn.IFS(
A1988="","",
AND(A1988&lt;&gt;"",B1988=""),"FALTA LANÇAMENTO",
AND(B1988&lt;&gt;"",M1988=""),"FALTA O PEDIDO",
AND(M1988&lt;&gt;"",O1988=""),"FALTA NF",
O1988&lt;&gt;"","CONCLUÍDO")</f>
        <v>CONCLUÍDO</v>
      </c>
      <c r="R1988" s="33"/>
    </row>
    <row r="1989" spans="1:18" hidden="1">
      <c r="A1989" s="30">
        <v>46195</v>
      </c>
      <c r="B1989" s="30">
        <v>46196</v>
      </c>
      <c r="C1989" s="31">
        <v>31521013</v>
      </c>
      <c r="D1989" s="30" t="str">
        <f>IFERROR(VLOOKUP(Tabela5[[#This Row],[PREFIXO ]],Tabela4[#All],2,0),"CENTRO DE CUSTO")</f>
        <v>PULV AUTOPROP JACTO UNIPORT 3030</v>
      </c>
      <c r="E1989" s="33" t="s">
        <v>49</v>
      </c>
      <c r="F1989" s="31" t="s">
        <v>4677</v>
      </c>
      <c r="G1989" s="32">
        <v>2004.43</v>
      </c>
      <c r="H1989" s="32"/>
      <c r="I1989" s="32">
        <f t="shared" si="32"/>
        <v>2004.43</v>
      </c>
      <c r="J1989" s="18" t="s">
        <v>1080</v>
      </c>
      <c r="K1989" s="33" t="s">
        <v>4678</v>
      </c>
      <c r="L1989" s="33" t="s">
        <v>4679</v>
      </c>
      <c r="M1989" s="33" t="s">
        <v>4680</v>
      </c>
      <c r="N1989" s="30">
        <v>46197</v>
      </c>
      <c r="O1989" s="33" t="s">
        <v>4681</v>
      </c>
      <c r="P1989" s="33" t="s">
        <v>4056</v>
      </c>
      <c r="Q1989" s="30" t="str" cm="1">
        <f t="array" ref="Q1989">_xlfn.IFS(
A1989="","",
AND(A1989&lt;&gt;"",B1989=""),"FALTA LANÇAMENTO",
AND(B1989&lt;&gt;"",M1989=""),"FALTA O PEDIDO",
AND(M1989&lt;&gt;"",O1989=""),"FALTA NF",
O1989&lt;&gt;"","CONCLUÍDO")</f>
        <v>CONCLUÍDO</v>
      </c>
      <c r="R1989" s="33"/>
    </row>
    <row r="1990" spans="1:18" hidden="1">
      <c r="A1990" s="30">
        <v>46195</v>
      </c>
      <c r="B1990" s="30">
        <v>46196</v>
      </c>
      <c r="C1990" s="31">
        <v>500580100</v>
      </c>
      <c r="D1990" s="30" t="str">
        <f>IFERROR(VLOOKUP(Tabela5[[#This Row],[PREFIXO ]],Tabela4[#All],2,0),"CENTRO DE CUSTO")</f>
        <v>Autopropelidos</v>
      </c>
      <c r="E1990" s="33" t="s">
        <v>49</v>
      </c>
      <c r="F1990" s="31" t="s">
        <v>3649</v>
      </c>
      <c r="G1990" s="32">
        <v>2608.4299999999998</v>
      </c>
      <c r="H1990" s="32"/>
      <c r="I1990" s="32">
        <f t="shared" si="32"/>
        <v>2608.4299999999998</v>
      </c>
      <c r="J1990" s="18" t="s">
        <v>1080</v>
      </c>
      <c r="K1990" s="33" t="s">
        <v>4682</v>
      </c>
      <c r="L1990" s="33" t="s">
        <v>4679</v>
      </c>
      <c r="M1990" s="33" t="s">
        <v>4680</v>
      </c>
      <c r="N1990" s="30">
        <v>46197</v>
      </c>
      <c r="O1990" s="33" t="s">
        <v>4681</v>
      </c>
      <c r="P1990" s="33" t="s">
        <v>4056</v>
      </c>
      <c r="Q1990" s="30" t="str" cm="1">
        <f t="array" ref="Q1990">_xlfn.IFS(
A1990="","",
AND(A1990&lt;&gt;"",B1990=""),"FALTA LANÇAMENTO",
AND(B1990&lt;&gt;"",M1990=""),"FALTA O PEDIDO",
AND(M1990&lt;&gt;"",O1990=""),"FALTA NF",
O1990&lt;&gt;"","CONCLUÍDO")</f>
        <v>CONCLUÍDO</v>
      </c>
      <c r="R1990" s="33"/>
    </row>
    <row r="1991" spans="1:18" hidden="1">
      <c r="A1991" s="30">
        <v>46195</v>
      </c>
      <c r="B1991" s="30">
        <v>46196</v>
      </c>
      <c r="C1991" s="31">
        <v>31521029</v>
      </c>
      <c r="D1991" s="30" t="str">
        <f>IFERROR(VLOOKUP(Tabela5[[#This Row],[PREFIXO ]],Tabela4[#All],2,0),"CENTRO DE CUSTO")</f>
        <v>PULV AUTOPROP JACTO UNIPORT 3030</v>
      </c>
      <c r="E1991" s="33" t="s">
        <v>49</v>
      </c>
      <c r="F1991" s="31" t="s">
        <v>3648</v>
      </c>
      <c r="G1991" s="32">
        <v>298.39999999999998</v>
      </c>
      <c r="H1991" s="32"/>
      <c r="I1991" s="32">
        <f t="shared" si="32"/>
        <v>298.39999999999998</v>
      </c>
      <c r="J1991" s="18" t="s">
        <v>1080</v>
      </c>
      <c r="K1991" s="33" t="s">
        <v>4683</v>
      </c>
      <c r="L1991" s="33" t="s">
        <v>4679</v>
      </c>
      <c r="M1991" s="33" t="s">
        <v>4680</v>
      </c>
      <c r="N1991" s="30">
        <v>46197</v>
      </c>
      <c r="O1991" s="33" t="s">
        <v>4681</v>
      </c>
      <c r="P1991" s="33" t="s">
        <v>4056</v>
      </c>
      <c r="Q1991" s="30" t="str" cm="1">
        <f t="array" ref="Q1991">_xlfn.IFS(
A1991="","",
AND(A1991&lt;&gt;"",B1991=""),"FALTA LANÇAMENTO",
AND(B1991&lt;&gt;"",M1991=""),"FALTA O PEDIDO",
AND(M1991&lt;&gt;"",O1991=""),"FALTA NF",
O1991&lt;&gt;"","CONCLUÍDO")</f>
        <v>CONCLUÍDO</v>
      </c>
      <c r="R1991" s="33"/>
    </row>
    <row r="1992" spans="1:18" hidden="1">
      <c r="A1992" s="30">
        <v>46195</v>
      </c>
      <c r="B1992" s="30">
        <v>46196</v>
      </c>
      <c r="C1992" s="31">
        <v>31521029</v>
      </c>
      <c r="D1992" s="30" t="str">
        <f>IFERROR(VLOOKUP(Tabela5[[#This Row],[PREFIXO ]],Tabela4[#All],2,0),"CENTRO DE CUSTO")</f>
        <v>PULV AUTOPROP JACTO UNIPORT 3030</v>
      </c>
      <c r="E1992" s="33" t="s">
        <v>49</v>
      </c>
      <c r="F1992" s="31" t="s">
        <v>3979</v>
      </c>
      <c r="G1992" s="32">
        <v>470</v>
      </c>
      <c r="H1992" s="32"/>
      <c r="I1992" s="32">
        <f t="shared" si="32"/>
        <v>470</v>
      </c>
      <c r="J1992" s="18" t="s">
        <v>1080</v>
      </c>
      <c r="K1992" s="33" t="s">
        <v>4684</v>
      </c>
      <c r="L1992" s="33" t="s">
        <v>4679</v>
      </c>
      <c r="M1992" s="33" t="s">
        <v>4680</v>
      </c>
      <c r="N1992" s="30">
        <v>46197</v>
      </c>
      <c r="O1992" s="33" t="s">
        <v>4681</v>
      </c>
      <c r="P1992" s="33" t="s">
        <v>4056</v>
      </c>
      <c r="Q1992" s="30" t="str" cm="1">
        <f t="array" ref="Q1992">_xlfn.IFS(
A1992="","",
AND(A1992&lt;&gt;"",B1992=""),"FALTA LANÇAMENTO",
AND(B1992&lt;&gt;"",M1992=""),"FALTA O PEDIDO",
AND(M1992&lt;&gt;"",O1992=""),"FALTA NF",
O1992&lt;&gt;"","CONCLUÍDO")</f>
        <v>CONCLUÍDO</v>
      </c>
      <c r="R1992" s="33"/>
    </row>
    <row r="1993" spans="1:18" hidden="1">
      <c r="A1993" s="30">
        <v>46195</v>
      </c>
      <c r="B1993" s="30">
        <v>46196</v>
      </c>
      <c r="C1993" s="31">
        <v>13150008</v>
      </c>
      <c r="D1993" s="30" t="str">
        <f>IFERROR(VLOOKUP(Tabela5[[#This Row],[PREFIXO ]],Tabela4[#All],2,0),"CENTRO DE CUSTO")</f>
        <v>CENTRO DE CUSTO</v>
      </c>
      <c r="E1993" s="33" t="s">
        <v>49</v>
      </c>
      <c r="F1993" s="31" t="s">
        <v>4651</v>
      </c>
      <c r="G1993" s="32">
        <v>1125</v>
      </c>
      <c r="H1993" s="32"/>
      <c r="I1993" s="32">
        <f t="shared" si="32"/>
        <v>1125</v>
      </c>
      <c r="J1993" s="18" t="s">
        <v>1080</v>
      </c>
      <c r="K1993" s="33" t="s">
        <v>4685</v>
      </c>
      <c r="L1993" s="33" t="s">
        <v>4679</v>
      </c>
      <c r="M1993" s="33" t="s">
        <v>4680</v>
      </c>
      <c r="N1993" s="30">
        <v>46197</v>
      </c>
      <c r="O1993" s="33" t="s">
        <v>4681</v>
      </c>
      <c r="P1993" s="33" t="s">
        <v>4056</v>
      </c>
      <c r="Q1993" s="30" t="str" cm="1">
        <f t="array" ref="Q1993">_xlfn.IFS(
A1993="","",
AND(A1993&lt;&gt;"",B1993=""),"FALTA LANÇAMENTO",
AND(B1993&lt;&gt;"",M1993=""),"FALTA O PEDIDO",
AND(M1993&lt;&gt;"",O1993=""),"FALTA NF",
O1993&lt;&gt;"","CONCLUÍDO")</f>
        <v>CONCLUÍDO</v>
      </c>
      <c r="R1993" s="33"/>
    </row>
    <row r="1994" spans="1:18" hidden="1">
      <c r="A1994" s="30">
        <v>46195</v>
      </c>
      <c r="B1994" s="30">
        <v>46196</v>
      </c>
      <c r="C1994" s="31">
        <v>31521028</v>
      </c>
      <c r="D1994" s="30" t="str">
        <f>IFERROR(VLOOKUP(Tabela5[[#This Row],[PREFIXO ]],Tabela4[#All],2,0),"CENTRO DE CUSTO")</f>
        <v>PULV AUTOPROP JACTO UNIPORT 3030</v>
      </c>
      <c r="E1994" s="33" t="s">
        <v>49</v>
      </c>
      <c r="F1994" s="31" t="s">
        <v>4686</v>
      </c>
      <c r="G1994" s="32">
        <v>466.6</v>
      </c>
      <c r="H1994" s="32"/>
      <c r="I1994" s="32">
        <f t="shared" si="32"/>
        <v>466.6</v>
      </c>
      <c r="J1994" s="18" t="s">
        <v>1080</v>
      </c>
      <c r="K1994" s="33" t="s">
        <v>4687</v>
      </c>
      <c r="L1994" s="33" t="s">
        <v>4679</v>
      </c>
      <c r="M1994" s="33" t="s">
        <v>4680</v>
      </c>
      <c r="N1994" s="30">
        <v>46197</v>
      </c>
      <c r="O1994" s="33" t="s">
        <v>4681</v>
      </c>
      <c r="P1994" s="33" t="s">
        <v>4056</v>
      </c>
      <c r="Q1994" s="30" t="str" cm="1">
        <f t="array" ref="Q1994">_xlfn.IFS(
A1994="","",
AND(A1994&lt;&gt;"",B1994=""),"FALTA LANÇAMENTO",
AND(B1994&lt;&gt;"",M1994=""),"FALTA O PEDIDO",
AND(M1994&lt;&gt;"",O1994=""),"FALTA NF",
O1994&lt;&gt;"","CONCLUÍDO")</f>
        <v>CONCLUÍDO</v>
      </c>
      <c r="R1994" s="33"/>
    </row>
    <row r="1995" spans="1:18" hidden="1">
      <c r="A1995" s="30">
        <v>46195</v>
      </c>
      <c r="B1995" s="30">
        <v>46196</v>
      </c>
      <c r="C1995" s="31">
        <v>35005012</v>
      </c>
      <c r="D1995" s="30" t="str">
        <f>IFERROR(VLOOKUP(Tabela5[[#This Row],[PREFIXO ]],Tabela4[#All],2,0),"CENTRO DE CUSTO")</f>
        <v>PULV AUTOPROP JACTO UNIPORT 3030</v>
      </c>
      <c r="E1995" s="33" t="s">
        <v>49</v>
      </c>
      <c r="F1995" s="31" t="s">
        <v>4688</v>
      </c>
      <c r="G1995" s="32">
        <v>1940</v>
      </c>
      <c r="H1995" s="32"/>
      <c r="I1995" s="32">
        <f t="shared" si="32"/>
        <v>1940</v>
      </c>
      <c r="J1995" s="18" t="s">
        <v>1080</v>
      </c>
      <c r="K1995" s="33" t="s">
        <v>4689</v>
      </c>
      <c r="L1995" s="33" t="s">
        <v>4679</v>
      </c>
      <c r="M1995" s="33" t="s">
        <v>4680</v>
      </c>
      <c r="N1995" s="30">
        <v>46197</v>
      </c>
      <c r="O1995" s="33" t="s">
        <v>4681</v>
      </c>
      <c r="P1995" s="33" t="s">
        <v>4056</v>
      </c>
      <c r="Q1995" s="30" t="str" cm="1">
        <f t="array" ref="Q1995">_xlfn.IFS(
A1995="","",
AND(A1995&lt;&gt;"",B1995=""),"FALTA LANÇAMENTO",
AND(B1995&lt;&gt;"",M1995=""),"FALTA O PEDIDO",
AND(M1995&lt;&gt;"",O1995=""),"FALTA NF",
O1995&lt;&gt;"","CONCLUÍDO")</f>
        <v>CONCLUÍDO</v>
      </c>
      <c r="R1995" s="33"/>
    </row>
    <row r="1996" spans="1:18" hidden="1">
      <c r="A1996" s="30">
        <v>46195</v>
      </c>
      <c r="B1996" s="30">
        <v>46196</v>
      </c>
      <c r="C1996" s="31">
        <v>35005012</v>
      </c>
      <c r="D1996" s="30" t="str">
        <f>IFERROR(VLOOKUP(Tabela5[[#This Row],[PREFIXO ]],Tabela4[#All],2,0),"CENTRO DE CUSTO")</f>
        <v>PULV AUTOPROP JACTO UNIPORT 3030</v>
      </c>
      <c r="E1996" s="33" t="s">
        <v>49</v>
      </c>
      <c r="F1996" s="31" t="s">
        <v>3645</v>
      </c>
      <c r="G1996" s="32">
        <v>901</v>
      </c>
      <c r="H1996" s="32"/>
      <c r="I1996" s="32">
        <f t="shared" si="32"/>
        <v>901</v>
      </c>
      <c r="J1996" s="33" t="s">
        <v>1080</v>
      </c>
      <c r="K1996" s="33" t="s">
        <v>4690</v>
      </c>
      <c r="L1996" s="33" t="s">
        <v>4679</v>
      </c>
      <c r="M1996" s="33" t="s">
        <v>4680</v>
      </c>
      <c r="N1996" s="30">
        <v>46197</v>
      </c>
      <c r="O1996" s="33" t="s">
        <v>4681</v>
      </c>
      <c r="P1996" s="33" t="s">
        <v>4056</v>
      </c>
      <c r="Q1996" s="30" t="str" cm="1">
        <f t="array" ref="Q1996">_xlfn.IFS(
A1996="","",
AND(A1996&lt;&gt;"",B1996=""),"FALTA LANÇAMENTO",
AND(B1996&lt;&gt;"",M1996=""),"FALTA O PEDIDO",
AND(M1996&lt;&gt;"",O1996=""),"FALTA NF",
O1996&lt;&gt;"","CONCLUÍDO")</f>
        <v>CONCLUÍDO</v>
      </c>
      <c r="R1996" s="33"/>
    </row>
    <row r="1997" spans="1:18" hidden="1">
      <c r="A1997" s="30">
        <v>46195</v>
      </c>
      <c r="B1997" s="30">
        <v>46196</v>
      </c>
      <c r="C1997" s="31">
        <v>31521031</v>
      </c>
      <c r="D1997" s="30" t="str">
        <f>IFERROR(VLOOKUP(Tabela5[[#This Row],[PREFIXO ]],Tabela4[#All],2,0),"CENTRO DE CUSTO")</f>
        <v>PULV AUTOPROP JACTO UNIPORT 3030</v>
      </c>
      <c r="E1997" s="33" t="s">
        <v>49</v>
      </c>
      <c r="F1997" s="31" t="s">
        <v>3647</v>
      </c>
      <c r="G1997" s="32">
        <v>651.20000000000005</v>
      </c>
      <c r="H1997" s="32"/>
      <c r="I1997" s="32">
        <f t="shared" si="32"/>
        <v>651.20000000000005</v>
      </c>
      <c r="J1997" s="33" t="s">
        <v>1080</v>
      </c>
      <c r="K1997" s="33" t="s">
        <v>4691</v>
      </c>
      <c r="L1997" s="33" t="s">
        <v>4679</v>
      </c>
      <c r="M1997" s="33" t="s">
        <v>4680</v>
      </c>
      <c r="N1997" s="30">
        <v>46197</v>
      </c>
      <c r="O1997" s="33" t="s">
        <v>4681</v>
      </c>
      <c r="P1997" s="33" t="s">
        <v>4056</v>
      </c>
      <c r="Q1997" s="30" t="str" cm="1">
        <f t="array" ref="Q1997">_xlfn.IFS(
A1997="","",
AND(A1997&lt;&gt;"",B1997=""),"FALTA LANÇAMENTO",
AND(B1997&lt;&gt;"",M1997=""),"FALTA O PEDIDO",
AND(M1997&lt;&gt;"",O1997=""),"FALTA NF",
O1997&lt;&gt;"","CONCLUÍDO")</f>
        <v>CONCLUÍDO</v>
      </c>
      <c r="R1997" s="33"/>
    </row>
    <row r="1998" spans="1:18" hidden="1">
      <c r="A1998" s="30">
        <v>46195</v>
      </c>
      <c r="B1998" s="30">
        <v>46196</v>
      </c>
      <c r="C1998" s="31">
        <v>31521016</v>
      </c>
      <c r="D1998" s="30" t="str">
        <f>IFERROR(VLOOKUP(Tabela5[[#This Row],[PREFIXO ]],Tabela4[#All],2,0),"CENTRO DE CUSTO")</f>
        <v>PULV AUTOPROP JACTO UNIPORT 3030</v>
      </c>
      <c r="E1998" s="33" t="s">
        <v>49</v>
      </c>
      <c r="F1998" s="31" t="s">
        <v>4692</v>
      </c>
      <c r="G1998" s="32">
        <v>827</v>
      </c>
      <c r="H1998" s="32"/>
      <c r="I1998" s="32">
        <f t="shared" si="32"/>
        <v>827</v>
      </c>
      <c r="J1998" s="33" t="s">
        <v>1080</v>
      </c>
      <c r="K1998" s="33" t="s">
        <v>4693</v>
      </c>
      <c r="L1998" s="33" t="s">
        <v>4679</v>
      </c>
      <c r="M1998" s="33" t="s">
        <v>4694</v>
      </c>
      <c r="N1998" s="30">
        <v>46198</v>
      </c>
      <c r="O1998" s="33" t="s">
        <v>4695</v>
      </c>
      <c r="P1998" s="33" t="s">
        <v>4122</v>
      </c>
      <c r="Q1998" s="30" t="str" cm="1">
        <f t="array" ref="Q1998">_xlfn.IFS(
A1998="","",
AND(A1998&lt;&gt;"",B1998=""),"FALTA LANÇAMENTO",
AND(B1998&lt;&gt;"",M1998=""),"FALTA O PEDIDO",
AND(M1998&lt;&gt;"",O1998=""),"FALTA NF",
O1998&lt;&gt;"","CONCLUÍDO")</f>
        <v>CONCLUÍDO</v>
      </c>
      <c r="R1998" s="33"/>
    </row>
    <row r="1999" spans="1:18" hidden="1">
      <c r="A1999" s="30">
        <v>46195</v>
      </c>
      <c r="B1999" s="30">
        <v>46195</v>
      </c>
      <c r="C1999" s="31" t="s">
        <v>1095</v>
      </c>
      <c r="D1999" s="30" t="str">
        <f>IFERROR(VLOOKUP(Tabela5[[#This Row],[PREFIXO ]],Tabela4[#All],2,0),"CENTRO DE CUSTO")</f>
        <v>Equipamento</v>
      </c>
      <c r="E1999" s="33" t="s">
        <v>224</v>
      </c>
      <c r="F1999" s="31">
        <v>3028</v>
      </c>
      <c r="G1999" s="32">
        <v>2090</v>
      </c>
      <c r="H1999" s="32"/>
      <c r="I1999" s="32">
        <f t="shared" si="32"/>
        <v>2090</v>
      </c>
      <c r="J1999" s="18" t="s">
        <v>1251</v>
      </c>
      <c r="K1999" s="33" t="s">
        <v>1095</v>
      </c>
      <c r="L1999" s="33" t="s">
        <v>4696</v>
      </c>
      <c r="M1999" s="33" t="s">
        <v>4697</v>
      </c>
      <c r="N1999" s="30">
        <v>46198</v>
      </c>
      <c r="O1999" s="33"/>
      <c r="P1999" s="33"/>
      <c r="Q1999" s="30" t="str" cm="1">
        <f t="array" ref="Q1999">_xlfn.IFS(
A1999="","",
AND(A1999&lt;&gt;"",B1999=""),"FALTA LANÇAMENTO",
AND(B1999&lt;&gt;"",M1999=""),"FALTA O PEDIDO",
AND(M1999&lt;&gt;"",O1999=""),"FALTA NF",
O1999&lt;&gt;"","CONCLUÍDO")</f>
        <v>FALTA NF</v>
      </c>
      <c r="R1999" s="33"/>
    </row>
    <row r="2000" spans="1:18" hidden="1">
      <c r="A2000" s="30">
        <v>46195</v>
      </c>
      <c r="B2000" s="30">
        <v>46206</v>
      </c>
      <c r="C2000" s="31">
        <v>500580349</v>
      </c>
      <c r="D2000" s="30" t="str">
        <f>IFERROR(VLOOKUP(Tabela5[[#This Row],[PREFIXO ]],Tabela4[#All],2,0),"CENTRO DE CUSTO")</f>
        <v>ADUBADORES AUTOPROPE</v>
      </c>
      <c r="E2000" s="33" t="s">
        <v>51</v>
      </c>
      <c r="F2000" s="31">
        <v>345</v>
      </c>
      <c r="G2000" s="32">
        <v>30000</v>
      </c>
      <c r="H2000" s="32"/>
      <c r="I2000" s="32">
        <f t="shared" si="32"/>
        <v>30000</v>
      </c>
      <c r="J2000" s="33" t="s">
        <v>1265</v>
      </c>
      <c r="K2000" s="33" t="s">
        <v>4698</v>
      </c>
      <c r="L2000" s="33" t="s">
        <v>4699</v>
      </c>
      <c r="M2000" s="33" t="s">
        <v>4700</v>
      </c>
      <c r="N2000" s="30">
        <v>46206</v>
      </c>
      <c r="O2000" s="33" t="s">
        <v>1306</v>
      </c>
      <c r="P2000" s="33" t="s">
        <v>4605</v>
      </c>
      <c r="Q2000" s="30" t="str" cm="1">
        <f t="array" ref="Q2000">_xlfn.IFS(
A2000="","",
AND(A2000&lt;&gt;"",B2000=""),"FALTA LANÇAMENTO",
AND(B2000&lt;&gt;"",M2000=""),"FALTA O PEDIDO",
AND(M2000&lt;&gt;"",O2000=""),"FALTA NF",
O2000&lt;&gt;"","CONCLUÍDO")</f>
        <v>CONCLUÍDO</v>
      </c>
      <c r="R2000" s="33"/>
    </row>
    <row r="2001" spans="1:18" hidden="1">
      <c r="A2001" s="30">
        <v>46195</v>
      </c>
      <c r="B2001" s="30">
        <v>46197</v>
      </c>
      <c r="C2001" s="31">
        <v>500580579</v>
      </c>
      <c r="D2001" s="30" t="str">
        <f>IFERROR(VLOOKUP(Tabela5[[#This Row],[PREFIXO ]],Tabela4[#All],2,0),"CENTRO DE CUSTO")</f>
        <v>Pátio de Vendas</v>
      </c>
      <c r="E2001" s="33" t="s">
        <v>224</v>
      </c>
      <c r="F2001" s="31">
        <v>4279</v>
      </c>
      <c r="G2001" s="32">
        <v>350</v>
      </c>
      <c r="H2001" s="32"/>
      <c r="I2001" s="32">
        <f t="shared" si="32"/>
        <v>350</v>
      </c>
      <c r="J2001" s="33" t="s">
        <v>3654</v>
      </c>
      <c r="K2001" s="33" t="s">
        <v>4701</v>
      </c>
      <c r="L2001" s="33" t="s">
        <v>4702</v>
      </c>
      <c r="M2001" s="33" t="s">
        <v>4703</v>
      </c>
      <c r="N2001" s="30">
        <v>46198</v>
      </c>
      <c r="O2001" s="33"/>
      <c r="P2001" s="33"/>
      <c r="Q2001" s="30" t="str" cm="1">
        <f t="array" ref="Q2001">_xlfn.IFS(
A2001="","",
AND(A2001&lt;&gt;"",B2001=""),"FALTA LANÇAMENTO",
AND(B2001&lt;&gt;"",M2001=""),"FALTA O PEDIDO",
AND(M2001&lt;&gt;"",O2001=""),"FALTA NF",
O2001&lt;&gt;"","CONCLUÍDO")</f>
        <v>FALTA NF</v>
      </c>
      <c r="R2001" s="33"/>
    </row>
    <row r="2002" spans="1:18" hidden="1">
      <c r="A2002" s="30">
        <v>46195</v>
      </c>
      <c r="B2002" s="30">
        <v>46197</v>
      </c>
      <c r="C2002" s="31">
        <v>31521033</v>
      </c>
      <c r="D2002" s="30" t="str">
        <f>IFERROR(VLOOKUP(Tabela5[[#This Row],[PREFIXO ]],Tabela4[#All],2,0),"CENTRO DE CUSTO")</f>
        <v>ADUB AUTOPROP KUHN ACCURA ST 7000</v>
      </c>
      <c r="E2002" s="33" t="s">
        <v>323</v>
      </c>
      <c r="F2002" s="31">
        <v>7</v>
      </c>
      <c r="G2002" s="32">
        <v>25000</v>
      </c>
      <c r="H2002" s="32"/>
      <c r="I2002" s="32">
        <f t="shared" si="32"/>
        <v>25000</v>
      </c>
      <c r="J2002" s="33" t="s">
        <v>1080</v>
      </c>
      <c r="K2002" s="33" t="s">
        <v>4704</v>
      </c>
      <c r="L2002" s="33" t="s">
        <v>4705</v>
      </c>
      <c r="M2002" s="33" t="s">
        <v>4706</v>
      </c>
      <c r="N2002" s="30">
        <v>46205</v>
      </c>
      <c r="O2002" s="33" t="s">
        <v>1538</v>
      </c>
      <c r="P2002" s="33" t="s">
        <v>4044</v>
      </c>
      <c r="Q2002" s="30" t="str" cm="1">
        <f t="array" ref="Q2002">_xlfn.IFS(
A2002="","",
AND(A2002&lt;&gt;"",B2002=""),"FALTA LANÇAMENTO",
AND(B2002&lt;&gt;"",M2002=""),"FALTA O PEDIDO",
AND(M2002&lt;&gt;"",O2002=""),"FALTA NF",
O2002&lt;&gt;"","CONCLUÍDO")</f>
        <v>CONCLUÍDO</v>
      </c>
      <c r="R2002" s="33"/>
    </row>
    <row r="2003" spans="1:18" hidden="1">
      <c r="A2003" s="30">
        <v>46195</v>
      </c>
      <c r="B2003" s="30">
        <v>46198</v>
      </c>
      <c r="C2003" s="31">
        <v>23110001</v>
      </c>
      <c r="D2003" s="30" t="str">
        <f>IFERROR(VLOOKUP(Tabela5[[#This Row],[PREFIXO ]],Tabela4[#All],2,0),"CENTRO DE CUSTO")</f>
        <v>TRAT PN EXT PES FENDT VARIO 1050</v>
      </c>
      <c r="E2003" s="33" t="s">
        <v>259</v>
      </c>
      <c r="F2003" s="31">
        <v>63301057</v>
      </c>
      <c r="G2003" s="32">
        <v>49.28</v>
      </c>
      <c r="H2003" s="32">
        <v>9065.51</v>
      </c>
      <c r="I2003" s="32">
        <f t="shared" si="32"/>
        <v>9114.7900000000009</v>
      </c>
      <c r="J2003" s="33" t="s">
        <v>1199</v>
      </c>
      <c r="K2003" s="33" t="s">
        <v>4707</v>
      </c>
      <c r="L2003" s="33" t="s">
        <v>4708</v>
      </c>
      <c r="M2003" s="33" t="s">
        <v>4709</v>
      </c>
      <c r="N2003" s="30">
        <v>46202</v>
      </c>
      <c r="O2003" s="33" t="s">
        <v>4710</v>
      </c>
      <c r="P2003" s="33" t="s">
        <v>4044</v>
      </c>
      <c r="Q2003" s="30" t="str" cm="1">
        <f t="array" ref="Q2003">_xlfn.IFS(
A2003="","",
AND(A2003&lt;&gt;"",B2003=""),"FALTA LANÇAMENTO",
AND(B2003&lt;&gt;"",M2003=""),"FALTA O PEDIDO",
AND(M2003&lt;&gt;"",O2003=""),"FALTA NF",
O2003&lt;&gt;"","CONCLUÍDO")</f>
        <v>CONCLUÍDO</v>
      </c>
      <c r="R2003" s="33"/>
    </row>
    <row r="2004" spans="1:18" hidden="1">
      <c r="A2004" s="30">
        <v>46195</v>
      </c>
      <c r="B2004" s="30">
        <v>46198</v>
      </c>
      <c r="C2004" s="31">
        <v>61521008</v>
      </c>
      <c r="D2004" s="30" t="str">
        <f>IFERROR(VLOOKUP(Tabela5[[#This Row],[PREFIXO ]],Tabela4[#All],2,0),"CENTRO DE CUSTO")</f>
        <v>CAV MEC PES MERC BENZ AXOR 2644</v>
      </c>
      <c r="E2004" s="33" t="s">
        <v>124</v>
      </c>
      <c r="F2004" s="31">
        <v>536</v>
      </c>
      <c r="G2004" s="32">
        <v>5164.8</v>
      </c>
      <c r="H2004" s="32">
        <v>1526.8</v>
      </c>
      <c r="I2004" s="32">
        <f t="shared" si="32"/>
        <v>6691.6</v>
      </c>
      <c r="J2004" s="33" t="s">
        <v>1199</v>
      </c>
      <c r="K2004" s="33" t="s">
        <v>4711</v>
      </c>
      <c r="L2004" s="33" t="s">
        <v>4712</v>
      </c>
      <c r="M2004" s="33" t="s">
        <v>4713</v>
      </c>
      <c r="N2004" s="30">
        <v>46203</v>
      </c>
      <c r="O2004" s="33" t="s">
        <v>4714</v>
      </c>
      <c r="P2004" s="33" t="s">
        <v>4056</v>
      </c>
      <c r="Q2004" s="30" t="str" cm="1">
        <f t="array" ref="Q2004">_xlfn.IFS(
A2004="","",
AND(A2004&lt;&gt;"",B2004=""),"FALTA LANÇAMENTO",
AND(B2004&lt;&gt;"",M2004=""),"FALTA O PEDIDO",
AND(M2004&lt;&gt;"",O2004=""),"FALTA NF",
O2004&lt;&gt;"","CONCLUÍDO")</f>
        <v>CONCLUÍDO</v>
      </c>
      <c r="R2004" s="33"/>
    </row>
    <row r="2005" spans="1:18" hidden="1">
      <c r="A2005" s="30">
        <v>46195</v>
      </c>
      <c r="B2005" s="30">
        <v>46198</v>
      </c>
      <c r="C2005" s="31">
        <v>1173019</v>
      </c>
      <c r="D2005" s="30" t="str">
        <f>IFERROR(VLOOKUP(Tabela5[[#This Row],[PREFIXO ]],Tabela4[#All],2,0),"CENTRO DE CUSTO")</f>
        <v>TRAT PN MED N.HOLLAND 7630</v>
      </c>
      <c r="E2005" s="33" t="s">
        <v>49</v>
      </c>
      <c r="F2005" s="31" t="s">
        <v>4641</v>
      </c>
      <c r="G2005" s="32">
        <v>1184.4000000000001</v>
      </c>
      <c r="H2005" s="32"/>
      <c r="I2005" s="32">
        <f t="shared" si="32"/>
        <v>1184.4000000000001</v>
      </c>
      <c r="J2005" s="33" t="s">
        <v>1199</v>
      </c>
      <c r="K2005" s="33" t="s">
        <v>4715</v>
      </c>
      <c r="L2005" s="33" t="s">
        <v>4716</v>
      </c>
      <c r="M2005" s="33" t="s">
        <v>4717</v>
      </c>
      <c r="N2005" s="30">
        <v>46198</v>
      </c>
      <c r="O2005" s="33" t="s">
        <v>4718</v>
      </c>
      <c r="P2005" s="33" t="s">
        <v>4056</v>
      </c>
      <c r="Q2005" s="30" t="str" cm="1">
        <f t="array" ref="Q2005">_xlfn.IFS(
A2005="","",
AND(A2005&lt;&gt;"",B2005=""),"FALTA LANÇAMENTO",
AND(B2005&lt;&gt;"",M2005=""),"FALTA O PEDIDO",
AND(M2005&lt;&gt;"",O2005=""),"FALTA NF",
O2005&lt;&gt;"","CONCLUÍDO")</f>
        <v>CONCLUÍDO</v>
      </c>
      <c r="R2005" s="33"/>
    </row>
    <row r="2006" spans="1:18" hidden="1">
      <c r="A2006" s="30">
        <v>46195</v>
      </c>
      <c r="B2006" s="30">
        <v>46198</v>
      </c>
      <c r="C2006" s="31">
        <v>61521012</v>
      </c>
      <c r="D2006" s="30" t="str">
        <f>IFERROR(VLOOKUP(Tabela5[[#This Row],[PREFIXO ]],Tabela4[#All],2,0),"CENTRO DE CUSTO")</f>
        <v>CAM COMBOIO MERC BENZ ATRON 2729</v>
      </c>
      <c r="E2006" s="33" t="s">
        <v>29</v>
      </c>
      <c r="F2006" s="31">
        <v>55997</v>
      </c>
      <c r="G2006" s="32">
        <v>280</v>
      </c>
      <c r="H2006" s="32">
        <v>996.87</v>
      </c>
      <c r="I2006" s="32">
        <f t="shared" si="32"/>
        <v>1276.8699999999999</v>
      </c>
      <c r="J2006" s="33" t="s">
        <v>1199</v>
      </c>
      <c r="K2006" s="33" t="s">
        <v>4719</v>
      </c>
      <c r="L2006" s="33" t="s">
        <v>4720</v>
      </c>
      <c r="M2006" s="33" t="s">
        <v>4721</v>
      </c>
      <c r="N2006" s="30">
        <v>46198</v>
      </c>
      <c r="O2006" s="33" t="s">
        <v>4722</v>
      </c>
      <c r="P2006" s="33" t="s">
        <v>4056</v>
      </c>
      <c r="Q2006" s="30" t="str" cm="1">
        <f t="array" ref="Q2006">_xlfn.IFS(
A2006="","",
AND(A2006&lt;&gt;"",B2006=""),"FALTA LANÇAMENTO",
AND(B2006&lt;&gt;"",M2006=""),"FALTA O PEDIDO",
AND(M2006&lt;&gt;"",O2006=""),"FALTA NF",
O2006&lt;&gt;"","CONCLUÍDO")</f>
        <v>CONCLUÍDO</v>
      </c>
      <c r="R2006" s="33"/>
    </row>
    <row r="2007" spans="1:18" hidden="1">
      <c r="A2007" s="30">
        <v>46195</v>
      </c>
      <c r="B2007" s="30">
        <v>46198</v>
      </c>
      <c r="C2007" s="31">
        <v>6173059</v>
      </c>
      <c r="D2007" s="30" t="str">
        <f>IFERROR(VLOOKUP(Tabela5[[#This Row],[PREFIXO ]],Tabela4[#All],2,0),"CENTRO DE CUSTO")</f>
        <v>CAM CARGA SECA FORD F-4000</v>
      </c>
      <c r="E2007" s="33" t="s">
        <v>29</v>
      </c>
      <c r="F2007" s="31">
        <v>56052</v>
      </c>
      <c r="G2007" s="32">
        <v>290</v>
      </c>
      <c r="H2007" s="32">
        <v>606.29999999999995</v>
      </c>
      <c r="I2007" s="32">
        <f t="shared" si="32"/>
        <v>896.3</v>
      </c>
      <c r="J2007" s="33" t="s">
        <v>1199</v>
      </c>
      <c r="K2007" s="33" t="s">
        <v>4723</v>
      </c>
      <c r="L2007" s="33" t="s">
        <v>4724</v>
      </c>
      <c r="M2007" s="33" t="s">
        <v>4725</v>
      </c>
      <c r="N2007" s="39">
        <v>46198</v>
      </c>
      <c r="O2007" s="33" t="s">
        <v>4726</v>
      </c>
      <c r="P2007" s="33" t="s">
        <v>4056</v>
      </c>
      <c r="Q2007" s="30" t="str" cm="1">
        <f t="array" ref="Q2007">_xlfn.IFS(
A2007="","",
AND(A2007&lt;&gt;"",B2007=""),"FALTA LANÇAMENTO",
AND(B2007&lt;&gt;"",M2007=""),"FALTA O PEDIDO",
AND(M2007&lt;&gt;"",O2007=""),"FALTA NF",
O2007&lt;&gt;"","CONCLUÍDO")</f>
        <v>CONCLUÍDO</v>
      </c>
      <c r="R2007" s="33"/>
    </row>
    <row r="2008" spans="1:18" hidden="1">
      <c r="A2008" s="30">
        <v>46195</v>
      </c>
      <c r="B2008" s="30">
        <v>46198</v>
      </c>
      <c r="C2008" s="31">
        <v>61521011</v>
      </c>
      <c r="D2008" s="30" t="str">
        <f>IFERROR(VLOOKUP(Tabela5[[#This Row],[PREFIXO ]],Tabela4[#All],2,0),"CENTRO DE CUSTO")</f>
        <v>CAM COMBOIO MERC BENZ ATRON 2729</v>
      </c>
      <c r="E2008" s="33" t="s">
        <v>29</v>
      </c>
      <c r="F2008" s="31">
        <v>56024</v>
      </c>
      <c r="G2008" s="32">
        <v>1085</v>
      </c>
      <c r="H2008" s="32">
        <v>3264.62</v>
      </c>
      <c r="I2008" s="32">
        <f t="shared" si="32"/>
        <v>4349.62</v>
      </c>
      <c r="J2008" s="33" t="s">
        <v>1199</v>
      </c>
      <c r="K2008" s="33" t="s">
        <v>4727</v>
      </c>
      <c r="L2008" s="33" t="s">
        <v>4728</v>
      </c>
      <c r="M2008" s="33" t="s">
        <v>4729</v>
      </c>
      <c r="N2008" s="30">
        <v>46198</v>
      </c>
      <c r="O2008" s="33"/>
      <c r="P2008" s="33"/>
      <c r="Q2008" s="30" t="str" cm="1">
        <f t="array" ref="Q2008">_xlfn.IFS(
A2008="","",
AND(A2008&lt;&gt;"",B2008=""),"FALTA LANÇAMENTO",
AND(B2008&lt;&gt;"",M2008=""),"FALTA O PEDIDO",
AND(M2008&lt;&gt;"",O2008=""),"FALTA NF",
O2008&lt;&gt;"","CONCLUÍDO")</f>
        <v>FALTA NF</v>
      </c>
      <c r="R2008" s="33"/>
    </row>
    <row r="2009" spans="1:18" hidden="1">
      <c r="A2009" s="30">
        <v>46195</v>
      </c>
      <c r="B2009" s="30">
        <v>46198</v>
      </c>
      <c r="C2009" s="31">
        <v>35005015</v>
      </c>
      <c r="D2009" s="30" t="str">
        <f>IFERROR(VLOOKUP(Tabela5[[#This Row],[PREFIXO ]],Tabela4[#All],2,0),"CENTRO DE CUSTO")</f>
        <v>PULV AUTOPROP JACTO UNIPORT 3030</v>
      </c>
      <c r="E2009" s="33" t="s">
        <v>323</v>
      </c>
      <c r="F2009" s="31">
        <v>6</v>
      </c>
      <c r="G2009" s="32">
        <v>4870</v>
      </c>
      <c r="H2009" s="32"/>
      <c r="I2009" s="32">
        <f t="shared" si="32"/>
        <v>4870</v>
      </c>
      <c r="J2009" s="33" t="s">
        <v>1080</v>
      </c>
      <c r="K2009" s="33" t="s">
        <v>4730</v>
      </c>
      <c r="L2009" s="33" t="s">
        <v>4731</v>
      </c>
      <c r="M2009" s="33" t="s">
        <v>4732</v>
      </c>
      <c r="N2009" s="30">
        <v>46198</v>
      </c>
      <c r="O2009" s="33" t="s">
        <v>1763</v>
      </c>
      <c r="P2009" s="33" t="s">
        <v>4056</v>
      </c>
      <c r="Q2009" s="30" t="str" cm="1">
        <f t="array" ref="Q2009">_xlfn.IFS(
A2009="","",
AND(A2009&lt;&gt;"",B2009=""),"FALTA LANÇAMENTO",
AND(B2009&lt;&gt;"",M2009=""),"FALTA O PEDIDO",
AND(M2009&lt;&gt;"",O2009=""),"FALTA NF",
O2009&lt;&gt;"","CONCLUÍDO")</f>
        <v>CONCLUÍDO</v>
      </c>
      <c r="R2009" s="33"/>
    </row>
    <row r="2010" spans="1:18" hidden="1">
      <c r="A2010" s="30">
        <v>46195</v>
      </c>
      <c r="B2010" s="30">
        <v>46199</v>
      </c>
      <c r="C2010" s="31">
        <v>500580346</v>
      </c>
      <c r="D2010" s="30" t="str">
        <f>IFERROR(VLOOKUP(Tabela5[[#This Row],[PREFIXO ]],Tabela4[#All],2,0),"CENTRO DE CUSTO")</f>
        <v>Trat Extra Pesados</v>
      </c>
      <c r="E2010" s="33" t="s">
        <v>259</v>
      </c>
      <c r="F2010" s="31">
        <v>63278859</v>
      </c>
      <c r="G2010" s="32">
        <v>48000</v>
      </c>
      <c r="H2010" s="32"/>
      <c r="I2010" s="32">
        <f t="shared" si="32"/>
        <v>48000</v>
      </c>
      <c r="J2010" s="33" t="s">
        <v>1199</v>
      </c>
      <c r="K2010" s="33" t="s">
        <v>4733</v>
      </c>
      <c r="L2010" s="33" t="s">
        <v>4734</v>
      </c>
      <c r="M2010" s="33" t="s">
        <v>4735</v>
      </c>
      <c r="N2010" s="30">
        <v>46202</v>
      </c>
      <c r="O2010" s="33"/>
      <c r="P2010" s="33"/>
      <c r="Q2010" s="30" t="str" cm="1">
        <f t="array" ref="Q2010">_xlfn.IFS(
A2010="","",
AND(A2010&lt;&gt;"",B2010=""),"FALTA LANÇAMENTO",
AND(B2010&lt;&gt;"",M2010=""),"FALTA O PEDIDO",
AND(M2010&lt;&gt;"",O2010=""),"FALTA NF",
O2010&lt;&gt;"","CONCLUÍDO")</f>
        <v>FALTA NF</v>
      </c>
      <c r="R2010" s="33"/>
    </row>
    <row r="2011" spans="1:18" hidden="1">
      <c r="A2011" s="30">
        <v>46195</v>
      </c>
      <c r="B2011" s="30">
        <v>46199</v>
      </c>
      <c r="C2011" s="31">
        <v>500580346</v>
      </c>
      <c r="D2011" s="30" t="str">
        <f>IFERROR(VLOOKUP(Tabela5[[#This Row],[PREFIXO ]],Tabela4[#All],2,0),"CENTRO DE CUSTO")</f>
        <v>Trat Extra Pesados</v>
      </c>
      <c r="E2011" s="33" t="s">
        <v>259</v>
      </c>
      <c r="F2011" s="31">
        <v>63279296</v>
      </c>
      <c r="G2011" s="32">
        <v>25000.23</v>
      </c>
      <c r="H2011" s="32"/>
      <c r="I2011" s="32">
        <f t="shared" si="32"/>
        <v>25000.23</v>
      </c>
      <c r="J2011" s="33" t="s">
        <v>1199</v>
      </c>
      <c r="K2011" s="33" t="s">
        <v>4736</v>
      </c>
      <c r="L2011" s="33" t="s">
        <v>4737</v>
      </c>
      <c r="M2011" s="33" t="s">
        <v>4738</v>
      </c>
      <c r="N2011" s="30">
        <v>46202</v>
      </c>
      <c r="O2011" s="33"/>
      <c r="P2011" s="33"/>
      <c r="Q2011" s="30" t="str" cm="1">
        <f t="array" ref="Q2011">_xlfn.IFS(
A2012="","",
AND(A2012&lt;&gt;"",B2011=""),"FALTA LANÇAMENTO",
AND(B2011&lt;&gt;"",M2011=""),"FALTA O PEDIDO",
AND(M2011&lt;&gt;"",O2011=""),"FALTA NF",
O2011&lt;&gt;"","CONCLUÍDO")</f>
        <v>FALTA NF</v>
      </c>
      <c r="R2011" s="33"/>
    </row>
    <row r="2012" spans="1:18" hidden="1">
      <c r="A2012" s="30">
        <v>46195</v>
      </c>
      <c r="B2012" s="30">
        <v>46199</v>
      </c>
      <c r="C2012" s="31">
        <v>61521011</v>
      </c>
      <c r="D2012" s="30" t="str">
        <f>IFERROR(VLOOKUP(Tabela5[[#This Row],[PREFIXO ]],Tabela4[#All],2,0),"CENTRO DE CUSTO")</f>
        <v>CAM COMBOIO MERC BENZ ATRON 2729</v>
      </c>
      <c r="E2012" s="33" t="s">
        <v>124</v>
      </c>
      <c r="F2012" s="31">
        <v>605</v>
      </c>
      <c r="G2012" s="32">
        <v>6086.4</v>
      </c>
      <c r="H2012" s="32">
        <v>26784.82</v>
      </c>
      <c r="I2012" s="32">
        <f t="shared" si="32"/>
        <v>32871.22</v>
      </c>
      <c r="J2012" s="33" t="s">
        <v>1199</v>
      </c>
      <c r="K2012" s="33" t="s">
        <v>4739</v>
      </c>
      <c r="L2012" s="33" t="s">
        <v>4740</v>
      </c>
      <c r="M2012" s="33" t="s">
        <v>4741</v>
      </c>
      <c r="N2012" s="30">
        <v>46202</v>
      </c>
      <c r="O2012" s="33" t="s">
        <v>2934</v>
      </c>
      <c r="P2012" s="33" t="s">
        <v>4140</v>
      </c>
      <c r="Q2012" s="30" t="str" cm="1">
        <f t="array" ref="Q2012">_xlfn.IFS(
A2012="","",
AND(A2012&lt;&gt;"",B2012=""),"FALTA LANÇAMENTO",
AND(B2012&lt;&gt;"",M2012=""),"FALTA O PEDIDO",
AND(M2012&lt;&gt;"",O2012=""),"FALTA NF",
O2012&lt;&gt;"","CONCLUÍDO")</f>
        <v>CONCLUÍDO</v>
      </c>
      <c r="R2012" s="33"/>
    </row>
    <row r="2013" spans="1:18" hidden="1">
      <c r="A2013" s="30">
        <v>46195</v>
      </c>
      <c r="B2013" s="30">
        <v>46199</v>
      </c>
      <c r="C2013" s="31">
        <v>81521333</v>
      </c>
      <c r="D2013" s="30" t="str">
        <f>IFERROR(VLOOKUP(Tabela5[[#This Row],[PREFIXO ]],Tabela4[#All],2,0),"CENTRO DE CUSTO")</f>
        <v>SEMI REBOQ TANQUE RODOTECNICA 31.000L AI</v>
      </c>
      <c r="E2013" s="33" t="s">
        <v>323</v>
      </c>
      <c r="F2013" s="31">
        <v>81521333</v>
      </c>
      <c r="G2013" s="32">
        <v>9650</v>
      </c>
      <c r="H2013" s="32"/>
      <c r="I2013" s="32">
        <f t="shared" si="32"/>
        <v>9650</v>
      </c>
      <c r="J2013" s="33" t="s">
        <v>1199</v>
      </c>
      <c r="K2013" s="33" t="s">
        <v>4742</v>
      </c>
      <c r="L2013" s="33" t="s">
        <v>4743</v>
      </c>
      <c r="M2013" s="33" t="s">
        <v>4744</v>
      </c>
      <c r="N2013" s="30">
        <v>46202</v>
      </c>
      <c r="O2013" s="33" t="s">
        <v>1534</v>
      </c>
      <c r="P2013" s="33" t="s">
        <v>4056</v>
      </c>
      <c r="Q2013" s="30" t="str" cm="1">
        <f t="array" ref="Q2013">_xlfn.IFS(
A2013="","",
AND(A2013&lt;&gt;"",B2013=""),"FALTA LANÇAMENTO",
AND(B2013&lt;&gt;"",M2013=""),"FALTA O PEDIDO",
AND(M2013&lt;&gt;"",O2013=""),"FALTA NF",
O2013&lt;&gt;"","CONCLUÍDO")</f>
        <v>CONCLUÍDO</v>
      </c>
      <c r="R2013" s="33"/>
    </row>
    <row r="2014" spans="1:18" hidden="1">
      <c r="A2014" s="30">
        <v>46195</v>
      </c>
      <c r="B2014" s="30">
        <v>46199</v>
      </c>
      <c r="C2014" s="31" t="s">
        <v>4745</v>
      </c>
      <c r="D2014" s="30" t="str">
        <f>IFERROR(VLOOKUP(Tabela5[[#This Row],[PREFIXO ]],Tabela4[#All],2,0),"CENTRO DE CUSTO")</f>
        <v>CENTRO DE CUSTO</v>
      </c>
      <c r="E2014" s="33" t="s">
        <v>129</v>
      </c>
      <c r="F2014" s="31">
        <v>247</v>
      </c>
      <c r="G2014" s="32">
        <v>150</v>
      </c>
      <c r="H2014" s="32">
        <v>850</v>
      </c>
      <c r="I2014" s="32">
        <f t="shared" si="32"/>
        <v>1000</v>
      </c>
      <c r="J2014" s="33" t="s">
        <v>1085</v>
      </c>
      <c r="K2014" s="33" t="s">
        <v>4746</v>
      </c>
      <c r="L2014" s="33" t="s">
        <v>4747</v>
      </c>
      <c r="M2014" s="33" t="s">
        <v>4748</v>
      </c>
      <c r="N2014" s="30">
        <v>46204</v>
      </c>
      <c r="O2014" s="33" t="s">
        <v>4749</v>
      </c>
      <c r="P2014" s="33" t="s">
        <v>4140</v>
      </c>
      <c r="Q2014" s="30" t="str" cm="1">
        <f t="array" ref="Q2014">_xlfn.IFS(
A2014="","",
AND(A2014&lt;&gt;"",B2014=""),"FALTA LANÇAMENTO",
AND(B2014&lt;&gt;"",M2014=""),"FALTA O PEDIDO",
AND(M2014&lt;&gt;"",O2014=""),"FALTA NF",
O2014&lt;&gt;"","CONCLUÍDO")</f>
        <v>CONCLUÍDO</v>
      </c>
      <c r="R2014" s="33"/>
    </row>
    <row r="2015" spans="1:18" hidden="1">
      <c r="A2015" s="30">
        <v>46195</v>
      </c>
      <c r="B2015" s="30">
        <v>46199</v>
      </c>
      <c r="C2015" s="31">
        <v>6121066</v>
      </c>
      <c r="D2015" s="30" t="str">
        <f>IFERROR(VLOOKUP(Tabela5[[#This Row],[PREFIXO ]],Tabela4[#All],2,0),"CENTRO DE CUSTO")</f>
        <v>CENTRO DE CUSTO</v>
      </c>
      <c r="E2015" s="33" t="s">
        <v>250</v>
      </c>
      <c r="F2015" s="31">
        <v>40892</v>
      </c>
      <c r="G2015" s="32">
        <v>200</v>
      </c>
      <c r="H2015" s="32">
        <v>1490</v>
      </c>
      <c r="I2015" s="32">
        <f t="shared" si="32"/>
        <v>1690</v>
      </c>
      <c r="J2015" s="33" t="s">
        <v>1199</v>
      </c>
      <c r="K2015" s="33" t="s">
        <v>4750</v>
      </c>
      <c r="L2015" s="33" t="s">
        <v>4751</v>
      </c>
      <c r="M2015" s="33" t="s">
        <v>4752</v>
      </c>
      <c r="N2015" s="30">
        <v>46199</v>
      </c>
      <c r="O2015" s="33" t="s">
        <v>4753</v>
      </c>
      <c r="P2015" s="33" t="s">
        <v>4140</v>
      </c>
      <c r="Q2015" s="30" t="str" cm="1">
        <f t="array" ref="Q2015">_xlfn.IFS(
A2015="","",
AND(A2015&lt;&gt;"",B2015=""),"FALTA LANÇAMENTO",
AND(B2015&lt;&gt;"",M2015=""),"FALTA O PEDIDO",
AND(M2015&lt;&gt;"",O2015=""),"FALTA NF",
O2015&lt;&gt;"","CONCLUÍDO")</f>
        <v>CONCLUÍDO</v>
      </c>
      <c r="R2015" s="33"/>
    </row>
    <row r="2016" spans="1:18" hidden="1">
      <c r="A2016" s="30">
        <v>46195</v>
      </c>
      <c r="B2016" s="30">
        <v>46199</v>
      </c>
      <c r="C2016" s="31">
        <v>31521034</v>
      </c>
      <c r="D2016" s="30" t="str">
        <f>IFERROR(VLOOKUP(Tabela5[[#This Row],[PREFIXO ]],Tabela4[#All],2,0),"CENTRO DE CUSTO")</f>
        <v>ADUB AUTOPROP KUHN ACCURA ST 7000</v>
      </c>
      <c r="E2016" s="33" t="s">
        <v>323</v>
      </c>
      <c r="F2016" s="31">
        <v>8</v>
      </c>
      <c r="G2016" s="32">
        <v>2210</v>
      </c>
      <c r="H2016" s="32"/>
      <c r="I2016" s="32">
        <f t="shared" si="32"/>
        <v>2210</v>
      </c>
      <c r="J2016" s="33" t="s">
        <v>1080</v>
      </c>
      <c r="K2016" s="33" t="s">
        <v>4754</v>
      </c>
      <c r="L2016" s="33" t="s">
        <v>4755</v>
      </c>
      <c r="M2016" s="33" t="s">
        <v>4756</v>
      </c>
      <c r="N2016" s="30">
        <v>46202</v>
      </c>
      <c r="O2016" s="33" t="s">
        <v>1119</v>
      </c>
      <c r="P2016" s="33" t="s">
        <v>4056</v>
      </c>
      <c r="Q2016" s="30" t="str" cm="1">
        <f t="array" ref="Q2016">_xlfn.IFS(
A2016="","",
AND(A2016&lt;&gt;"",B2016=""),"FALTA LANÇAMENTO",
AND(B2016&lt;&gt;"",M2016=""),"FALTA O PEDIDO",
AND(M2016&lt;&gt;"",O2016=""),"FALTA NF",
O2016&lt;&gt;"","CONCLUÍDO")</f>
        <v>CONCLUÍDO</v>
      </c>
      <c r="R2016" s="33"/>
    </row>
    <row r="2017" spans="1:18" hidden="1">
      <c r="A2017" s="30">
        <v>46195</v>
      </c>
      <c r="B2017" s="30">
        <v>46202</v>
      </c>
      <c r="C2017" s="31">
        <v>61521061</v>
      </c>
      <c r="D2017" s="30" t="str">
        <f>IFERROR(VLOOKUP(Tabela5[[#This Row],[PREFIXO ]],Tabela4[#All],2,0),"CENTRO DE CUSTO")</f>
        <v>ONIB RODOVIÁRIO MERC BENZ MARCOPOLO TORI</v>
      </c>
      <c r="E2017" s="33" t="s">
        <v>34</v>
      </c>
      <c r="F2017" s="31">
        <v>41478</v>
      </c>
      <c r="G2017" s="32">
        <v>680.99</v>
      </c>
      <c r="H2017" s="32"/>
      <c r="I2017" s="32">
        <f t="shared" si="32"/>
        <v>680.99</v>
      </c>
      <c r="J2017" s="33" t="s">
        <v>1199</v>
      </c>
      <c r="K2017" s="33" t="s">
        <v>4757</v>
      </c>
      <c r="L2017" s="33" t="s">
        <v>4758</v>
      </c>
      <c r="M2017" s="33" t="s">
        <v>4759</v>
      </c>
      <c r="N2017" s="30">
        <v>46202</v>
      </c>
      <c r="O2017" s="33" t="s">
        <v>4760</v>
      </c>
      <c r="P2017" s="33" t="s">
        <v>4056</v>
      </c>
      <c r="Q2017" s="30" t="str" cm="1">
        <f t="array" ref="Q2017">_xlfn.IFS(
A2017="","",
AND(A2017&lt;&gt;"",B2017=""),"FALTA LANÇAMENTO",
AND(B2017&lt;&gt;"",M2017=""),"FALTA O PEDIDO",
AND(M2017&lt;&gt;"",O2017=""),"FALTA NF",
O2017&lt;&gt;"","CONCLUÍDO")</f>
        <v>CONCLUÍDO</v>
      </c>
      <c r="R2017" s="33"/>
    </row>
    <row r="2018" spans="1:18" hidden="1">
      <c r="A2018" s="30">
        <v>46195</v>
      </c>
      <c r="B2018" s="30">
        <v>46202</v>
      </c>
      <c r="C2018" s="31">
        <v>11521030</v>
      </c>
      <c r="D2018" s="30" t="str">
        <f>IFERROR(VLOOKUP(Tabela5[[#This Row],[PREFIXO ]],Tabela4[#All],2,0),"CENTRO DE CUSTO")</f>
        <v>TRAT PN EXT PES FENDT 1046 VARIO</v>
      </c>
      <c r="E2018" s="33" t="s">
        <v>359</v>
      </c>
      <c r="F2018" s="31" t="s">
        <v>4761</v>
      </c>
      <c r="G2018" s="32">
        <v>2374.2399999999998</v>
      </c>
      <c r="H2018" s="32"/>
      <c r="I2018" s="32">
        <f t="shared" si="32"/>
        <v>2374.2399999999998</v>
      </c>
      <c r="J2018" s="33" t="s">
        <v>1199</v>
      </c>
      <c r="K2018" s="33" t="s">
        <v>4762</v>
      </c>
      <c r="L2018" s="33" t="s">
        <v>4763</v>
      </c>
      <c r="M2018" s="33" t="s">
        <v>4764</v>
      </c>
      <c r="N2018" s="30">
        <v>46205</v>
      </c>
      <c r="O2018" s="33" t="s">
        <v>3056</v>
      </c>
      <c r="P2018" s="33" t="s">
        <v>4044</v>
      </c>
      <c r="Q2018" s="30" t="str" cm="1">
        <f t="array" ref="Q2018">_xlfn.IFS(
A2018="","",
AND(A2018&lt;&gt;"",B2018=""),"FALTA LANÇAMENTO",
AND(B2018&lt;&gt;"",M2018=""),"FALTA O PEDIDO",
AND(M2018&lt;&gt;"",O2018=""),"FALTA NF",
O2018&lt;&gt;"","CONCLUÍDO")</f>
        <v>CONCLUÍDO</v>
      </c>
      <c r="R2018" s="33"/>
    </row>
    <row r="2019" spans="1:18" hidden="1">
      <c r="A2019" s="30">
        <v>46195</v>
      </c>
      <c r="B2019" s="30">
        <v>46202</v>
      </c>
      <c r="C2019" s="31">
        <v>22080176</v>
      </c>
      <c r="D2019" s="30" t="str">
        <f>IFERROR(VLOOKUP(Tabela5[[#This Row],[PREFIXO ]],Tabela4[#All],2,0),"CENTRO DE CUSTO")</f>
        <v>CENTRO DE CUSTO</v>
      </c>
      <c r="E2019" s="33" t="s">
        <v>372</v>
      </c>
      <c r="F2019" s="31">
        <v>22080176</v>
      </c>
      <c r="G2019" s="32">
        <v>1200</v>
      </c>
      <c r="H2019" s="32"/>
      <c r="I2019" s="32">
        <f t="shared" si="32"/>
        <v>1200</v>
      </c>
      <c r="J2019" s="33" t="s">
        <v>1199</v>
      </c>
      <c r="K2019" s="33" t="s">
        <v>4765</v>
      </c>
      <c r="L2019" s="33" t="s">
        <v>4766</v>
      </c>
      <c r="M2019" s="33" t="s">
        <v>4767</v>
      </c>
      <c r="N2019" s="30">
        <v>46202</v>
      </c>
      <c r="O2019" s="33" t="s">
        <v>1334</v>
      </c>
      <c r="P2019" s="33" t="s">
        <v>4056</v>
      </c>
      <c r="Q2019" s="30" t="str" cm="1">
        <f t="array" ref="Q2019">_xlfn.IFS(
A2019="","",
AND(A2019&lt;&gt;"",B2019=""),"FALTA LANÇAMENTO",
AND(B2019&lt;&gt;"",M2019=""),"FALTA O PEDIDO",
AND(M2019&lt;&gt;"",O2019=""),"FALTA NF",
O2019&lt;&gt;"","CONCLUÍDO")</f>
        <v>CONCLUÍDO</v>
      </c>
      <c r="R2019" s="33"/>
    </row>
    <row r="2020" spans="1:18" hidden="1">
      <c r="A2020" s="30">
        <v>46195</v>
      </c>
      <c r="B2020" s="30">
        <v>46203</v>
      </c>
      <c r="C2020" s="31">
        <v>51521096</v>
      </c>
      <c r="D2020" s="30" t="str">
        <f>IFERROR(VLOOKUP(Tabela5[[#This Row],[PREFIXO ]],Tabela4[#All],2,0),"CENTRO DE CUSTO")</f>
        <v>COLHEIT DE GRÃOS N.HOLLAND CR 8.90</v>
      </c>
      <c r="E2020" s="33" t="s">
        <v>71</v>
      </c>
      <c r="F2020" s="31">
        <v>7802</v>
      </c>
      <c r="G2020" s="32">
        <v>1120</v>
      </c>
      <c r="H2020" s="32"/>
      <c r="I2020" s="32">
        <f t="shared" si="32"/>
        <v>1120</v>
      </c>
      <c r="J2020" s="18" t="s">
        <v>1123</v>
      </c>
      <c r="K2020" s="33" t="s">
        <v>4768</v>
      </c>
      <c r="L2020" s="33" t="s">
        <v>4769</v>
      </c>
      <c r="M2020" s="33" t="s">
        <v>4770</v>
      </c>
      <c r="N2020" s="30">
        <v>46204</v>
      </c>
      <c r="O2020" s="33" t="s">
        <v>4771</v>
      </c>
      <c r="P2020" s="33" t="s">
        <v>4044</v>
      </c>
      <c r="Q2020" s="30" t="str" cm="1">
        <f t="array" ref="Q2020">_xlfn.IFS(
A2020="","",
AND(A2020&lt;&gt;"",B2020=""),"FALTA LANÇAMENTO",
AND(B2020&lt;&gt;"",M2020=""),"FALTA O PEDIDO",
AND(M2020&lt;&gt;"",O2020=""),"FALTA NF",
O2020&lt;&gt;"","CONCLUÍDO")</f>
        <v>CONCLUÍDO</v>
      </c>
      <c r="R2020" s="33"/>
    </row>
    <row r="2021" spans="1:18" hidden="1">
      <c r="A2021" s="30">
        <v>46195</v>
      </c>
      <c r="B2021" s="30">
        <v>46203</v>
      </c>
      <c r="C2021" s="31">
        <v>12060004</v>
      </c>
      <c r="D2021" s="30" t="str">
        <f>IFERROR(VLOOKUP(Tabela5[[#This Row],[PREFIXO ]],Tabela4[#All],2,0),"CENTRO DE CUSTO")</f>
        <v>ONIB RODOVIÁRIO MARCOPOLO NEOBUS MEGA</v>
      </c>
      <c r="E2021" s="33" t="s">
        <v>29</v>
      </c>
      <c r="F2021" s="31">
        <v>55973</v>
      </c>
      <c r="G2021" s="32">
        <v>9079</v>
      </c>
      <c r="H2021" s="32">
        <v>19937.490000000002</v>
      </c>
      <c r="I2021" s="32">
        <f t="shared" si="32"/>
        <v>29016.49</v>
      </c>
      <c r="J2021" s="18" t="s">
        <v>1199</v>
      </c>
      <c r="K2021" s="33" t="s">
        <v>4772</v>
      </c>
      <c r="L2021" s="33" t="s">
        <v>4773</v>
      </c>
      <c r="M2021" s="33" t="s">
        <v>4774</v>
      </c>
      <c r="N2021" s="30">
        <v>46205</v>
      </c>
      <c r="O2021" s="33" t="s">
        <v>4775</v>
      </c>
      <c r="P2021" s="33" t="s">
        <v>4140</v>
      </c>
      <c r="Q2021" s="30" t="str" cm="1">
        <f t="array" ref="Q2021">_xlfn.IFS(
A2021="","",
AND(A2021&lt;&gt;"",B2021=""),"FALTA LANÇAMENTO",
AND(B2021&lt;&gt;"",M2021=""),"FALTA O PEDIDO",
AND(M2021&lt;&gt;"",O2021=""),"FALTA NF",
O2021&lt;&gt;"","CONCLUÍDO")</f>
        <v>CONCLUÍDO</v>
      </c>
      <c r="R2021" s="33"/>
    </row>
    <row r="2022" spans="1:18" hidden="1">
      <c r="A2022" s="30">
        <v>46195</v>
      </c>
      <c r="B2022" s="30">
        <v>46203</v>
      </c>
      <c r="C2022" s="31">
        <v>85014031</v>
      </c>
      <c r="D2022" s="30" t="str">
        <f>IFERROR(VLOOKUP(Tabela5[[#This Row],[PREFIXO ]],Tabela4[#All],2,0),"CENTRO DE CUSTO")</f>
        <v>CENTRO DE CUSTO</v>
      </c>
      <c r="E2022" s="33" t="s">
        <v>29</v>
      </c>
      <c r="F2022" s="31">
        <v>55791</v>
      </c>
      <c r="G2022" s="32">
        <v>46090</v>
      </c>
      <c r="H2022" s="32">
        <v>57631.4</v>
      </c>
      <c r="I2022" s="32">
        <f t="shared" si="32"/>
        <v>103721.4</v>
      </c>
      <c r="J2022" s="33" t="s">
        <v>1199</v>
      </c>
      <c r="K2022" s="33" t="s">
        <v>4776</v>
      </c>
      <c r="L2022" s="33" t="s">
        <v>4777</v>
      </c>
      <c r="M2022" s="33" t="s">
        <v>4778</v>
      </c>
      <c r="N2022" s="30">
        <v>46205</v>
      </c>
      <c r="O2022" s="33" t="s">
        <v>4779</v>
      </c>
      <c r="P2022" s="33" t="s">
        <v>4140</v>
      </c>
      <c r="Q2022" s="30" t="str" cm="1">
        <f t="array" ref="Q2022">_xlfn.IFS(
A2022="","",
AND(A2022&lt;&gt;"",B2022=""),"FALTA LANÇAMENTO",
AND(B2022&lt;&gt;"",M2022=""),"FALTA O PEDIDO",
AND(M2022&lt;&gt;"",O2022=""),"FALTA NF",
O2022&lt;&gt;"","CONCLUÍDO")</f>
        <v>CONCLUÍDO</v>
      </c>
      <c r="R2022" s="33"/>
    </row>
    <row r="2023" spans="1:18" hidden="1">
      <c r="A2023" s="30">
        <v>46195</v>
      </c>
      <c r="B2023" s="30">
        <v>46204</v>
      </c>
      <c r="C2023" s="31">
        <v>81521293</v>
      </c>
      <c r="D2023" s="30" t="str">
        <f>IFERROR(VLOOKUP(Tabela5[[#This Row],[PREFIXO ]],Tabela4[#All],2,0),"CENTRO DE CUSTO")</f>
        <v>SUBSOLADOR GTS TERRUS COTTON 19H</v>
      </c>
      <c r="E2023" s="33" t="s">
        <v>96</v>
      </c>
      <c r="F2023" s="31" t="s">
        <v>4780</v>
      </c>
      <c r="G2023" s="32">
        <v>657</v>
      </c>
      <c r="H2023" s="32">
        <v>583.69000000000005</v>
      </c>
      <c r="I2023" s="32">
        <f t="shared" si="32"/>
        <v>1240.69</v>
      </c>
      <c r="J2023" s="33" t="s">
        <v>1199</v>
      </c>
      <c r="K2023" s="33" t="s">
        <v>4781</v>
      </c>
      <c r="L2023" s="33" t="s">
        <v>4782</v>
      </c>
      <c r="M2023" s="33" t="s">
        <v>4783</v>
      </c>
      <c r="N2023" s="30">
        <v>46205</v>
      </c>
      <c r="O2023" s="33" t="s">
        <v>4784</v>
      </c>
      <c r="P2023" s="33" t="s">
        <v>4044</v>
      </c>
      <c r="Q2023" s="30" t="str" cm="1">
        <f t="array" ref="Q2023">_xlfn.IFS(
A2023="","",
AND(A2023&lt;&gt;"",B2023=""),"FALTA LANÇAMENTO",
AND(B2023&lt;&gt;"",M2023=""),"FALTA O PEDIDO",
AND(M2023&lt;&gt;"",O2023=""),"FALTA NF",
O2023&lt;&gt;"","CONCLUÍDO")</f>
        <v>CONCLUÍDO</v>
      </c>
      <c r="R2023" s="33"/>
    </row>
    <row r="2024" spans="1:18" hidden="1">
      <c r="A2024" s="30">
        <v>46195</v>
      </c>
      <c r="B2024" s="30">
        <v>46204</v>
      </c>
      <c r="C2024" s="31">
        <v>8173078</v>
      </c>
      <c r="D2024" s="30" t="str">
        <f>IFERROR(VLOOKUP(Tabela5[[#This Row],[PREFIXO ]],Tabela4[#All],2,0),"CENTRO DE CUSTO")</f>
        <v>GRADE NIVELADORA CIVEMASA 28X22''</v>
      </c>
      <c r="E2024" s="33" t="s">
        <v>96</v>
      </c>
      <c r="F2024" s="31" t="s">
        <v>4785</v>
      </c>
      <c r="G2024" s="32">
        <v>585</v>
      </c>
      <c r="H2024" s="32">
        <v>252.77</v>
      </c>
      <c r="I2024" s="32">
        <f t="shared" si="32"/>
        <v>837.77</v>
      </c>
      <c r="J2024" s="33" t="s">
        <v>1199</v>
      </c>
      <c r="K2024" s="33" t="s">
        <v>4786</v>
      </c>
      <c r="L2024" s="33" t="s">
        <v>4787</v>
      </c>
      <c r="M2024" s="33" t="s">
        <v>4788</v>
      </c>
      <c r="N2024" s="30">
        <v>46204</v>
      </c>
      <c r="O2024" s="33"/>
      <c r="P2024" s="33"/>
      <c r="Q2024" s="30" t="str" cm="1">
        <f t="array" ref="Q2024">_xlfn.IFS(
A2024="","",
AND(A2024&lt;&gt;"",B2024=""),"FALTA LANÇAMENTO",
AND(B2024&lt;&gt;"",M2024=""),"FALTA O PEDIDO",
AND(M2024&lt;&gt;"",O2024=""),"FALTA NF",
O2024&lt;&gt;"","CONCLUÍDO")</f>
        <v>FALTA NF</v>
      </c>
      <c r="R2024" s="33"/>
    </row>
    <row r="2025" spans="1:18" hidden="1">
      <c r="A2025" s="30">
        <v>46195</v>
      </c>
      <c r="B2025" s="30">
        <v>46204</v>
      </c>
      <c r="C2025" s="31">
        <v>1173019</v>
      </c>
      <c r="D2025" s="30" t="str">
        <f>IFERROR(VLOOKUP(Tabela5[[#This Row],[PREFIXO ]],Tabela4[#All],2,0),"CENTRO DE CUSTO")</f>
        <v>TRAT PN MED N.HOLLAND 7630</v>
      </c>
      <c r="E2025" s="33" t="s">
        <v>373</v>
      </c>
      <c r="F2025" s="31">
        <v>447</v>
      </c>
      <c r="G2025" s="32">
        <v>1080</v>
      </c>
      <c r="H2025" s="32">
        <v>6262.73</v>
      </c>
      <c r="I2025" s="32">
        <f t="shared" si="32"/>
        <v>7342.73</v>
      </c>
      <c r="J2025" s="33" t="s">
        <v>1199</v>
      </c>
      <c r="K2025" s="33" t="s">
        <v>4789</v>
      </c>
      <c r="L2025" s="33" t="s">
        <v>4790</v>
      </c>
      <c r="M2025" s="33" t="s">
        <v>4791</v>
      </c>
      <c r="N2025" s="30">
        <v>46205</v>
      </c>
      <c r="O2025" s="33" t="s">
        <v>4792</v>
      </c>
      <c r="P2025" s="33" t="s">
        <v>4044</v>
      </c>
      <c r="Q2025" s="30" t="str" cm="1">
        <f t="array" ref="Q2025">_xlfn.IFS(
A2025="","",
AND(A2025&lt;&gt;"",B2025=""),"FALTA LANÇAMENTO",
AND(B2025&lt;&gt;"",M2025=""),"FALTA O PEDIDO",
AND(M2025&lt;&gt;"",O2025=""),"FALTA NF",
O2025&lt;&gt;"","CONCLUÍDO")</f>
        <v>CONCLUÍDO</v>
      </c>
      <c r="R2025" s="33"/>
    </row>
    <row r="2026" spans="1:18" hidden="1">
      <c r="A2026" s="30">
        <v>46195</v>
      </c>
      <c r="B2026" s="30">
        <v>46204</v>
      </c>
      <c r="C2026" s="31">
        <v>31521032</v>
      </c>
      <c r="D2026" s="30" t="str">
        <f>IFERROR(VLOOKUP(Tabela5[[#This Row],[PREFIXO ]],Tabela4[#All],2,0),"CENTRO DE CUSTO")</f>
        <v>ADUB AUTOPROP KUHN ACCURA ST 7000</v>
      </c>
      <c r="E2026" s="33" t="s">
        <v>247</v>
      </c>
      <c r="F2026" s="31">
        <v>85251</v>
      </c>
      <c r="G2026" s="32">
        <v>1377.5</v>
      </c>
      <c r="H2026" s="32">
        <v>3988.57</v>
      </c>
      <c r="I2026" s="32">
        <f t="shared" si="32"/>
        <v>5366.07</v>
      </c>
      <c r="J2026" s="33" t="s">
        <v>1080</v>
      </c>
      <c r="K2026" s="33" t="s">
        <v>4793</v>
      </c>
      <c r="L2026" s="33" t="s">
        <v>4794</v>
      </c>
      <c r="M2026" s="33" t="s">
        <v>4795</v>
      </c>
      <c r="N2026" s="30">
        <v>46205</v>
      </c>
      <c r="O2026" s="33" t="s">
        <v>4796</v>
      </c>
      <c r="P2026" s="33" t="s">
        <v>3725</v>
      </c>
      <c r="Q2026" s="30" t="str" cm="1">
        <f t="array" ref="Q2026">_xlfn.IFS(
A2026="","",
AND(A2026&lt;&gt;"",B2026=""),"FALTA LANÇAMENTO",
AND(B2026&lt;&gt;"",M2026=""),"FALTA O PEDIDO",
AND(M2026&lt;&gt;"",O2026=""),"FALTA NF",
O2026&lt;&gt;"","CONCLUÍDO")</f>
        <v>CONCLUÍDO</v>
      </c>
      <c r="R2026" s="33"/>
    </row>
    <row r="2027" spans="1:18" hidden="1">
      <c r="A2027" s="30">
        <v>46196</v>
      </c>
      <c r="B2027" s="30">
        <v>46196</v>
      </c>
      <c r="C2027" s="31">
        <v>12070012</v>
      </c>
      <c r="D2027" s="30" t="str">
        <f>IFERROR(VLOOKUP(Tabela5[[#This Row],[PREFIXO ]],Tabela4[#All],2,0),"CENTRO DE CUSTO")</f>
        <v>CENTRO DE CUSTO</v>
      </c>
      <c r="E2027" s="33" t="s">
        <v>90</v>
      </c>
      <c r="F2027" s="31">
        <v>7552</v>
      </c>
      <c r="G2027" s="32">
        <v>420</v>
      </c>
      <c r="H2027" s="32"/>
      <c r="I2027" s="32">
        <f t="shared" si="32"/>
        <v>420</v>
      </c>
      <c r="J2027" s="33" t="s">
        <v>1085</v>
      </c>
      <c r="K2027" s="33" t="s">
        <v>4797</v>
      </c>
      <c r="L2027" s="33" t="s">
        <v>4798</v>
      </c>
      <c r="M2027" s="33" t="s">
        <v>4799</v>
      </c>
      <c r="N2027" s="30">
        <v>46165</v>
      </c>
      <c r="O2027" s="33" t="s">
        <v>4800</v>
      </c>
      <c r="P2027" s="33" t="s">
        <v>4056</v>
      </c>
      <c r="Q2027" s="30" t="str" cm="1">
        <f t="array" ref="Q2027">_xlfn.IFS(
A2027="","",
AND(A2027&lt;&gt;"",B2027=""),"FALTA LANÇAMENTO",
AND(B2027&lt;&gt;"",M2027=""),"FALTA O PEDIDO",
AND(M2027&lt;&gt;"",O2027=""),"FALTA NF",
O2027&lt;&gt;"","CONCLUÍDO")</f>
        <v>CONCLUÍDO</v>
      </c>
      <c r="R2027" s="33"/>
    </row>
    <row r="2028" spans="1:18" hidden="1">
      <c r="A2028" s="30">
        <v>46196</v>
      </c>
      <c r="B2028" s="30">
        <v>46204</v>
      </c>
      <c r="C2028" s="31">
        <v>61521081</v>
      </c>
      <c r="D2028" s="30" t="str">
        <f>IFERROR(VLOOKUP(Tabela5[[#This Row],[PREFIXO ]],Tabela4[#All],2,0),"CENTRO DE CUSTO")</f>
        <v>CAV MEC EXT PES VOLVO FH 540</v>
      </c>
      <c r="E2028" s="33" t="s">
        <v>24</v>
      </c>
      <c r="F2028" s="31">
        <v>7711</v>
      </c>
      <c r="G2028" s="32">
        <v>1170.4000000000001</v>
      </c>
      <c r="H2028" s="32"/>
      <c r="I2028" s="32">
        <f t="shared" si="32"/>
        <v>1170.4000000000001</v>
      </c>
      <c r="J2028" s="33" t="s">
        <v>1199</v>
      </c>
      <c r="K2028" s="33" t="s">
        <v>4801</v>
      </c>
      <c r="L2028" s="33" t="s">
        <v>4802</v>
      </c>
      <c r="M2028" s="33" t="s">
        <v>4803</v>
      </c>
      <c r="N2028" s="30">
        <v>46205</v>
      </c>
      <c r="O2028" s="33"/>
      <c r="P2028" s="33"/>
      <c r="Q2028" s="30" t="str" cm="1">
        <f t="array" ref="Q2028">_xlfn.IFS(
A2028="","",
AND(A2028&lt;&gt;"",B2028=""),"FALTA LANÇAMENTO",
AND(B2028&lt;&gt;"",M2028=""),"FALTA O PEDIDO",
AND(M2028&lt;&gt;"",O2028=""),"FALTA NF",
O2028&lt;&gt;"","CONCLUÍDO")</f>
        <v>FALTA NF</v>
      </c>
      <c r="R2028" s="33"/>
    </row>
    <row r="2029" spans="1:18" hidden="1">
      <c r="A2029" s="30">
        <v>46197</v>
      </c>
      <c r="B2029" s="30">
        <v>46200</v>
      </c>
      <c r="C2029" s="31">
        <v>500580579</v>
      </c>
      <c r="D2029" s="30" t="str">
        <f>IFERROR(VLOOKUP(Tabela5[[#This Row],[PREFIXO ]],Tabela4[#All],2,0),"CENTRO DE CUSTO")</f>
        <v>Pátio de Vendas</v>
      </c>
      <c r="E2029" s="33" t="s">
        <v>224</v>
      </c>
      <c r="F2029" s="31">
        <v>3029</v>
      </c>
      <c r="G2029" s="32">
        <v>1830</v>
      </c>
      <c r="H2029" s="32"/>
      <c r="I2029" s="32">
        <f t="shared" si="32"/>
        <v>1830</v>
      </c>
      <c r="J2029" s="33" t="s">
        <v>1123</v>
      </c>
      <c r="K2029" s="33" t="s">
        <v>1095</v>
      </c>
      <c r="L2029" s="33" t="s">
        <v>4804</v>
      </c>
      <c r="M2029" s="33" t="s">
        <v>4805</v>
      </c>
      <c r="N2029" s="30">
        <v>46204</v>
      </c>
      <c r="O2029" s="33"/>
      <c r="P2029" s="33"/>
      <c r="Q2029" s="30" t="str" cm="1">
        <f t="array" ref="Q2029">_xlfn.IFS(
A2029="","",
AND(A2029&lt;&gt;"",B2029=""),"FALTA LANÇAMENTO",
AND(B2029&lt;&gt;"",M2029=""),"FALTA O PEDIDO",
AND(M2029&lt;&gt;"",O2029=""),"FALTA NF",
O2029&lt;&gt;"","CONCLUÍDO")</f>
        <v>FALTA NF</v>
      </c>
      <c r="R2029" s="33"/>
    </row>
    <row r="2030" spans="1:18" hidden="1">
      <c r="A2030" s="30">
        <v>46197</v>
      </c>
      <c r="B2030" s="30">
        <v>46202</v>
      </c>
      <c r="C2030" s="31">
        <v>61521081</v>
      </c>
      <c r="D2030" s="30" t="str">
        <f>IFERROR(VLOOKUP(Tabela5[[#This Row],[PREFIXO ]],Tabela4[#All],2,0),"CENTRO DE CUSTO")</f>
        <v>CAV MEC EXT PES VOLVO FH 540</v>
      </c>
      <c r="E2030" s="33" t="s">
        <v>24</v>
      </c>
      <c r="F2030" s="31">
        <v>17593</v>
      </c>
      <c r="G2030" s="32">
        <v>356.4</v>
      </c>
      <c r="H2030" s="32">
        <v>0</v>
      </c>
      <c r="I2030" s="32">
        <f t="shared" si="32"/>
        <v>356.4</v>
      </c>
      <c r="J2030" s="33" t="s">
        <v>1085</v>
      </c>
      <c r="K2030" s="33" t="s">
        <v>4806</v>
      </c>
      <c r="L2030" s="33" t="s">
        <v>4807</v>
      </c>
      <c r="M2030" s="33" t="s">
        <v>4808</v>
      </c>
      <c r="N2030" s="30">
        <v>46204</v>
      </c>
      <c r="O2030" s="33" t="s">
        <v>4809</v>
      </c>
      <c r="P2030" s="33" t="s">
        <v>4044</v>
      </c>
      <c r="Q2030" s="30" t="str" cm="1">
        <f t="array" ref="Q2030">_xlfn.IFS(
A2030="","",
AND(A2030&lt;&gt;"",B2030=""),"FALTA LANÇAMENTO",
AND(B2030&lt;&gt;"",M2030=""),"FALTA O PEDIDO",
AND(M2030&lt;&gt;"",O2030=""),"FALTA NF",
O2030&lt;&gt;"","CONCLUÍDO")</f>
        <v>CONCLUÍDO</v>
      </c>
      <c r="R2030" s="33"/>
    </row>
    <row r="2031" spans="1:18" hidden="1">
      <c r="A2031" s="30">
        <v>46197</v>
      </c>
      <c r="B2031" s="30">
        <v>46203</v>
      </c>
      <c r="C2031" s="31">
        <v>61521061</v>
      </c>
      <c r="D2031" s="30" t="str">
        <f>IFERROR(VLOOKUP(Tabela5[[#This Row],[PREFIXO ]],Tabela4[#All],2,0),"CENTRO DE CUSTO")</f>
        <v>ONIB RODOVIÁRIO MERC BENZ MARCOPOLO TORI</v>
      </c>
      <c r="E2031" s="33" t="s">
        <v>121</v>
      </c>
      <c r="F2031" s="31">
        <v>94</v>
      </c>
      <c r="G2031" s="32">
        <v>200</v>
      </c>
      <c r="H2031" s="32">
        <v>280.74</v>
      </c>
      <c r="I2031" s="32">
        <f t="shared" si="32"/>
        <v>480.74</v>
      </c>
      <c r="J2031" s="33" t="s">
        <v>1199</v>
      </c>
      <c r="K2031" s="33" t="s">
        <v>4810</v>
      </c>
      <c r="L2031" s="33" t="s">
        <v>4811</v>
      </c>
      <c r="M2031" s="33" t="s">
        <v>4812</v>
      </c>
      <c r="N2031" s="30">
        <v>46205</v>
      </c>
      <c r="O2031" s="33" t="s">
        <v>4792</v>
      </c>
      <c r="P2031" s="33" t="s">
        <v>4140</v>
      </c>
      <c r="Q2031" s="30" t="str" cm="1">
        <f t="array" ref="Q2031">_xlfn.IFS(
A2031="","",
AND(A2031&lt;&gt;"",B2031=""),"FALTA LANÇAMENTO",
AND(B2031&lt;&gt;"",M2031=""),"FALTA O PEDIDO",
AND(M2031&lt;&gt;"",O2031=""),"FALTA NF",
O2031&lt;&gt;"","CONCLUÍDO")</f>
        <v>CONCLUÍDO</v>
      </c>
      <c r="R2031" s="33"/>
    </row>
    <row r="2032" spans="1:18" hidden="1">
      <c r="A2032" s="30">
        <v>46197</v>
      </c>
      <c r="B2032" s="30">
        <v>46203</v>
      </c>
      <c r="C2032" s="31">
        <v>11040020</v>
      </c>
      <c r="D2032" s="30" t="str">
        <f>IFERROR(VLOOKUP(Tabela5[[#This Row],[PREFIXO ]],Tabela4[#All],2,0),"CENTRO DE CUSTO")</f>
        <v>CAV MEC EXT PES SCANIA R500</v>
      </c>
      <c r="E2032" s="33" t="s">
        <v>121</v>
      </c>
      <c r="F2032" s="31">
        <v>93</v>
      </c>
      <c r="G2032" s="32">
        <v>510</v>
      </c>
      <c r="H2032" s="32">
        <v>1483.05</v>
      </c>
      <c r="I2032" s="32">
        <f t="shared" si="32"/>
        <v>1993.05</v>
      </c>
      <c r="J2032" s="33" t="s">
        <v>1199</v>
      </c>
      <c r="K2032" s="33" t="s">
        <v>4813</v>
      </c>
      <c r="L2032" s="33" t="s">
        <v>4814</v>
      </c>
      <c r="M2032" s="33" t="s">
        <v>4815</v>
      </c>
      <c r="N2032" s="30">
        <v>46205</v>
      </c>
      <c r="O2032" s="33" t="s">
        <v>4816</v>
      </c>
      <c r="P2032" s="33" t="s">
        <v>4140</v>
      </c>
      <c r="Q2032" s="30" t="str" cm="1">
        <f t="array" ref="Q2032">_xlfn.IFS(
A2032="","",
AND(A2032&lt;&gt;"",B2032=""),"FALTA LANÇAMENTO",
AND(B2032&lt;&gt;"",M2032=""),"FALTA O PEDIDO",
AND(M2032&lt;&gt;"",O2032=""),"FALTA NF",
O2032&lt;&gt;"","CONCLUÍDO")</f>
        <v>CONCLUÍDO</v>
      </c>
      <c r="R2032" s="33"/>
    </row>
    <row r="2033" spans="1:18" hidden="1">
      <c r="A2033" s="30">
        <v>46197</v>
      </c>
      <c r="B2033" s="30">
        <v>46203</v>
      </c>
      <c r="C2033" s="31">
        <v>23120016</v>
      </c>
      <c r="D2033" s="30" t="str">
        <f>IFERROR(VLOOKUP(Tabela5[[#This Row],[PREFIXO ]],Tabela4[#All],2,0),"CENTRO DE CUSTO")</f>
        <v>EMPILHA COMBUST TOYOTA 8FGU30</v>
      </c>
      <c r="E2033" s="33" t="s">
        <v>96</v>
      </c>
      <c r="F2033" s="31">
        <v>4300</v>
      </c>
      <c r="G2033" s="32">
        <v>958.5</v>
      </c>
      <c r="H2033" s="32">
        <v>873.29</v>
      </c>
      <c r="I2033" s="32">
        <f t="shared" si="32"/>
        <v>1831.79</v>
      </c>
      <c r="J2033" s="33" t="s">
        <v>1085</v>
      </c>
      <c r="K2033" s="33" t="s">
        <v>4817</v>
      </c>
      <c r="L2033" s="33" t="s">
        <v>4818</v>
      </c>
      <c r="M2033" s="33" t="s">
        <v>4819</v>
      </c>
      <c r="N2033" s="30">
        <v>46204</v>
      </c>
      <c r="O2033" s="33" t="s">
        <v>4820</v>
      </c>
      <c r="P2033" s="33" t="s">
        <v>4044</v>
      </c>
      <c r="Q2033" s="30" t="str" cm="1">
        <f t="array" ref="Q2033">_xlfn.IFS(
A2033="","",
AND(A2033&lt;&gt;"",B2033=""),"FALTA LANÇAMENTO",
AND(B2033&lt;&gt;"",M2033=""),"FALTA O PEDIDO",
AND(M2033&lt;&gt;"",O2033=""),"FALTA NF",
O2033&lt;&gt;"","CONCLUÍDO")</f>
        <v>CONCLUÍDO</v>
      </c>
      <c r="R2033" s="33"/>
    </row>
    <row r="2034" spans="1:18" hidden="1">
      <c r="A2034" s="30">
        <v>46197</v>
      </c>
      <c r="B2034" s="30">
        <v>46203</v>
      </c>
      <c r="C2034" s="31">
        <v>35014011</v>
      </c>
      <c r="D2034" s="30" t="str">
        <f>IFERROR(VLOOKUP(Tabela5[[#This Row],[PREFIXO ]],Tabela4[#All],2,0),"CENTRO DE CUSTO")</f>
        <v>CENTRO DE CUSTO</v>
      </c>
      <c r="E2034" s="33" t="s">
        <v>29</v>
      </c>
      <c r="F2034" s="31">
        <v>55886</v>
      </c>
      <c r="G2034" s="32">
        <v>11369</v>
      </c>
      <c r="H2034" s="32">
        <v>1579.39</v>
      </c>
      <c r="I2034" s="32">
        <f t="shared" si="32"/>
        <v>12948.39</v>
      </c>
      <c r="J2034" s="33" t="s">
        <v>1199</v>
      </c>
      <c r="K2034" s="33" t="s">
        <v>4821</v>
      </c>
      <c r="L2034" s="33" t="s">
        <v>4822</v>
      </c>
      <c r="M2034" s="33" t="s">
        <v>4823</v>
      </c>
      <c r="N2034" s="30">
        <v>46205</v>
      </c>
      <c r="O2034" s="33" t="s">
        <v>4824</v>
      </c>
      <c r="P2034" s="33" t="s">
        <v>4140</v>
      </c>
      <c r="Q2034" s="30" t="str" cm="1">
        <f t="array" ref="Q2034">_xlfn.IFS(
A2034="","",
AND(A2034&lt;&gt;"",B2034=""),"FALTA LANÇAMENTO",
AND(B2034&lt;&gt;"",M2034=""),"FALTA O PEDIDO",
AND(M2034&lt;&gt;"",O2034=""),"FALTA NF",
O2034&lt;&gt;"","CONCLUÍDO")</f>
        <v>CONCLUÍDO</v>
      </c>
      <c r="R2034" s="33"/>
    </row>
    <row r="2035" spans="1:18" hidden="1">
      <c r="A2035" s="30">
        <v>46197</v>
      </c>
      <c r="B2035" s="30">
        <v>46203</v>
      </c>
      <c r="C2035" s="31">
        <v>11040004</v>
      </c>
      <c r="D2035" s="30" t="str">
        <f>IFERROR(VLOOKUP(Tabela5[[#This Row],[PREFIXO ]],Tabela4[#All],2,0),"CENTRO DE CUSTO")</f>
        <v>CAV MEC EXT PES SCANIA R500</v>
      </c>
      <c r="E2035" s="33" t="s">
        <v>29</v>
      </c>
      <c r="F2035" s="31">
        <v>55870</v>
      </c>
      <c r="G2035" s="32">
        <v>5674</v>
      </c>
      <c r="H2035" s="32">
        <v>16129.93</v>
      </c>
      <c r="I2035" s="32">
        <f t="shared" si="32"/>
        <v>21803.93</v>
      </c>
      <c r="J2035" s="33" t="s">
        <v>1199</v>
      </c>
      <c r="K2035" s="33" t="s">
        <v>4825</v>
      </c>
      <c r="L2035" s="33" t="s">
        <v>4826</v>
      </c>
      <c r="M2035" s="33" t="s">
        <v>4827</v>
      </c>
      <c r="N2035" s="39">
        <v>46205</v>
      </c>
      <c r="O2035" s="33" t="s">
        <v>4828</v>
      </c>
      <c r="P2035" s="33" t="s">
        <v>4140</v>
      </c>
      <c r="Q2035" s="30" t="str" cm="1">
        <f t="array" ref="Q2035">_xlfn.IFS(
A2035="","",
AND(A2035&lt;&gt;"",B2035=""),"FALTA LANÇAMENTO",
AND(B2035&lt;&gt;"",M2035=""),"FALTA O PEDIDO",
AND(M2035&lt;&gt;"",O2035=""),"FALTA NF",
O2035&lt;&gt;"","CONCLUÍDO")</f>
        <v>CONCLUÍDO</v>
      </c>
      <c r="R2035" s="33"/>
    </row>
    <row r="2036" spans="1:18" hidden="1">
      <c r="A2036" s="30">
        <v>46197</v>
      </c>
      <c r="B2036" s="30">
        <v>46203</v>
      </c>
      <c r="C2036" s="31">
        <v>31521013</v>
      </c>
      <c r="D2036" s="30" t="str">
        <f>IFERROR(VLOOKUP(Tabela5[[#This Row],[PREFIXO ]],Tabela4[#All],2,0),"CENTRO DE CUSTO")</f>
        <v>PULV AUTOPROP JACTO UNIPORT 3030</v>
      </c>
      <c r="E2036" s="33" t="s">
        <v>34</v>
      </c>
      <c r="F2036" s="31">
        <v>41482</v>
      </c>
      <c r="G2036" s="32">
        <v>750</v>
      </c>
      <c r="H2036" s="32">
        <v>3330</v>
      </c>
      <c r="I2036" s="32">
        <f t="shared" si="32"/>
        <v>4080</v>
      </c>
      <c r="J2036" s="33" t="s">
        <v>1080</v>
      </c>
      <c r="K2036" s="33" t="s">
        <v>4829</v>
      </c>
      <c r="L2036" s="33" t="s">
        <v>4830</v>
      </c>
      <c r="M2036" s="33" t="s">
        <v>4831</v>
      </c>
      <c r="N2036" s="30">
        <v>46205</v>
      </c>
      <c r="O2036" s="33"/>
      <c r="P2036" s="33"/>
      <c r="Q2036" s="30" t="str" cm="1">
        <f t="array" ref="Q2036">_xlfn.IFS(
A2036="","",
AND(A2036&lt;&gt;"",B2036=""),"FALTA LANÇAMENTO",
AND(B2036&lt;&gt;"",M2036=""),"FALTA O PEDIDO",
AND(M2036&lt;&gt;"",O2036=""),"FALTA NF",
O2036&lt;&gt;"","CONCLUÍDO")</f>
        <v>FALTA NF</v>
      </c>
      <c r="R2036" s="33"/>
    </row>
    <row r="2037" spans="1:18" hidden="1">
      <c r="A2037" s="30">
        <v>46197</v>
      </c>
      <c r="B2037" s="30">
        <v>46203</v>
      </c>
      <c r="C2037" s="31">
        <v>31521014</v>
      </c>
      <c r="D2037" s="30" t="str">
        <f>IFERROR(VLOOKUP(Tabela5[[#This Row],[PREFIXO ]],Tabela4[#All],2,0),"CENTRO DE CUSTO")</f>
        <v>PULV AUTOPROP JACTO UNIPORT 3030</v>
      </c>
      <c r="E2037" s="33" t="s">
        <v>34</v>
      </c>
      <c r="F2037" s="31">
        <v>41483</v>
      </c>
      <c r="G2037" s="32">
        <v>940</v>
      </c>
      <c r="H2037" s="32">
        <v>3790</v>
      </c>
      <c r="I2037" s="32">
        <f t="shared" si="32"/>
        <v>4730</v>
      </c>
      <c r="J2037" s="33" t="s">
        <v>1080</v>
      </c>
      <c r="K2037" s="33" t="s">
        <v>4832</v>
      </c>
      <c r="L2037" s="33" t="s">
        <v>4833</v>
      </c>
      <c r="M2037" s="33" t="s">
        <v>4834</v>
      </c>
      <c r="N2037" s="30">
        <v>46205</v>
      </c>
      <c r="O2037" s="33"/>
      <c r="P2037" s="33"/>
      <c r="Q2037" s="30" t="str" cm="1">
        <f t="array" ref="Q2037">_xlfn.IFS(
A2037="","",
AND(A2037&lt;&gt;"",B2037=""),"FALTA LANÇAMENTO",
AND(B2037&lt;&gt;"",M2037=""),"FALTA O PEDIDO",
AND(M2037&lt;&gt;"",O2037=""),"FALTA NF",
O2037&lt;&gt;"","CONCLUÍDO")</f>
        <v>FALTA NF</v>
      </c>
      <c r="R2037" s="33"/>
    </row>
    <row r="2038" spans="1:18" hidden="1">
      <c r="A2038" s="30">
        <v>46197</v>
      </c>
      <c r="B2038" s="30">
        <v>46204</v>
      </c>
      <c r="C2038" s="31">
        <v>5173116</v>
      </c>
      <c r="D2038" s="30" t="str">
        <f>IFERROR(VLOOKUP(Tabela5[[#This Row],[PREFIXO ]],Tabela4[#All],2,0),"CENTRO DE CUSTO")</f>
        <v>COLHED ALGODÃO JOHN DEERE 7760</v>
      </c>
      <c r="E2038" s="33" t="s">
        <v>17</v>
      </c>
      <c r="F2038" s="31">
        <v>44452</v>
      </c>
      <c r="G2038" s="32">
        <v>2000</v>
      </c>
      <c r="H2038" s="32">
        <v>2397.8200000000002</v>
      </c>
      <c r="I2038" s="32">
        <f t="shared" si="32"/>
        <v>4397.82</v>
      </c>
      <c r="J2038" s="33" t="s">
        <v>1123</v>
      </c>
      <c r="K2038" s="33" t="s">
        <v>4835</v>
      </c>
      <c r="L2038" s="33" t="s">
        <v>4836</v>
      </c>
      <c r="M2038" s="33" t="s">
        <v>4837</v>
      </c>
      <c r="N2038" s="30">
        <v>46205</v>
      </c>
      <c r="O2038" s="33" t="s">
        <v>4838</v>
      </c>
      <c r="P2038" s="33" t="s">
        <v>4839</v>
      </c>
      <c r="Q2038" s="30" t="str" cm="1">
        <f t="array" ref="Q2038">_xlfn.IFS(
A2038="","",
AND(A2038&lt;&gt;"",B2038=""),"FALTA LANÇAMENTO",
AND(B2038&lt;&gt;"",M2038=""),"FALTA O PEDIDO",
AND(M2038&lt;&gt;"",O2038=""),"FALTA NF",
O2038&lt;&gt;"","CONCLUÍDO")</f>
        <v>CONCLUÍDO</v>
      </c>
      <c r="R2038" s="33"/>
    </row>
    <row r="2039" spans="1:18" hidden="1">
      <c r="A2039" s="30">
        <v>46197</v>
      </c>
      <c r="B2039" s="30">
        <v>46204</v>
      </c>
      <c r="C2039" s="31">
        <v>51521058</v>
      </c>
      <c r="D2039" s="30" t="str">
        <f>IFERROR(VLOOKUP(Tabela5[[#This Row],[PREFIXO ]],Tabela4[#All],2,0),"CENTRO DE CUSTO")</f>
        <v>COLHED ALGODÃO JOHN DEERE CP 690</v>
      </c>
      <c r="E2039" s="33" t="s">
        <v>17</v>
      </c>
      <c r="F2039" s="31">
        <v>44546</v>
      </c>
      <c r="G2039" s="32">
        <v>2528.7399999999998</v>
      </c>
      <c r="H2039" s="32">
        <v>1814.7</v>
      </c>
      <c r="I2039" s="32">
        <f t="shared" si="32"/>
        <v>4343.4399999999996</v>
      </c>
      <c r="J2039" s="33" t="s">
        <v>1123</v>
      </c>
      <c r="K2039" s="33" t="s">
        <v>4840</v>
      </c>
      <c r="L2039" s="33" t="s">
        <v>4841</v>
      </c>
      <c r="M2039" s="33" t="s">
        <v>4842</v>
      </c>
      <c r="N2039" s="41">
        <v>46205</v>
      </c>
      <c r="O2039" s="33" t="s">
        <v>4843</v>
      </c>
      <c r="P2039" s="33" t="s">
        <v>4839</v>
      </c>
      <c r="Q2039" s="30" t="str" cm="1">
        <f t="array" ref="Q2039">_xlfn.IFS(
A2039="","",
AND(A2039&lt;&gt;"",B2039=""),"FALTA LANÇAMENTO",
AND(B2039&lt;&gt;"",M2039=""),"FALTA O PEDIDO",
AND(M2039&lt;&gt;"",O2039=""),"FALTA NF",
O2039&lt;&gt;"","CONCLUÍDO")</f>
        <v>CONCLUÍDO</v>
      </c>
      <c r="R2039" s="33"/>
    </row>
    <row r="2040" spans="1:18" hidden="1">
      <c r="A2040" s="30">
        <v>46197</v>
      </c>
      <c r="B2040" s="30">
        <v>46204</v>
      </c>
      <c r="C2040" s="31">
        <v>5173115</v>
      </c>
      <c r="D2040" s="30" t="str">
        <f>IFERROR(VLOOKUP(Tabela5[[#This Row],[PREFIXO ]],Tabela4[#All],2,0),"CENTRO DE CUSTO")</f>
        <v>COLHED ALGODÃO JOHN DEERE 7760</v>
      </c>
      <c r="E2040" s="33" t="s">
        <v>17</v>
      </c>
      <c r="F2040" s="31" t="s">
        <v>4844</v>
      </c>
      <c r="G2040" s="32">
        <v>1566</v>
      </c>
      <c r="H2040" s="32">
        <v>3951.5</v>
      </c>
      <c r="I2040" s="32">
        <f t="shared" si="32"/>
        <v>5517.5</v>
      </c>
      <c r="J2040" s="18" t="s">
        <v>1123</v>
      </c>
      <c r="K2040" s="33" t="s">
        <v>4845</v>
      </c>
      <c r="L2040" s="33" t="s">
        <v>4846</v>
      </c>
      <c r="M2040" s="33" t="s">
        <v>4847</v>
      </c>
      <c r="N2040" s="41">
        <v>46205</v>
      </c>
      <c r="O2040" s="33" t="s">
        <v>4848</v>
      </c>
      <c r="P2040" s="33" t="s">
        <v>4140</v>
      </c>
      <c r="Q2040" s="30" t="str" cm="1">
        <f t="array" ref="Q2040">_xlfn.IFS(
A2040="","",
AND(A2040&lt;&gt;"",B2040=""),"FALTA LANÇAMENTO",
AND(B2040&lt;&gt;"",M2040=""),"FALTA O PEDIDO",
AND(M2040&lt;&gt;"",O2040=""),"FALTA NF",
O2040&lt;&gt;"","CONCLUÍDO")</f>
        <v>CONCLUÍDO</v>
      </c>
      <c r="R2040" s="33"/>
    </row>
    <row r="2041" spans="1:18" hidden="1">
      <c r="A2041" s="30">
        <v>46197</v>
      </c>
      <c r="B2041" s="30"/>
      <c r="C2041" s="31">
        <v>61521067</v>
      </c>
      <c r="D2041" s="30" t="str">
        <f>IFERROR(VLOOKUP(Tabela5[[#This Row],[PREFIXO ]],Tabela4[#All],2,0),"CENTRO DE CUSTO")</f>
        <v>CAM ROLL ON/OFF VOLVO VM 330</v>
      </c>
      <c r="E2041" s="33" t="s">
        <v>22</v>
      </c>
      <c r="F2041" s="31">
        <v>36657</v>
      </c>
      <c r="G2041" s="32">
        <v>90</v>
      </c>
      <c r="H2041" s="32">
        <v>272</v>
      </c>
      <c r="I2041" s="32">
        <f t="shared" si="32"/>
        <v>362</v>
      </c>
      <c r="J2041" s="18" t="s">
        <v>1085</v>
      </c>
      <c r="K2041" s="33"/>
      <c r="L2041" s="33"/>
      <c r="M2041" s="33"/>
      <c r="N2041" s="30"/>
      <c r="O2041" s="33"/>
      <c r="P2041" s="33"/>
      <c r="Q2041" s="30" t="str" cm="1">
        <f t="array" ref="Q2041">_xlfn.IFS(
A2041="","",
AND(A2041&lt;&gt;"",B2041=""),"FALTA LANÇAMENTO",
AND(B2041&lt;&gt;"",M2041=""),"FALTA O PEDIDO",
AND(M2041&lt;&gt;"",O2041=""),"FALTA NF",
O2041&lt;&gt;"","CONCLUÍDO")</f>
        <v>FALTA LANÇAMENTO</v>
      </c>
      <c r="R2041" s="33"/>
    </row>
    <row r="2042" spans="1:18" hidden="1">
      <c r="A2042" s="30">
        <v>46197</v>
      </c>
      <c r="B2042" s="30">
        <v>46212</v>
      </c>
      <c r="C2042" s="31">
        <v>500580325</v>
      </c>
      <c r="D2042" s="30" t="str">
        <f>IFERROR(VLOOKUP(Tabela5[[#This Row],[PREFIXO ]],Tabela4[#All],2,0),"CENTRO DE CUSTO")</f>
        <v>Colheitad. Alg Auto</v>
      </c>
      <c r="E2042" s="33" t="s">
        <v>308</v>
      </c>
      <c r="F2042" s="31" t="s">
        <v>2618</v>
      </c>
      <c r="G2042" s="32">
        <v>18143</v>
      </c>
      <c r="H2042" s="32"/>
      <c r="I2042" s="32">
        <f t="shared" si="32"/>
        <v>18143</v>
      </c>
      <c r="J2042" s="33" t="s">
        <v>1123</v>
      </c>
      <c r="K2042" s="33" t="s">
        <v>4849</v>
      </c>
      <c r="L2042" s="33" t="s">
        <v>4850</v>
      </c>
      <c r="M2042" s="33" t="s">
        <v>4851</v>
      </c>
      <c r="N2042" s="30">
        <v>46213</v>
      </c>
      <c r="O2042" s="33"/>
      <c r="P2042" s="33"/>
      <c r="Q2042" s="30" t="str" cm="1">
        <f t="array" ref="Q2042">_xlfn.IFS(
A2042="","",
AND(A2042&lt;&gt;"",B2042=""),"FALTA LANÇAMENTO",
AND(B2042&lt;&gt;"",M2042=""),"FALTA O PEDIDO",
AND(M2042&lt;&gt;"",O2042=""),"FALTA NF",
O2042&lt;&gt;"","CONCLUÍDO")</f>
        <v>FALTA NF</v>
      </c>
      <c r="R2042" s="33"/>
    </row>
    <row r="2043" spans="1:18" hidden="1">
      <c r="A2043" s="30">
        <v>46197</v>
      </c>
      <c r="B2043" s="30">
        <v>46205</v>
      </c>
      <c r="C2043" s="31">
        <v>51519059</v>
      </c>
      <c r="D2043" s="30" t="str">
        <f>IFERROR(VLOOKUP(Tabela5[[#This Row],[PREFIXO ]],Tabela4[#All],2,0),"CENTRO DE CUSTO")</f>
        <v>CENTRO DE CUSTO</v>
      </c>
      <c r="E2043" s="33" t="s">
        <v>17</v>
      </c>
      <c r="F2043" s="31">
        <v>44381</v>
      </c>
      <c r="G2043" s="32">
        <v>2729.63</v>
      </c>
      <c r="H2043" s="32"/>
      <c r="I2043" s="32">
        <f t="shared" si="32"/>
        <v>2729.63</v>
      </c>
      <c r="J2043" s="33" t="s">
        <v>1123</v>
      </c>
      <c r="K2043" s="33" t="s">
        <v>4852</v>
      </c>
      <c r="L2043" s="33" t="s">
        <v>4853</v>
      </c>
      <c r="M2043" s="33" t="s">
        <v>4854</v>
      </c>
      <c r="N2043" s="30">
        <v>46206</v>
      </c>
      <c r="O2043" s="33"/>
      <c r="P2043" s="33"/>
      <c r="Q2043" s="30" t="str" cm="1">
        <f t="array" ref="Q2043">_xlfn.IFS(
A2043="","",
AND(A2043&lt;&gt;"",B2043=""),"FALTA LANÇAMENTO",
AND(B2043&lt;&gt;"",M2043=""),"FALTA O PEDIDO",
AND(M2043&lt;&gt;"",O2043=""),"FALTA NF",
O2043&lt;&gt;"","CONCLUÍDO")</f>
        <v>FALTA NF</v>
      </c>
      <c r="R2043" s="33"/>
    </row>
    <row r="2044" spans="1:18" hidden="1">
      <c r="A2044" s="30">
        <v>46197</v>
      </c>
      <c r="B2044" s="30">
        <v>46205</v>
      </c>
      <c r="C2044" s="31">
        <v>23180059</v>
      </c>
      <c r="D2044" s="30" t="str">
        <f>IFERROR(VLOOKUP(Tabela5[[#This Row],[PREFIXO ]],Tabela4[#All],2,0),"CENTRO DE CUSTO")</f>
        <v>COLHEIT DE GRÃOS JOHN DEERE S 780</v>
      </c>
      <c r="E2044" s="33" t="s">
        <v>17</v>
      </c>
      <c r="F2044" s="31">
        <v>43863</v>
      </c>
      <c r="G2044" s="32">
        <v>6485.97</v>
      </c>
      <c r="H2044" s="32"/>
      <c r="I2044" s="32">
        <f t="shared" ref="I2044:I2107" si="33">G2044+H2044</f>
        <v>6485.97</v>
      </c>
      <c r="J2044" s="33" t="s">
        <v>1123</v>
      </c>
      <c r="K2044" s="33" t="s">
        <v>4855</v>
      </c>
      <c r="L2044" s="33" t="s">
        <v>4856</v>
      </c>
      <c r="M2044" s="33" t="s">
        <v>4857</v>
      </c>
      <c r="N2044" s="30">
        <v>46206</v>
      </c>
      <c r="O2044" s="33" t="s">
        <v>4858</v>
      </c>
      <c r="P2044" s="33" t="s">
        <v>4605</v>
      </c>
      <c r="Q2044" s="30" t="str" cm="1">
        <f t="array" ref="Q2044">_xlfn.IFS(
A2044="","",
AND(A2044&lt;&gt;"",B2044=""),"FALTA LANÇAMENTO",
AND(B2044&lt;&gt;"",M2044=""),"FALTA O PEDIDO",
AND(M2044&lt;&gt;"",O2044=""),"FALTA NF",
O2044&lt;&gt;"","CONCLUÍDO")</f>
        <v>CONCLUÍDO</v>
      </c>
      <c r="R2044" s="33"/>
    </row>
    <row r="2045" spans="1:18" hidden="1">
      <c r="A2045" s="30">
        <v>46197</v>
      </c>
      <c r="B2045" s="30">
        <v>46205</v>
      </c>
      <c r="C2045" s="31">
        <v>61521083</v>
      </c>
      <c r="D2045" s="30" t="str">
        <f>IFERROR(VLOOKUP(Tabela5[[#This Row],[PREFIXO ]],Tabela4[#All],2,0),"CENTRO DE CUSTO")</f>
        <v>CAM COMBOIO VOLVO VM 330</v>
      </c>
      <c r="E2045" s="33" t="s">
        <v>249</v>
      </c>
      <c r="F2045" s="31">
        <v>253</v>
      </c>
      <c r="G2045" s="32">
        <v>3675</v>
      </c>
      <c r="H2045" s="32"/>
      <c r="I2045" s="32">
        <f t="shared" si="33"/>
        <v>3675</v>
      </c>
      <c r="J2045" s="33" t="s">
        <v>1199</v>
      </c>
      <c r="K2045" s="33" t="s">
        <v>4859</v>
      </c>
      <c r="L2045" s="33" t="s">
        <v>4860</v>
      </c>
      <c r="M2045" s="33" t="s">
        <v>4861</v>
      </c>
      <c r="N2045" s="30">
        <v>46205</v>
      </c>
      <c r="O2045" s="33" t="s">
        <v>4862</v>
      </c>
      <c r="P2045" s="33" t="s">
        <v>4140</v>
      </c>
      <c r="Q2045" s="30" t="str" cm="1">
        <f t="array" ref="Q2045">_xlfn.IFS(
A2045="","",
AND(A2045&lt;&gt;"",B2045=""),"FALTA LANÇAMENTO",
AND(B2045&lt;&gt;"",M2045=""),"FALTA O PEDIDO",
AND(M2045&lt;&gt;"",O2045=""),"FALTA NF",
O2045&lt;&gt;"","CONCLUÍDO")</f>
        <v>CONCLUÍDO</v>
      </c>
      <c r="R2045" s="33"/>
    </row>
    <row r="2046" spans="1:18" hidden="1">
      <c r="A2046" s="30">
        <v>46197</v>
      </c>
      <c r="B2046" s="30">
        <v>46205</v>
      </c>
      <c r="C2046" s="31" t="s">
        <v>4863</v>
      </c>
      <c r="D2046" s="30" t="str">
        <f>IFERROR(VLOOKUP(Tabela5[[#This Row],[PREFIXO ]],Tabela4[#All],2,0),"CENTRO DE CUSTO")</f>
        <v>CENTRO DE CUSTO</v>
      </c>
      <c r="E2046" s="33" t="s">
        <v>249</v>
      </c>
      <c r="F2046" s="31">
        <v>252</v>
      </c>
      <c r="G2046" s="32">
        <v>14700</v>
      </c>
      <c r="H2046" s="32"/>
      <c r="I2046" s="32">
        <f t="shared" si="33"/>
        <v>14700</v>
      </c>
      <c r="J2046" s="18" t="s">
        <v>1199</v>
      </c>
      <c r="K2046" s="33" t="s">
        <v>4864</v>
      </c>
      <c r="L2046" s="33" t="s">
        <v>4865</v>
      </c>
      <c r="M2046" s="33" t="s">
        <v>4866</v>
      </c>
      <c r="N2046" s="30">
        <v>46205</v>
      </c>
      <c r="O2046" s="33" t="s">
        <v>4867</v>
      </c>
      <c r="P2046" s="33" t="s">
        <v>4140</v>
      </c>
      <c r="Q2046" s="30" t="str" cm="1">
        <f t="array" ref="Q2046">_xlfn.IFS(
A2046="","",
AND(A2046&lt;&gt;"",B2046=""),"FALTA LANÇAMENTO",
AND(B2046&lt;&gt;"",M2046=""),"FALTA O PEDIDO",
AND(M2046&lt;&gt;"",O2046=""),"FALTA NF",
O2046&lt;&gt;"","CONCLUÍDO")</f>
        <v>CONCLUÍDO</v>
      </c>
      <c r="R2046" s="33"/>
    </row>
    <row r="2047" spans="1:18" hidden="1">
      <c r="A2047" s="30">
        <v>46197</v>
      </c>
      <c r="B2047" s="30">
        <v>46212</v>
      </c>
      <c r="C2047" s="31">
        <v>23220009</v>
      </c>
      <c r="D2047" s="30" t="str">
        <f>IFERROR(VLOOKUP(Tabela5[[#This Row],[PREFIXO ]],Tabela4[#All],2,0),"CENTRO DE CUSTO")</f>
        <v>CENTRO DE CUSTO</v>
      </c>
      <c r="E2047" s="33" t="s">
        <v>162</v>
      </c>
      <c r="F2047" s="31">
        <v>30160</v>
      </c>
      <c r="G2047" s="32">
        <v>4700</v>
      </c>
      <c r="H2047" s="32"/>
      <c r="I2047" s="32">
        <f t="shared" si="33"/>
        <v>4700</v>
      </c>
      <c r="J2047" s="18" t="s">
        <v>1123</v>
      </c>
      <c r="K2047" s="33" t="s">
        <v>4868</v>
      </c>
      <c r="L2047" s="33" t="s">
        <v>4869</v>
      </c>
      <c r="M2047" s="33" t="s">
        <v>4870</v>
      </c>
      <c r="N2047" s="30">
        <v>46213</v>
      </c>
      <c r="O2047" s="33"/>
      <c r="P2047" s="33"/>
      <c r="Q2047" s="30" t="str" cm="1">
        <f t="array" ref="Q2047">_xlfn.IFS(
A2047="","",
AND(A2047&lt;&gt;"",B2047=""),"FALTA LANÇAMENTO",
AND(B2047&lt;&gt;"",M2047=""),"FALTA O PEDIDO",
AND(M2047&lt;&gt;"",O2047=""),"FALTA NF",
O2047&lt;&gt;"","CONCLUÍDO")</f>
        <v>FALTA NF</v>
      </c>
      <c r="R2047" s="33"/>
    </row>
    <row r="2048" spans="1:18" hidden="1">
      <c r="A2048" s="30">
        <v>46198</v>
      </c>
      <c r="B2048" s="30">
        <v>46199</v>
      </c>
      <c r="C2048" s="31">
        <v>15110010</v>
      </c>
      <c r="D2048" s="30" t="str">
        <f>IFERROR(VLOOKUP(Tabela5[[#This Row],[PREFIXO ]],Tabela4[#All],2,0),"CENTRO DE CUSTO")</f>
        <v>DISTRIB CORRET STARA BRUTTUS 25000</v>
      </c>
      <c r="E2048" s="33" t="s">
        <v>81</v>
      </c>
      <c r="F2048" s="31">
        <v>15699</v>
      </c>
      <c r="G2048" s="32">
        <v>3800</v>
      </c>
      <c r="H2048" s="32">
        <v>2053.92</v>
      </c>
      <c r="I2048" s="32">
        <f t="shared" si="33"/>
        <v>5853.92</v>
      </c>
      <c r="J2048" s="18" t="s">
        <v>2901</v>
      </c>
      <c r="K2048" s="33" t="s">
        <v>4871</v>
      </c>
      <c r="L2048" s="33" t="s">
        <v>4872</v>
      </c>
      <c r="M2048" s="33" t="s">
        <v>4873</v>
      </c>
      <c r="N2048" s="30">
        <v>46205</v>
      </c>
      <c r="O2048" s="33" t="s">
        <v>4874</v>
      </c>
      <c r="P2048" s="33" t="s">
        <v>4140</v>
      </c>
      <c r="Q2048" s="30" t="str" cm="1">
        <f t="array" ref="Q2048">_xlfn.IFS(
A2048="","",
AND(A2048&lt;&gt;"",B2048=""),"FALTA LANÇAMENTO",
AND(B2048&lt;&gt;"",M2048=""),"FALTA O PEDIDO",
AND(M2048&lt;&gt;"",O2048=""),"FALTA NF",
O2048&lt;&gt;"","CONCLUÍDO")</f>
        <v>CONCLUÍDO</v>
      </c>
      <c r="R2048" s="33"/>
    </row>
    <row r="2049" spans="1:18" hidden="1">
      <c r="A2049" s="30">
        <v>46199</v>
      </c>
      <c r="B2049" s="30">
        <v>46205</v>
      </c>
      <c r="C2049" s="31">
        <v>31521032</v>
      </c>
      <c r="D2049" s="30" t="str">
        <f>IFERROR(VLOOKUP(Tabela5[[#This Row],[PREFIXO ]],Tabela4[#All],2,0),"CENTRO DE CUSTO")</f>
        <v>ADUB AUTOPROP KUHN ACCURA ST 7000</v>
      </c>
      <c r="E2049" s="33" t="s">
        <v>62</v>
      </c>
      <c r="F2049" s="31">
        <v>1457</v>
      </c>
      <c r="G2049" s="32">
        <v>1080</v>
      </c>
      <c r="H2049" s="32"/>
      <c r="I2049" s="32">
        <f t="shared" si="33"/>
        <v>1080</v>
      </c>
      <c r="J2049" s="18" t="s">
        <v>1080</v>
      </c>
      <c r="K2049" s="33" t="s">
        <v>4875</v>
      </c>
      <c r="L2049" s="33" t="s">
        <v>4876</v>
      </c>
      <c r="M2049" s="33" t="s">
        <v>4877</v>
      </c>
      <c r="N2049" s="30">
        <v>46206</v>
      </c>
      <c r="O2049" s="33" t="s">
        <v>2011</v>
      </c>
      <c r="P2049" s="33" t="s">
        <v>4605</v>
      </c>
      <c r="Q2049" s="30" t="str" cm="1">
        <f t="array" ref="Q2049">_xlfn.IFS(
A2049="","",
AND(A2049&lt;&gt;"",B2049=""),"FALTA LANÇAMENTO",
AND(B2049&lt;&gt;"",M2049=""),"FALTA O PEDIDO",
AND(M2049&lt;&gt;"",O2049=""),"FALTA NF",
O2049&lt;&gt;"","CONCLUÍDO")</f>
        <v>CONCLUÍDO</v>
      </c>
      <c r="R2049" s="33"/>
    </row>
    <row r="2050" spans="1:18" hidden="1">
      <c r="A2050" s="30">
        <v>46199</v>
      </c>
      <c r="B2050" s="30">
        <v>46205</v>
      </c>
      <c r="C2050" s="31">
        <v>31521013</v>
      </c>
      <c r="D2050" s="30" t="str">
        <f>IFERROR(VLOOKUP(Tabela5[[#This Row],[PREFIXO ]],Tabela4[#All],2,0),"CENTRO DE CUSTO")</f>
        <v>PULV AUTOPROP JACTO UNIPORT 3030</v>
      </c>
      <c r="E2050" s="33" t="s">
        <v>34</v>
      </c>
      <c r="F2050" s="31" t="s">
        <v>4878</v>
      </c>
      <c r="G2050" s="32">
        <v>750</v>
      </c>
      <c r="H2050" s="32">
        <v>3330</v>
      </c>
      <c r="I2050" s="32">
        <f t="shared" si="33"/>
        <v>4080</v>
      </c>
      <c r="J2050" s="18" t="s">
        <v>1080</v>
      </c>
      <c r="K2050" s="33" t="s">
        <v>4879</v>
      </c>
      <c r="L2050" s="33" t="s">
        <v>4880</v>
      </c>
      <c r="M2050" s="33" t="s">
        <v>4881</v>
      </c>
      <c r="N2050" s="30">
        <v>46206</v>
      </c>
      <c r="O2050" s="33"/>
      <c r="P2050" s="33"/>
      <c r="Q2050" s="30" t="str" cm="1">
        <f t="array" ref="Q2050">_xlfn.IFS(
A2050="","",
AND(A2050&lt;&gt;"",B2050=""),"FALTA LANÇAMENTO",
AND(B2050&lt;&gt;"",M2050=""),"FALTA O PEDIDO",
AND(M2050&lt;&gt;"",O2050=""),"FALTA NF",
O2050&lt;&gt;"","CONCLUÍDO")</f>
        <v>FALTA NF</v>
      </c>
      <c r="R2050" s="33"/>
    </row>
    <row r="2051" spans="1:18" hidden="1">
      <c r="A2051" s="30">
        <v>46199</v>
      </c>
      <c r="B2051" s="30">
        <v>46205</v>
      </c>
      <c r="C2051" s="31">
        <v>31521014</v>
      </c>
      <c r="D2051" s="30" t="str">
        <f>IFERROR(VLOOKUP(Tabela5[[#This Row],[PREFIXO ]],Tabela4[#All],2,0),"CENTRO DE CUSTO")</f>
        <v>PULV AUTOPROP JACTO UNIPORT 3030</v>
      </c>
      <c r="E2051" s="33" t="s">
        <v>34</v>
      </c>
      <c r="F2051" s="31" t="s">
        <v>4882</v>
      </c>
      <c r="G2051" s="32">
        <v>850</v>
      </c>
      <c r="H2051" s="32">
        <v>940</v>
      </c>
      <c r="I2051" s="32">
        <f t="shared" si="33"/>
        <v>1790</v>
      </c>
      <c r="J2051" s="33" t="s">
        <v>1080</v>
      </c>
      <c r="K2051" s="33" t="s">
        <v>4883</v>
      </c>
      <c r="L2051" s="33" t="s">
        <v>4884</v>
      </c>
      <c r="M2051" s="33" t="s">
        <v>4885</v>
      </c>
      <c r="N2051" s="30">
        <v>46206</v>
      </c>
      <c r="O2051" s="33"/>
      <c r="P2051" s="33"/>
      <c r="Q2051" s="30" t="str" cm="1">
        <f t="array" ref="Q2051">_xlfn.IFS(
A2051="","",
AND(A2051&lt;&gt;"",B2051=""),"FALTA LANÇAMENTO",
AND(B2051&lt;&gt;"",M2051=""),"FALTA O PEDIDO",
AND(M2051&lt;&gt;"",O2051=""),"FALTA NF",
O2051&lt;&gt;"","CONCLUÍDO")</f>
        <v>FALTA NF</v>
      </c>
      <c r="R2051" s="33"/>
    </row>
    <row r="2052" spans="1:18" hidden="1">
      <c r="A2052" s="30">
        <v>46199</v>
      </c>
      <c r="B2052" s="30">
        <v>46205</v>
      </c>
      <c r="C2052" s="31">
        <v>12010022</v>
      </c>
      <c r="D2052" s="30" t="str">
        <f>IFERROR(VLOOKUP(Tabela5[[#This Row],[PREFIXO ]],Tabela4[#All],2,0),"CENTRO DE CUSTO")</f>
        <v>CENTRO DE CUSTO</v>
      </c>
      <c r="E2052" s="33" t="s">
        <v>284</v>
      </c>
      <c r="F2052" s="31">
        <v>4882</v>
      </c>
      <c r="G2052" s="32">
        <v>876.57</v>
      </c>
      <c r="H2052" s="32">
        <v>1830.38</v>
      </c>
      <c r="I2052" s="32">
        <f t="shared" si="33"/>
        <v>2706.9500000000003</v>
      </c>
      <c r="J2052" s="33" t="s">
        <v>1085</v>
      </c>
      <c r="K2052" s="33" t="s">
        <v>4886</v>
      </c>
      <c r="L2052" s="33" t="s">
        <v>4887</v>
      </c>
      <c r="M2052" s="33" t="s">
        <v>4888</v>
      </c>
      <c r="N2052" s="39">
        <v>46206</v>
      </c>
      <c r="O2052" s="33"/>
      <c r="P2052" s="33"/>
      <c r="Q2052" s="30" t="str" cm="1">
        <f t="array" ref="Q2052">_xlfn.IFS(
A2052="","",
AND(A2052&lt;&gt;"",B2052=""),"FALTA LANÇAMENTO",
AND(B2052&lt;&gt;"",M2052=""),"FALTA O PEDIDO",
AND(M2052&lt;&gt;"",O2052=""),"FALTA NF",
O2052&lt;&gt;"","CONCLUÍDO")</f>
        <v>FALTA NF</v>
      </c>
      <c r="R2052" s="33"/>
    </row>
    <row r="2053" spans="1:18" hidden="1">
      <c r="A2053" s="30">
        <v>46199</v>
      </c>
      <c r="B2053" s="30">
        <v>46206</v>
      </c>
      <c r="C2053" s="31">
        <v>500580081</v>
      </c>
      <c r="D2053" s="30" t="str">
        <f>IFERROR(VLOOKUP(Tabela5[[#This Row],[PREFIXO ]],Tabela4[#All],2,0),"CENTRO DE CUSTO")</f>
        <v>Semi-Reboque Tanque</v>
      </c>
      <c r="E2053" s="33" t="s">
        <v>249</v>
      </c>
      <c r="F2053" s="31">
        <v>251</v>
      </c>
      <c r="G2053" s="32">
        <v>12250</v>
      </c>
      <c r="H2053" s="32"/>
      <c r="I2053" s="32">
        <f t="shared" si="33"/>
        <v>12250</v>
      </c>
      <c r="J2053" s="33" t="s">
        <v>1199</v>
      </c>
      <c r="K2053" s="33" t="s">
        <v>4889</v>
      </c>
      <c r="L2053" s="33" t="s">
        <v>4890</v>
      </c>
      <c r="M2053" s="33" t="s">
        <v>4891</v>
      </c>
      <c r="N2053" s="30">
        <v>46209</v>
      </c>
      <c r="O2053" s="33" t="s">
        <v>3706</v>
      </c>
      <c r="P2053" s="33" t="s">
        <v>4892</v>
      </c>
      <c r="Q2053" s="30" t="str" cm="1">
        <f t="array" ref="Q2053">_xlfn.IFS(
A2053="","",
AND(A2053&lt;&gt;"",B2053=""),"FALTA LANÇAMENTO",
AND(B2053&lt;&gt;"",M2053=""),"FALTA O PEDIDO",
AND(M2053&lt;&gt;"",O2053=""),"FALTA NF",
O2053&lt;&gt;"","CONCLUÍDO")</f>
        <v>CONCLUÍDO</v>
      </c>
      <c r="R2053" s="33"/>
    </row>
    <row r="2054" spans="1:18" hidden="1">
      <c r="A2054" s="30">
        <v>46199</v>
      </c>
      <c r="B2054" s="30">
        <v>46220</v>
      </c>
      <c r="C2054" s="31">
        <v>51521085</v>
      </c>
      <c r="D2054" s="30" t="str">
        <f>IFERROR(VLOOKUP(Tabela5[[#This Row],[PREFIXO ]],Tabela4[#All],2,0),"CENTRO DE CUSTO")</f>
        <v>COLHEIT DE GRÃOS N.HOLLAND CR 8.90</v>
      </c>
      <c r="E2054" s="33" t="s">
        <v>218</v>
      </c>
      <c r="F2054" s="31">
        <v>26730</v>
      </c>
      <c r="G2054" s="32">
        <v>1608</v>
      </c>
      <c r="H2054" s="32">
        <v>26064.76</v>
      </c>
      <c r="I2054" s="32">
        <f t="shared" si="33"/>
        <v>27672.76</v>
      </c>
      <c r="J2054" s="33" t="s">
        <v>1123</v>
      </c>
      <c r="K2054" s="33" t="s">
        <v>4893</v>
      </c>
      <c r="L2054" s="33" t="s">
        <v>4894</v>
      </c>
      <c r="M2054" s="33"/>
      <c r="N2054" s="30"/>
      <c r="O2054" s="33"/>
      <c r="P2054" s="33"/>
      <c r="Q2054" s="30" t="str" cm="1">
        <f t="array" ref="Q2054">_xlfn.IFS(
A2054="","",
AND(A2054&lt;&gt;"",B2054=""),"FALTA LANÇAMENTO",
AND(B2054&lt;&gt;"",M2054=""),"FALTA O PEDIDO",
AND(M2054&lt;&gt;"",O2054=""),"FALTA NF",
O2054&lt;&gt;"","CONCLUÍDO")</f>
        <v>FALTA O PEDIDO</v>
      </c>
      <c r="R2054" s="33"/>
    </row>
    <row r="2055" spans="1:18" hidden="1">
      <c r="A2055" s="30">
        <v>46199</v>
      </c>
      <c r="B2055" s="30">
        <v>46216</v>
      </c>
      <c r="C2055" s="31">
        <v>13150007</v>
      </c>
      <c r="D2055" s="30" t="str">
        <f>IFERROR(VLOOKUP(Tabela5[[#This Row],[PREFIXO ]],Tabela4[#All],2,0),"CENTRO DE CUSTO")</f>
        <v>CENTRO DE CUSTO</v>
      </c>
      <c r="E2055" s="33" t="s">
        <v>363</v>
      </c>
      <c r="F2055" s="31" t="s">
        <v>4895</v>
      </c>
      <c r="G2055" s="32">
        <v>21000</v>
      </c>
      <c r="H2055" s="32"/>
      <c r="I2055" s="32">
        <f t="shared" si="33"/>
        <v>21000</v>
      </c>
      <c r="J2055" s="33" t="s">
        <v>1080</v>
      </c>
      <c r="K2055" s="33" t="s">
        <v>4896</v>
      </c>
      <c r="L2055" s="33" t="s">
        <v>4897</v>
      </c>
      <c r="M2055" s="33"/>
      <c r="N2055" s="30"/>
      <c r="O2055" s="33"/>
      <c r="P2055" s="33"/>
      <c r="Q2055" s="30" t="str" cm="1">
        <f t="array" ref="Q2055">_xlfn.IFS(
A2055="","",
AND(A2055&lt;&gt;"",B2055=""),"FALTA LANÇAMENTO",
AND(B2055&lt;&gt;"",M2055=""),"FALTA O PEDIDO",
AND(M2055&lt;&gt;"",O2055=""),"FALTA NF",
O2055&lt;&gt;"","CONCLUÍDO")</f>
        <v>FALTA O PEDIDO</v>
      </c>
      <c r="R2055" s="33"/>
    </row>
    <row r="2056" spans="1:18" hidden="1">
      <c r="A2056" s="30">
        <v>46199</v>
      </c>
      <c r="B2056" s="30">
        <v>46220</v>
      </c>
      <c r="C2056" s="31">
        <v>500580100</v>
      </c>
      <c r="D2056" s="30" t="str">
        <f>IFERROR(VLOOKUP(Tabela5[[#This Row],[PREFIXO ]],Tabela4[#All],2,0),"CENTRO DE CUSTO")</f>
        <v>Autopropelidos</v>
      </c>
      <c r="E2056" s="33" t="s">
        <v>66</v>
      </c>
      <c r="F2056" s="31">
        <v>52051</v>
      </c>
      <c r="G2056" s="32"/>
      <c r="H2056" s="32">
        <v>21662.23</v>
      </c>
      <c r="I2056" s="32">
        <f t="shared" si="33"/>
        <v>21662.23</v>
      </c>
      <c r="J2056" s="33" t="s">
        <v>1080</v>
      </c>
      <c r="K2056" s="33" t="s">
        <v>4898</v>
      </c>
      <c r="L2056" s="33" t="s">
        <v>4899</v>
      </c>
      <c r="M2056" s="33"/>
      <c r="N2056" s="30"/>
      <c r="O2056" s="33"/>
      <c r="P2056" s="33"/>
      <c r="Q2056" s="30" t="str" cm="1">
        <f t="array" ref="Q2056">_xlfn.IFS(
A2056="","",
AND(A2056&lt;&gt;"",B2056=""),"FALTA LANÇAMENTO",
AND(B2056&lt;&gt;"",M2056=""),"FALTA O PEDIDO",
AND(M2056&lt;&gt;"",O2056=""),"FALTA NF",
O2056&lt;&gt;"","CONCLUÍDO")</f>
        <v>FALTA O PEDIDO</v>
      </c>
      <c r="R2056" s="33"/>
    </row>
    <row r="2057" spans="1:18" hidden="1">
      <c r="A2057" s="30">
        <v>46202</v>
      </c>
      <c r="B2057" s="30">
        <v>46205</v>
      </c>
      <c r="C2057" s="31">
        <v>22030442</v>
      </c>
      <c r="D2057" s="30" t="str">
        <f>IFERROR(VLOOKUP(Tabela5[[#This Row],[PREFIXO ]],Tabela4[#All],2,0),"CENTRO DE CUSTO")</f>
        <v>CENTRO DE CUSTO</v>
      </c>
      <c r="E2057" s="33" t="s">
        <v>227</v>
      </c>
      <c r="F2057" s="31">
        <v>220874</v>
      </c>
      <c r="G2057" s="32">
        <v>155</v>
      </c>
      <c r="H2057" s="32"/>
      <c r="I2057" s="32">
        <f t="shared" si="33"/>
        <v>155</v>
      </c>
      <c r="J2057" s="33" t="s">
        <v>1085</v>
      </c>
      <c r="K2057" s="33" t="s">
        <v>4900</v>
      </c>
      <c r="L2057" s="33" t="s">
        <v>4901</v>
      </c>
      <c r="M2057" s="33" t="s">
        <v>4877</v>
      </c>
      <c r="N2057" s="30">
        <v>46206</v>
      </c>
      <c r="O2057" s="33" t="s">
        <v>2011</v>
      </c>
      <c r="P2057" s="33" t="s">
        <v>4605</v>
      </c>
      <c r="Q2057" s="30" t="str" cm="1">
        <f t="array" ref="Q2057">_xlfn.IFS(
A2057="","",
AND(A2057&lt;&gt;"",B2057=""),"FALTA LANÇAMENTO",
AND(B2057&lt;&gt;"",M2057=""),"FALTA O PEDIDO",
AND(M2057&lt;&gt;"",O2057=""),"FALTA NF",
O2057&lt;&gt;"","CONCLUÍDO")</f>
        <v>CONCLUÍDO</v>
      </c>
      <c r="R2057" s="33"/>
    </row>
    <row r="2058" spans="1:18" hidden="1">
      <c r="A2058" s="30">
        <v>46202</v>
      </c>
      <c r="B2058" s="30">
        <v>46205</v>
      </c>
      <c r="C2058" s="31">
        <v>51521051</v>
      </c>
      <c r="D2058" s="30" t="str">
        <f>IFERROR(VLOOKUP(Tabela5[[#This Row],[PREFIXO ]],Tabela4[#All],2,0),"CENTRO DE CUSTO")</f>
        <v>COLHED ALGODÃO JOHN DEERE CP 690</v>
      </c>
      <c r="E2058" s="33" t="s">
        <v>227</v>
      </c>
      <c r="F2058" s="31">
        <v>225180</v>
      </c>
      <c r="G2058" s="32"/>
      <c r="H2058" s="32">
        <v>662</v>
      </c>
      <c r="I2058" s="32">
        <f t="shared" si="33"/>
        <v>662</v>
      </c>
      <c r="J2058" s="33" t="s">
        <v>1085</v>
      </c>
      <c r="K2058" s="33" t="s">
        <v>4902</v>
      </c>
      <c r="L2058" s="33" t="s">
        <v>4901</v>
      </c>
      <c r="M2058" s="33" t="s">
        <v>4877</v>
      </c>
      <c r="N2058" s="30">
        <v>46206</v>
      </c>
      <c r="O2058" s="33" t="s">
        <v>2011</v>
      </c>
      <c r="P2058" s="33" t="s">
        <v>4605</v>
      </c>
      <c r="Q2058" s="30" t="str" cm="1">
        <f t="array" ref="Q2058">_xlfn.IFS(
A2058="","",
AND(A2058&lt;&gt;"",B2058=""),"FALTA LANÇAMENTO",
AND(B2058&lt;&gt;"",M2058=""),"FALTA O PEDIDO",
AND(M2058&lt;&gt;"",O2058=""),"FALTA NF",
O2058&lt;&gt;"","CONCLUÍDO")</f>
        <v>CONCLUÍDO</v>
      </c>
      <c r="R2058" s="33"/>
    </row>
    <row r="2059" spans="1:18" hidden="1">
      <c r="A2059" s="30">
        <v>46202</v>
      </c>
      <c r="B2059" s="30">
        <v>46205</v>
      </c>
      <c r="C2059" s="31">
        <v>11040014</v>
      </c>
      <c r="D2059" s="30" t="str">
        <f>IFERROR(VLOOKUP(Tabela5[[#This Row],[PREFIXO ]],Tabela4[#All],2,0),"CENTRO DE CUSTO")</f>
        <v>CAV MEC EXT PES SCANIA R500</v>
      </c>
      <c r="E2059" s="33" t="s">
        <v>227</v>
      </c>
      <c r="F2059" s="31">
        <v>226217</v>
      </c>
      <c r="G2059" s="32"/>
      <c r="H2059" s="32">
        <v>3102.16</v>
      </c>
      <c r="I2059" s="32">
        <f t="shared" si="33"/>
        <v>3102.16</v>
      </c>
      <c r="J2059" s="33" t="s">
        <v>1085</v>
      </c>
      <c r="K2059" s="33" t="s">
        <v>4903</v>
      </c>
      <c r="L2059" s="33" t="s">
        <v>4901</v>
      </c>
      <c r="M2059" s="33" t="s">
        <v>4877</v>
      </c>
      <c r="N2059" s="30">
        <v>46206</v>
      </c>
      <c r="O2059" s="33" t="s">
        <v>2011</v>
      </c>
      <c r="P2059" s="33" t="s">
        <v>4605</v>
      </c>
      <c r="Q2059" s="30" t="str" cm="1">
        <f t="array" ref="Q2059">_xlfn.IFS(
A2059="","",
AND(A2059&lt;&gt;"",B2059=""),"FALTA LANÇAMENTO",
AND(B2059&lt;&gt;"",M2059=""),"FALTA O PEDIDO",
AND(M2059&lt;&gt;"",O2059=""),"FALTA NF",
O2059&lt;&gt;"","CONCLUÍDO")</f>
        <v>CONCLUÍDO</v>
      </c>
      <c r="R2059" s="33"/>
    </row>
    <row r="2060" spans="1:18" hidden="1">
      <c r="A2060" s="30">
        <v>46202</v>
      </c>
      <c r="B2060" s="30">
        <v>46205</v>
      </c>
      <c r="C2060" s="31">
        <v>13090008</v>
      </c>
      <c r="D2060" s="30" t="str">
        <f>IFERROR(VLOOKUP(Tabela5[[#This Row],[PREFIXO ]],Tabela4[#All],2,0),"CENTRO DE CUSTO")</f>
        <v>CENTRO DE CUSTO</v>
      </c>
      <c r="E2060" s="33" t="s">
        <v>62</v>
      </c>
      <c r="F2060" s="31">
        <v>581</v>
      </c>
      <c r="G2060" s="32">
        <v>17000</v>
      </c>
      <c r="H2060" s="32"/>
      <c r="I2060" s="32">
        <f t="shared" si="33"/>
        <v>17000</v>
      </c>
      <c r="J2060" s="33" t="s">
        <v>1199</v>
      </c>
      <c r="K2060" s="33" t="s">
        <v>4904</v>
      </c>
      <c r="L2060" s="33" t="s">
        <v>4876</v>
      </c>
      <c r="M2060" s="33" t="s">
        <v>4877</v>
      </c>
      <c r="N2060" s="30">
        <v>46206</v>
      </c>
      <c r="O2060" s="33" t="s">
        <v>2011</v>
      </c>
      <c r="P2060" s="33" t="s">
        <v>4605</v>
      </c>
      <c r="Q2060" s="30" t="str" cm="1">
        <f t="array" ref="Q2060">_xlfn.IFS(
A2060="","",
AND(A2060&lt;&gt;"",B2060=""),"FALTA LANÇAMENTO",
AND(B2060&lt;&gt;"",M2060=""),"FALTA O PEDIDO",
AND(M2060&lt;&gt;"",O2060=""),"FALTA NF",
O2060&lt;&gt;"","CONCLUÍDO")</f>
        <v>CONCLUÍDO</v>
      </c>
      <c r="R2060" s="33"/>
    </row>
    <row r="2061" spans="1:18" hidden="1">
      <c r="A2061" s="30">
        <v>46202</v>
      </c>
      <c r="B2061" s="30">
        <v>46210</v>
      </c>
      <c r="C2061" s="31">
        <v>51521068</v>
      </c>
      <c r="D2061" s="30" t="str">
        <f>IFERROR(VLOOKUP(Tabela5[[#This Row],[PREFIXO ]],Tabela4[#All],2,0),"CENTRO DE CUSTO")</f>
        <v>COLHED ALGODÃO JOHN DEERE CP 690</v>
      </c>
      <c r="E2061" s="33" t="s">
        <v>16</v>
      </c>
      <c r="F2061" s="31">
        <v>484</v>
      </c>
      <c r="G2061" s="32">
        <v>7980</v>
      </c>
      <c r="H2061" s="32"/>
      <c r="I2061" s="32">
        <f t="shared" si="33"/>
        <v>7980</v>
      </c>
      <c r="J2061" s="33" t="s">
        <v>1123</v>
      </c>
      <c r="K2061" s="33" t="s">
        <v>4905</v>
      </c>
      <c r="L2061" s="33" t="s">
        <v>4906</v>
      </c>
      <c r="M2061" s="33" t="s">
        <v>4907</v>
      </c>
      <c r="N2061" s="30">
        <v>46210</v>
      </c>
      <c r="O2061" s="33" t="s">
        <v>2692</v>
      </c>
      <c r="P2061" s="33" t="s">
        <v>4908</v>
      </c>
      <c r="Q2061" s="30" t="str" cm="1">
        <f t="array" ref="Q2061">_xlfn.IFS(
A2061="","",
AND(A2061&lt;&gt;"",B2061=""),"FALTA LANÇAMENTO",
AND(B2061&lt;&gt;"",M2061=""),"FALTA O PEDIDO",
AND(M2061&lt;&gt;"",O2061=""),"FALTA NF",
O2061&lt;&gt;"","CONCLUÍDO")</f>
        <v>CONCLUÍDO</v>
      </c>
      <c r="R2061" s="33"/>
    </row>
    <row r="2062" spans="1:18" hidden="1">
      <c r="A2062" s="30">
        <v>46202</v>
      </c>
      <c r="B2062" s="30">
        <v>46213</v>
      </c>
      <c r="C2062" s="31">
        <v>22080164</v>
      </c>
      <c r="D2062" s="30" t="str">
        <f>IFERROR(VLOOKUP(Tabela5[[#This Row],[PREFIXO ]],Tabela4[#All],2,0),"CENTRO DE CUSTO")</f>
        <v>CENTRO DE CUSTO</v>
      </c>
      <c r="E2062" s="33" t="s">
        <v>227</v>
      </c>
      <c r="F2062" s="31">
        <v>220720</v>
      </c>
      <c r="G2062" s="32">
        <v>785</v>
      </c>
      <c r="H2062" s="32"/>
      <c r="I2062" s="32">
        <f t="shared" si="33"/>
        <v>785</v>
      </c>
      <c r="J2062" s="33" t="s">
        <v>1085</v>
      </c>
      <c r="K2062" s="33" t="s">
        <v>4909</v>
      </c>
      <c r="L2062" s="33" t="s">
        <v>4910</v>
      </c>
      <c r="M2062" s="33" t="s">
        <v>4911</v>
      </c>
      <c r="N2062" s="30">
        <v>46213</v>
      </c>
      <c r="O2062" s="33" t="s">
        <v>4912</v>
      </c>
      <c r="P2062" s="33" t="s">
        <v>4913</v>
      </c>
      <c r="Q2062" s="30" t="str" cm="1">
        <f t="array" ref="Q2062">_xlfn.IFS(
A2062="","",
AND(A2062&lt;&gt;"",B2062=""),"FALTA LANÇAMENTO",
AND(B2062&lt;&gt;"",M2062=""),"FALTA O PEDIDO",
AND(M2062&lt;&gt;"",O2062=""),"FALTA NF",
O2062&lt;&gt;"","CONCLUÍDO")</f>
        <v>CONCLUÍDO</v>
      </c>
      <c r="R2062" s="33"/>
    </row>
    <row r="2063" spans="1:18" hidden="1">
      <c r="A2063" s="30">
        <v>46202</v>
      </c>
      <c r="B2063" s="30">
        <v>46213</v>
      </c>
      <c r="C2063" s="31">
        <v>22080166</v>
      </c>
      <c r="D2063" s="30" t="str">
        <f>IFERROR(VLOOKUP(Tabela5[[#This Row],[PREFIXO ]],Tabela4[#All],2,0),"CENTRO DE CUSTO")</f>
        <v>CENTRO DE CUSTO</v>
      </c>
      <c r="E2063" s="33" t="s">
        <v>227</v>
      </c>
      <c r="F2063" s="31">
        <v>220693</v>
      </c>
      <c r="G2063" s="32">
        <v>785</v>
      </c>
      <c r="H2063" s="32"/>
      <c r="I2063" s="32">
        <f t="shared" si="33"/>
        <v>785</v>
      </c>
      <c r="J2063" s="33" t="s">
        <v>1085</v>
      </c>
      <c r="K2063" s="33" t="s">
        <v>4914</v>
      </c>
      <c r="L2063" s="33" t="s">
        <v>4915</v>
      </c>
      <c r="M2063" s="33" t="s">
        <v>4916</v>
      </c>
      <c r="N2063" s="30">
        <v>46213</v>
      </c>
      <c r="O2063" s="33" t="s">
        <v>4917</v>
      </c>
      <c r="P2063" s="33" t="s">
        <v>4913</v>
      </c>
      <c r="Q2063" s="30" t="str" cm="1">
        <f t="array" ref="Q2063">_xlfn.IFS(
A2063="","",
AND(A2063&lt;&gt;"",B2063=""),"FALTA LANÇAMENTO",
AND(B2063&lt;&gt;"",M2063=""),"FALTA O PEDIDO",
AND(M2063&lt;&gt;"",O2063=""),"FALTA NF",
O2063&lt;&gt;"","CONCLUÍDO")</f>
        <v>CONCLUÍDO</v>
      </c>
      <c r="R2063" s="33"/>
    </row>
    <row r="2064" spans="1:18" hidden="1">
      <c r="A2064" s="30">
        <v>46202</v>
      </c>
      <c r="B2064" s="30">
        <v>46210</v>
      </c>
      <c r="C2064" s="31">
        <v>51521050</v>
      </c>
      <c r="D2064" s="30" t="str">
        <f>IFERROR(VLOOKUP(Tabela5[[#This Row],[PREFIXO ]],Tabela4[#All],2,0),"CENTRO DE CUSTO")</f>
        <v>COLHED ALGODÃO JOHN DEERE CP 690</v>
      </c>
      <c r="E2064" s="33" t="s">
        <v>16</v>
      </c>
      <c r="F2064" s="31">
        <v>485</v>
      </c>
      <c r="G2064" s="32">
        <v>7980</v>
      </c>
      <c r="H2064" s="32"/>
      <c r="I2064" s="32">
        <f t="shared" si="33"/>
        <v>7980</v>
      </c>
      <c r="J2064" s="33" t="s">
        <v>1123</v>
      </c>
      <c r="K2064" s="33" t="s">
        <v>4918</v>
      </c>
      <c r="L2064" s="33" t="s">
        <v>4919</v>
      </c>
      <c r="M2064" s="33" t="s">
        <v>4920</v>
      </c>
      <c r="N2064" s="30">
        <v>46211</v>
      </c>
      <c r="O2064" s="33" t="s">
        <v>4921</v>
      </c>
      <c r="P2064" s="33" t="s">
        <v>4908</v>
      </c>
      <c r="Q2064" s="30" t="str" cm="1">
        <f t="array" ref="Q2064">_xlfn.IFS(
A2064="","",
AND(A2064&lt;&gt;"",B2064=""),"FALTA LANÇAMENTO",
AND(B2064&lt;&gt;"",M2064=""),"FALTA O PEDIDO",
AND(M2064&lt;&gt;"",O2064=""),"FALTA NF",
O2064&lt;&gt;"","CONCLUÍDO")</f>
        <v>CONCLUÍDO</v>
      </c>
      <c r="R2064" s="33"/>
    </row>
    <row r="2065" spans="1:18" hidden="1">
      <c r="A2065" s="30">
        <v>46202</v>
      </c>
      <c r="B2065" s="30">
        <v>46213</v>
      </c>
      <c r="C2065" s="31">
        <v>61521076</v>
      </c>
      <c r="D2065" s="30" t="str">
        <f>IFERROR(VLOOKUP(Tabela5[[#This Row],[PREFIXO ]],Tabela4[#All],2,0),"CENTRO DE CUSTO")</f>
        <v>CAM CARGA SECA MERC BENZ ACCELO 815</v>
      </c>
      <c r="E2065" s="33" t="s">
        <v>227</v>
      </c>
      <c r="F2065" s="31">
        <v>225439</v>
      </c>
      <c r="G2065" s="32"/>
      <c r="H2065" s="32">
        <v>415</v>
      </c>
      <c r="I2065" s="32">
        <f t="shared" si="33"/>
        <v>415</v>
      </c>
      <c r="J2065" s="33" t="s">
        <v>1085</v>
      </c>
      <c r="K2065" s="33" t="s">
        <v>4922</v>
      </c>
      <c r="L2065" s="33" t="s">
        <v>4910</v>
      </c>
      <c r="M2065" s="33" t="s">
        <v>4911</v>
      </c>
      <c r="N2065" s="30">
        <v>46213</v>
      </c>
      <c r="O2065" s="33" t="s">
        <v>4912</v>
      </c>
      <c r="P2065" s="33" t="s">
        <v>4913</v>
      </c>
      <c r="Q2065" s="30" t="str" cm="1">
        <f t="array" ref="Q2065">_xlfn.IFS(
A2065="","",
AND(A2065&lt;&gt;"",B2065=""),"FALTA LANÇAMENTO",
AND(B2065&lt;&gt;"",M2065=""),"FALTA O PEDIDO",
AND(M2065&lt;&gt;"",O2065=""),"FALTA NF",
O2065&lt;&gt;"","CONCLUÍDO")</f>
        <v>CONCLUÍDO</v>
      </c>
      <c r="R2065" s="33"/>
    </row>
    <row r="2066" spans="1:18" hidden="1">
      <c r="A2066" s="30">
        <v>46202</v>
      </c>
      <c r="B2066" s="16">
        <v>46213</v>
      </c>
      <c r="C2066" s="21">
        <v>22080166</v>
      </c>
      <c r="D2066" s="16" t="str">
        <f>IFERROR(VLOOKUP(Tabela5[[#This Row],[PREFIXO ]],Tabela4[#All],2,0),"CENTRO DE CUSTO")</f>
        <v>CENTRO DE CUSTO</v>
      </c>
      <c r="E2066" s="18" t="s">
        <v>227</v>
      </c>
      <c r="F2066" s="21">
        <v>225484</v>
      </c>
      <c r="G2066" s="22"/>
      <c r="H2066" s="22">
        <v>755.5</v>
      </c>
      <c r="I2066" s="22">
        <f t="shared" si="33"/>
        <v>755.5</v>
      </c>
      <c r="J2066" s="18" t="s">
        <v>1085</v>
      </c>
      <c r="K2066" s="18" t="s">
        <v>4923</v>
      </c>
      <c r="L2066" s="18" t="s">
        <v>4915</v>
      </c>
      <c r="M2066" s="18" t="s">
        <v>4916</v>
      </c>
      <c r="N2066" s="30">
        <v>46213</v>
      </c>
      <c r="O2066" s="18" t="s">
        <v>4917</v>
      </c>
      <c r="P2066" s="18" t="s">
        <v>4913</v>
      </c>
      <c r="Q2066" s="16" t="str" cm="1">
        <f t="array" ref="Q2066">_xlfn.IFS(
A2066="","",
AND(A2066&lt;&gt;"",B2066=""),"FALTA LANÇAMENTO",
AND(B2066&lt;&gt;"",M2066=""),"FALTA O PEDIDO",
AND(M2066&lt;&gt;"",O2066=""),"FALTA NF",
O2066&lt;&gt;"","CONCLUÍDO")</f>
        <v>CONCLUÍDO</v>
      </c>
      <c r="R2066" s="18"/>
    </row>
    <row r="2067" spans="1:18" hidden="1">
      <c r="A2067" s="30">
        <v>46202</v>
      </c>
      <c r="B2067" s="16">
        <v>46213</v>
      </c>
      <c r="C2067" s="21">
        <v>61519048</v>
      </c>
      <c r="D2067" s="16" t="str">
        <f>IFERROR(VLOOKUP(Tabela5[[#This Row],[PREFIXO ]],Tabela4[#All],2,0),"CENTRO DE CUSTO")</f>
        <v>CENTRO DE CUSTO</v>
      </c>
      <c r="E2067" s="18" t="s">
        <v>227</v>
      </c>
      <c r="F2067" s="21">
        <v>226065</v>
      </c>
      <c r="G2067" s="22"/>
      <c r="H2067" s="22">
        <v>2633.4</v>
      </c>
      <c r="I2067" s="22">
        <f t="shared" si="33"/>
        <v>2633.4</v>
      </c>
      <c r="J2067" s="18" t="s">
        <v>1085</v>
      </c>
      <c r="K2067" s="18" t="s">
        <v>4924</v>
      </c>
      <c r="L2067" s="18" t="s">
        <v>4915</v>
      </c>
      <c r="M2067" s="18" t="s">
        <v>4916</v>
      </c>
      <c r="N2067" s="30">
        <v>46213</v>
      </c>
      <c r="O2067" s="18" t="s">
        <v>4917</v>
      </c>
      <c r="P2067" s="18" t="s">
        <v>4913</v>
      </c>
      <c r="Q2067" s="16" t="str" cm="1">
        <f t="array" ref="Q2067">_xlfn.IFS(
A2067="","",
AND(A2067&lt;&gt;"",B2067=""),"FALTA LANÇAMENTO",
AND(B2067&lt;&gt;"",M2067=""),"FALTA O PEDIDO",
AND(M2067&lt;&gt;"",O2067=""),"FALTA NF",
O2067&lt;&gt;"","CONCLUÍDO")</f>
        <v>CONCLUÍDO</v>
      </c>
      <c r="R2067" s="18"/>
    </row>
    <row r="2068" spans="1:18" hidden="1">
      <c r="A2068" s="30">
        <v>46202</v>
      </c>
      <c r="B2068" s="16">
        <v>46213</v>
      </c>
      <c r="C2068" s="21">
        <v>61521011</v>
      </c>
      <c r="D2068" s="16" t="str">
        <f>IFERROR(VLOOKUP(Tabela5[[#This Row],[PREFIXO ]],Tabela4[#All],2,0),"CENTRO DE CUSTO")</f>
        <v>CAM COMBOIO MERC BENZ ATRON 2729</v>
      </c>
      <c r="E2068" s="18" t="s">
        <v>227</v>
      </c>
      <c r="F2068" s="21">
        <v>226164</v>
      </c>
      <c r="G2068" s="22"/>
      <c r="H2068" s="47">
        <v>230</v>
      </c>
      <c r="I2068" s="22">
        <f t="shared" si="33"/>
        <v>230</v>
      </c>
      <c r="J2068" s="18" t="s">
        <v>1085</v>
      </c>
      <c r="K2068" s="18" t="s">
        <v>4925</v>
      </c>
      <c r="L2068" s="18" t="s">
        <v>4915</v>
      </c>
      <c r="M2068" s="18" t="s">
        <v>4916</v>
      </c>
      <c r="N2068" s="30">
        <v>46213</v>
      </c>
      <c r="O2068" s="18" t="s">
        <v>4917</v>
      </c>
      <c r="P2068" s="18" t="s">
        <v>4913</v>
      </c>
      <c r="Q2068" s="16" t="str" cm="1">
        <f t="array" ref="Q2068">_xlfn.IFS(
A2068="","",
AND(A2068&lt;&gt;"",B2068=""),"FALTA LANÇAMENTO",
AND(B2068&lt;&gt;"",M2068=""),"FALTA O PEDIDO",
AND(M2068&lt;&gt;"",O2068=""),"FALTA NF",
O2068&lt;&gt;"","CONCLUÍDO")</f>
        <v>CONCLUÍDO</v>
      </c>
      <c r="R2068" s="18"/>
    </row>
    <row r="2069" spans="1:18" hidden="1">
      <c r="A2069" s="30">
        <v>46202</v>
      </c>
      <c r="B2069" s="16">
        <v>46213</v>
      </c>
      <c r="C2069" s="21">
        <v>22080164</v>
      </c>
      <c r="D2069" s="16" t="str">
        <f>IFERROR(VLOOKUP(Tabela5[[#This Row],[PREFIXO ]],Tabela4[#All],2,0),"CENTRO DE CUSTO")</f>
        <v>CENTRO DE CUSTO</v>
      </c>
      <c r="E2069" s="18" t="s">
        <v>227</v>
      </c>
      <c r="F2069" s="21">
        <v>225563</v>
      </c>
      <c r="G2069" s="22"/>
      <c r="H2069" s="22">
        <v>758</v>
      </c>
      <c r="I2069" s="22">
        <f t="shared" si="33"/>
        <v>758</v>
      </c>
      <c r="J2069" s="18" t="s">
        <v>1085</v>
      </c>
      <c r="K2069" s="18" t="s">
        <v>4926</v>
      </c>
      <c r="L2069" s="18" t="s">
        <v>4910</v>
      </c>
      <c r="M2069" s="18" t="s">
        <v>4911</v>
      </c>
      <c r="N2069" s="30">
        <v>46213</v>
      </c>
      <c r="O2069" s="18" t="s">
        <v>4912</v>
      </c>
      <c r="P2069" s="18" t="s">
        <v>4913</v>
      </c>
      <c r="Q2069" s="16" t="str" cm="1">
        <f t="array" ref="Q2069">_xlfn.IFS(
A2069="","",
AND(A2069&lt;&gt;"",B2069=""),"FALTA LANÇAMENTO",
AND(B2069&lt;&gt;"",M2069=""),"FALTA O PEDIDO",
AND(M2069&lt;&gt;"",O2069=""),"FALTA NF",
O2069&lt;&gt;"","CONCLUÍDO")</f>
        <v>CONCLUÍDO</v>
      </c>
      <c r="R2069" s="18"/>
    </row>
    <row r="2070" spans="1:18" hidden="1">
      <c r="A2070" s="16">
        <v>46202</v>
      </c>
      <c r="B2070" s="16">
        <v>46216</v>
      </c>
      <c r="C2070" s="21">
        <v>51521060</v>
      </c>
      <c r="D2070" s="16" t="str">
        <f>IFERROR(VLOOKUP(Tabela5[[#This Row],[PREFIXO ]],Tabela4[#All],2,0),"CENTRO DE CUSTO")</f>
        <v>COLHED ALGODÃO JOHN DEERE CP 690</v>
      </c>
      <c r="E2070" s="18" t="s">
        <v>16</v>
      </c>
      <c r="F2070" s="21">
        <v>483</v>
      </c>
      <c r="G2070" s="22">
        <v>29920</v>
      </c>
      <c r="H2070" s="22"/>
      <c r="I2070" s="22">
        <f t="shared" si="33"/>
        <v>29920</v>
      </c>
      <c r="J2070" s="18" t="s">
        <v>1123</v>
      </c>
      <c r="K2070" s="18" t="s">
        <v>4927</v>
      </c>
      <c r="L2070" s="18" t="s">
        <v>4928</v>
      </c>
      <c r="M2070" s="18"/>
      <c r="N2070" s="30"/>
      <c r="O2070" s="18"/>
      <c r="P2070" s="18"/>
      <c r="Q2070" s="16" t="str" cm="1">
        <f t="array" ref="Q2070">_xlfn.IFS(
A2070="","",
AND(A2070&lt;&gt;"",B2070=""),"FALTA LANÇAMENTO",
AND(B2070&lt;&gt;"",M2070=""),"FALTA O PEDIDO",
AND(M2070&lt;&gt;"",O2070=""),"FALTA NF",
O2070&lt;&gt;"","CONCLUÍDO")</f>
        <v>FALTA O PEDIDO</v>
      </c>
      <c r="R2070" s="18"/>
    </row>
    <row r="2071" spans="1:18" hidden="1">
      <c r="A2071" s="30">
        <v>46202</v>
      </c>
      <c r="B2071" s="16">
        <v>46213</v>
      </c>
      <c r="C2071" s="21">
        <v>12010016</v>
      </c>
      <c r="D2071" s="16" t="str">
        <f>IFERROR(VLOOKUP(Tabela5[[#This Row],[PREFIXO ]],Tabela4[#All],2,0),"CENTRO DE CUSTO")</f>
        <v>CENTRO DE CUSTO</v>
      </c>
      <c r="E2071" s="18" t="s">
        <v>227</v>
      </c>
      <c r="F2071" s="21">
        <v>220377</v>
      </c>
      <c r="G2071" s="22"/>
      <c r="H2071" s="22">
        <v>48</v>
      </c>
      <c r="I2071" s="22">
        <f t="shared" si="33"/>
        <v>48</v>
      </c>
      <c r="J2071" s="18" t="s">
        <v>1085</v>
      </c>
      <c r="K2071" s="18" t="s">
        <v>4929</v>
      </c>
      <c r="L2071" s="18" t="s">
        <v>4910</v>
      </c>
      <c r="M2071" s="18" t="s">
        <v>4911</v>
      </c>
      <c r="N2071" s="30">
        <v>46213</v>
      </c>
      <c r="O2071" s="18"/>
      <c r="P2071" s="18"/>
      <c r="Q2071" s="16" t="str" cm="1">
        <f t="array" ref="Q2071">_xlfn.IFS(
A2071="","",
AND(A2071&lt;&gt;"",B2071=""),"FALTA LANÇAMENTO",
AND(B2071&lt;&gt;"",M2071=""),"FALTA O PEDIDO",
AND(M2071&lt;&gt;"",O2071=""),"FALTA NF",
O2071&lt;&gt;"","CONCLUÍDO")</f>
        <v>FALTA NF</v>
      </c>
      <c r="R2071" s="18"/>
    </row>
    <row r="2072" spans="1:18" hidden="1">
      <c r="A2072" s="30">
        <v>46202</v>
      </c>
      <c r="B2072" s="16">
        <v>46218</v>
      </c>
      <c r="C2072" s="21">
        <v>22080170</v>
      </c>
      <c r="D2072" s="16" t="str">
        <f>IFERROR(VLOOKUP(Tabela5[[#This Row],[PREFIXO ]],Tabela4[#All],2,0),"CENTRO DE CUSTO")</f>
        <v>CENTRO DE CUSTO</v>
      </c>
      <c r="E2072" s="18" t="s">
        <v>374</v>
      </c>
      <c r="F2072" s="21">
        <v>86696</v>
      </c>
      <c r="G2072" s="22">
        <v>140</v>
      </c>
      <c r="H2072" s="22"/>
      <c r="I2072" s="22">
        <f t="shared" si="33"/>
        <v>140</v>
      </c>
      <c r="J2072" s="18" t="s">
        <v>4930</v>
      </c>
      <c r="K2072" s="18" t="s">
        <v>4931</v>
      </c>
      <c r="L2072" s="18" t="s">
        <v>4932</v>
      </c>
      <c r="M2072" s="18"/>
      <c r="N2072" s="30"/>
      <c r="O2072" s="18"/>
      <c r="P2072" s="18"/>
      <c r="Q2072" s="16" t="str" cm="1">
        <f t="array" ref="Q2072">_xlfn.IFS(
A2072="","",
AND(A2072&lt;&gt;"",B2072=""),"FALTA LANÇAMENTO",
AND(B2072&lt;&gt;"",M2072=""),"FALTA O PEDIDO",
AND(M2072&lt;&gt;"",O2072=""),"FALTA NF",
O2072&lt;&gt;"","CONCLUÍDO")</f>
        <v>FALTA O PEDIDO</v>
      </c>
      <c r="R2072" s="18"/>
    </row>
    <row r="2073" spans="1:18" hidden="1">
      <c r="A2073" s="30">
        <v>46204</v>
      </c>
      <c r="B2073" s="16">
        <v>46206</v>
      </c>
      <c r="C2073" s="21">
        <v>11521001</v>
      </c>
      <c r="D2073" s="16" t="str">
        <f>IFERROR(VLOOKUP(Tabela5[[#This Row],[PREFIXO ]],Tabela4[#All],2,0),"CENTRO DE CUSTO")</f>
        <v>TRAT PN EXT PES CASE STEIGER 620</v>
      </c>
      <c r="E2073" s="18" t="s">
        <v>312</v>
      </c>
      <c r="F2073" s="21" t="s">
        <v>2879</v>
      </c>
      <c r="G2073" s="22">
        <v>1176</v>
      </c>
      <c r="H2073" s="22"/>
      <c r="I2073" s="22">
        <f t="shared" si="33"/>
        <v>1176</v>
      </c>
      <c r="J2073" s="18" t="s">
        <v>1199</v>
      </c>
      <c r="K2073" s="18" t="s">
        <v>4933</v>
      </c>
      <c r="L2073" s="18" t="s">
        <v>4934</v>
      </c>
      <c r="M2073" s="18" t="s">
        <v>4935</v>
      </c>
      <c r="N2073" s="30">
        <v>46206</v>
      </c>
      <c r="O2073" s="18" t="s">
        <v>3056</v>
      </c>
      <c r="P2073" s="18" t="s">
        <v>4208</v>
      </c>
      <c r="Q2073" s="16" t="str" cm="1">
        <f t="array" ref="Q2073">_xlfn.IFS(
A2073="","",
AND(A2073&lt;&gt;"",B2073=""),"FALTA LANÇAMENTO",
AND(B2073&lt;&gt;"",M2073=""),"FALTA O PEDIDO",
AND(M2073&lt;&gt;"",O2073=""),"FALTA NF",
O2073&lt;&gt;"","CONCLUÍDO")</f>
        <v>CONCLUÍDO</v>
      </c>
      <c r="R2073" s="18"/>
    </row>
    <row r="2074" spans="1:18" hidden="1">
      <c r="A2074" s="30">
        <v>46204</v>
      </c>
      <c r="B2074" s="30">
        <v>46206</v>
      </c>
      <c r="C2074" s="31">
        <v>11521025</v>
      </c>
      <c r="D2074" s="30" t="str">
        <f>IFERROR(VLOOKUP(Tabela5[[#This Row],[PREFIXO ]],Tabela4[#All],2,0),"CENTRO DE CUSTO")</f>
        <v>TRAT PN MED CASE PUMA 140</v>
      </c>
      <c r="E2074" s="33" t="s">
        <v>312</v>
      </c>
      <c r="F2074" s="31" t="s">
        <v>2890</v>
      </c>
      <c r="G2074" s="32">
        <v>1500</v>
      </c>
      <c r="H2074" s="32"/>
      <c r="I2074" s="32">
        <f t="shared" si="33"/>
        <v>1500</v>
      </c>
      <c r="J2074" s="33" t="s">
        <v>1199</v>
      </c>
      <c r="K2074" s="33" t="s">
        <v>4936</v>
      </c>
      <c r="L2074" s="33" t="s">
        <v>4934</v>
      </c>
      <c r="M2074" s="18" t="s">
        <v>4935</v>
      </c>
      <c r="N2074" s="30">
        <v>46206</v>
      </c>
      <c r="O2074" s="33" t="s">
        <v>3056</v>
      </c>
      <c r="P2074" s="33" t="s">
        <v>4208</v>
      </c>
      <c r="Q2074" s="30" t="str" cm="1">
        <f t="array" ref="Q2074">_xlfn.IFS(
A2074="","",
AND(A2074&lt;&gt;"",B2074=""),"FALTA LANÇAMENTO",
AND(B2074&lt;&gt;"",M2074=""),"FALTA O PEDIDO",
AND(M2074&lt;&gt;"",O2074=""),"FALTA NF",
O2074&lt;&gt;"","CONCLUÍDO")</f>
        <v>CONCLUÍDO</v>
      </c>
      <c r="R2074" s="33"/>
    </row>
    <row r="2075" spans="1:18" hidden="1">
      <c r="A2075" s="30">
        <v>46204</v>
      </c>
      <c r="B2075" s="30">
        <v>46206</v>
      </c>
      <c r="C2075" s="31">
        <v>11521004</v>
      </c>
      <c r="D2075" s="30" t="str">
        <f>IFERROR(VLOOKUP(Tabela5[[#This Row],[PREFIXO ]],Tabela4[#All],2,0),"CENTRO DE CUSTO")</f>
        <v>TRAT PN EXT PES CASE STEIGER 620</v>
      </c>
      <c r="E2075" s="33" t="s">
        <v>312</v>
      </c>
      <c r="F2075" s="31" t="s">
        <v>2882</v>
      </c>
      <c r="G2075" s="32">
        <v>1323</v>
      </c>
      <c r="H2075" s="32"/>
      <c r="I2075" s="32">
        <f t="shared" si="33"/>
        <v>1323</v>
      </c>
      <c r="J2075" s="33" t="s">
        <v>1199</v>
      </c>
      <c r="K2075" s="33" t="s">
        <v>4937</v>
      </c>
      <c r="L2075" s="33" t="s">
        <v>4934</v>
      </c>
      <c r="M2075" s="18" t="s">
        <v>4935</v>
      </c>
      <c r="N2075" s="30">
        <v>46206</v>
      </c>
      <c r="O2075" s="33" t="s">
        <v>3056</v>
      </c>
      <c r="P2075" s="33" t="s">
        <v>4208</v>
      </c>
      <c r="Q2075" s="30" t="str" cm="1">
        <f t="array" ref="Q2075">_xlfn.IFS(
A2075="","",
AND(A2075&lt;&gt;"",B2075=""),"FALTA LANÇAMENTO",
AND(B2075&lt;&gt;"",M2075=""),"FALTA O PEDIDO",
AND(M2075&lt;&gt;"",O2075=""),"FALTA NF",
O2075&lt;&gt;"","CONCLUÍDO")</f>
        <v>CONCLUÍDO</v>
      </c>
      <c r="R2075" s="33"/>
    </row>
    <row r="2076" spans="1:18" hidden="1">
      <c r="A2076" s="30">
        <v>46204</v>
      </c>
      <c r="B2076" s="30">
        <v>46206</v>
      </c>
      <c r="C2076" s="31" t="s">
        <v>4938</v>
      </c>
      <c r="D2076" s="30" t="str">
        <f>IFERROR(VLOOKUP(Tabela5[[#This Row],[PREFIXO ]],Tabela4[#All],2,0),"CENTRO DE CUSTO")</f>
        <v>CENTRO DE CUSTO</v>
      </c>
      <c r="E2076" s="33" t="s">
        <v>312</v>
      </c>
      <c r="F2076" s="31" t="s">
        <v>4939</v>
      </c>
      <c r="G2076" s="32">
        <v>39980.03</v>
      </c>
      <c r="H2076" s="32"/>
      <c r="I2076" s="32">
        <f t="shared" si="33"/>
        <v>39980.03</v>
      </c>
      <c r="J2076" s="33" t="s">
        <v>1199</v>
      </c>
      <c r="K2076" s="33" t="s">
        <v>1095</v>
      </c>
      <c r="L2076" s="33" t="s">
        <v>4940</v>
      </c>
      <c r="M2076" s="18" t="s">
        <v>4941</v>
      </c>
      <c r="N2076" s="30">
        <v>46209</v>
      </c>
      <c r="O2076" s="33" t="s">
        <v>4942</v>
      </c>
      <c r="P2076" s="33" t="s">
        <v>4208</v>
      </c>
      <c r="Q2076" s="30" t="str" cm="1">
        <f t="array" ref="Q2076">_xlfn.IFS(
A2076="","",
AND(A2076&lt;&gt;"",B2076=""),"FALTA LANÇAMENTO",
AND(B2076&lt;&gt;"",M2076=""),"FALTA O PEDIDO",
AND(M2076&lt;&gt;"",O2076=""),"FALTA NF",
O2076&lt;&gt;"","CONCLUÍDO")</f>
        <v>CONCLUÍDO</v>
      </c>
      <c r="R2076" s="33"/>
    </row>
    <row r="2077" spans="1:18" hidden="1">
      <c r="A2077" s="30">
        <v>46204</v>
      </c>
      <c r="B2077" s="30">
        <v>46211</v>
      </c>
      <c r="C2077" s="31" t="s">
        <v>4943</v>
      </c>
      <c r="D2077" s="30" t="str">
        <f>IFERROR(VLOOKUP(Tabela5[[#This Row],[PREFIXO ]],Tabela4[#All],2,0),"CENTRO DE CUSTO")</f>
        <v>CENTRO DE CUSTO</v>
      </c>
      <c r="E2077" s="33" t="s">
        <v>255</v>
      </c>
      <c r="F2077" s="31">
        <v>1010</v>
      </c>
      <c r="G2077" s="32">
        <v>2400</v>
      </c>
      <c r="H2077" s="32"/>
      <c r="I2077" s="32">
        <f t="shared" si="33"/>
        <v>2400</v>
      </c>
      <c r="J2077" s="33" t="s">
        <v>1123</v>
      </c>
      <c r="K2077" s="33" t="s">
        <v>4944</v>
      </c>
      <c r="L2077" s="33" t="s">
        <v>4945</v>
      </c>
      <c r="M2077" s="33" t="s">
        <v>4946</v>
      </c>
      <c r="N2077" s="30">
        <v>46213</v>
      </c>
      <c r="O2077" s="33"/>
      <c r="P2077" s="33"/>
      <c r="Q2077" s="30" t="str" cm="1">
        <f t="array" ref="Q2077">_xlfn.IFS(
A2077="","",
AND(A2077&lt;&gt;"",B2077=""),"FALTA LANÇAMENTO",
AND(B2077&lt;&gt;"",M2077=""),"FALTA O PEDIDO",
AND(M2077&lt;&gt;"",O2077=""),"FALTA NF",
O2077&lt;&gt;"","CONCLUÍDO")</f>
        <v>FALTA NF</v>
      </c>
      <c r="R2077" s="33"/>
    </row>
    <row r="2078" spans="1:18" hidden="1">
      <c r="A2078" s="30">
        <v>46204</v>
      </c>
      <c r="B2078" s="30">
        <v>46211</v>
      </c>
      <c r="C2078" s="31">
        <v>51521052</v>
      </c>
      <c r="D2078" s="30" t="str">
        <f>IFERROR(VLOOKUP(Tabela5[[#This Row],[PREFIXO ]],Tabela4[#All],2,0),"CENTRO DE CUSTO")</f>
        <v>COLHED ALGODÃO JOHN DEERE CP 690</v>
      </c>
      <c r="E2078" s="33" t="s">
        <v>255</v>
      </c>
      <c r="F2078" s="31">
        <v>1006</v>
      </c>
      <c r="G2078" s="32">
        <v>2300</v>
      </c>
      <c r="H2078" s="32"/>
      <c r="I2078" s="32">
        <f t="shared" si="33"/>
        <v>2300</v>
      </c>
      <c r="J2078" s="33" t="s">
        <v>1123</v>
      </c>
      <c r="K2078" s="33" t="s">
        <v>4947</v>
      </c>
      <c r="L2078" s="33" t="s">
        <v>4945</v>
      </c>
      <c r="M2078" s="33" t="s">
        <v>4946</v>
      </c>
      <c r="N2078" s="30">
        <v>46213</v>
      </c>
      <c r="O2078" s="33"/>
      <c r="P2078" s="33"/>
      <c r="Q2078" s="30" t="str" cm="1">
        <f t="array" ref="Q2078">_xlfn.IFS(
A2078="","",
AND(A2078&lt;&gt;"",B2078=""),"FALTA LANÇAMENTO",
AND(B2078&lt;&gt;"",M2078=""),"FALTA O PEDIDO",
AND(M2078&lt;&gt;"",O2078=""),"FALTA NF",
O2078&lt;&gt;"","CONCLUÍDO")</f>
        <v>FALTA NF</v>
      </c>
      <c r="R2078" s="33"/>
    </row>
    <row r="2079" spans="1:18" hidden="1">
      <c r="A2079" s="30">
        <v>46204</v>
      </c>
      <c r="B2079" s="30">
        <v>46211</v>
      </c>
      <c r="C2079" s="31">
        <v>51521067</v>
      </c>
      <c r="D2079" s="30" t="str">
        <f>IFERROR(VLOOKUP(Tabela5[[#This Row],[PREFIXO ]],Tabela4[#All],2,0),"CENTRO DE CUSTO")</f>
        <v>COLHED ALGODÃO JOHN DEERE CP 690</v>
      </c>
      <c r="E2079" s="33" t="s">
        <v>255</v>
      </c>
      <c r="F2079" s="31">
        <v>1007</v>
      </c>
      <c r="G2079" s="32">
        <v>2300</v>
      </c>
      <c r="H2079" s="32"/>
      <c r="I2079" s="32">
        <f t="shared" si="33"/>
        <v>2300</v>
      </c>
      <c r="J2079" s="18" t="s">
        <v>1123</v>
      </c>
      <c r="K2079" s="33" t="s">
        <v>4948</v>
      </c>
      <c r="L2079" s="33" t="s">
        <v>4945</v>
      </c>
      <c r="M2079" s="33" t="s">
        <v>4946</v>
      </c>
      <c r="N2079" s="30">
        <v>46213</v>
      </c>
      <c r="O2079" s="33"/>
      <c r="P2079" s="33"/>
      <c r="Q2079" s="30" t="str" cm="1">
        <f t="array" ref="Q2079">_xlfn.IFS(
A2079="","",
AND(A2079&lt;&gt;"",B2079=""),"FALTA LANÇAMENTO",
AND(B2079&lt;&gt;"",M2079=""),"FALTA O PEDIDO",
AND(M2079&lt;&gt;"",O2079=""),"FALTA NF",
O2079&lt;&gt;"","CONCLUÍDO")</f>
        <v>FALTA NF</v>
      </c>
      <c r="R2079" s="33"/>
    </row>
    <row r="2080" spans="1:18" hidden="1">
      <c r="A2080" s="30">
        <v>46204</v>
      </c>
      <c r="B2080" s="30">
        <v>46211</v>
      </c>
      <c r="C2080" s="31">
        <v>51521049</v>
      </c>
      <c r="D2080" s="30" t="str">
        <f>IFERROR(VLOOKUP(Tabela5[[#This Row],[PREFIXO ]],Tabela4[#All],2,0),"CENTRO DE CUSTO")</f>
        <v>COLHED ALGODÃO JOHN DEERE CP 690</v>
      </c>
      <c r="E2080" s="33" t="s">
        <v>255</v>
      </c>
      <c r="F2080" s="31">
        <v>1008</v>
      </c>
      <c r="G2080" s="32">
        <v>1000</v>
      </c>
      <c r="H2080" s="32"/>
      <c r="I2080" s="32">
        <f t="shared" si="33"/>
        <v>1000</v>
      </c>
      <c r="J2080" s="18" t="s">
        <v>1123</v>
      </c>
      <c r="K2080" s="33" t="s">
        <v>4949</v>
      </c>
      <c r="L2080" s="33" t="s">
        <v>4945</v>
      </c>
      <c r="M2080" s="33" t="s">
        <v>4946</v>
      </c>
      <c r="N2080" s="30">
        <v>46213</v>
      </c>
      <c r="O2080" s="33"/>
      <c r="P2080" s="33"/>
      <c r="Q2080" s="30" t="str" cm="1">
        <f t="array" ref="Q2080">_xlfn.IFS(
A2080="","",
AND(A2080&lt;&gt;"",B2080=""),"FALTA LANÇAMENTO",
AND(B2080&lt;&gt;"",M2080=""),"FALTA O PEDIDO",
AND(M2080&lt;&gt;"",O2080=""),"FALTA NF",
O2080&lt;&gt;"","CONCLUÍDO")</f>
        <v>FALTA NF</v>
      </c>
      <c r="R2080" s="33"/>
    </row>
    <row r="2081" spans="1:18" hidden="1">
      <c r="A2081" s="30">
        <v>46204</v>
      </c>
      <c r="B2081" s="30">
        <v>46211</v>
      </c>
      <c r="C2081" s="31">
        <v>51519060</v>
      </c>
      <c r="D2081" s="30" t="str">
        <f>IFERROR(VLOOKUP(Tabela5[[#This Row],[PREFIXO ]],Tabela4[#All],2,0),"CENTRO DE CUSTO")</f>
        <v>CENTRO DE CUSTO</v>
      </c>
      <c r="E2081" s="33" t="s">
        <v>255</v>
      </c>
      <c r="F2081" s="31">
        <v>1009</v>
      </c>
      <c r="G2081" s="32">
        <v>1600</v>
      </c>
      <c r="H2081" s="32"/>
      <c r="I2081" s="32">
        <f t="shared" si="33"/>
        <v>1600</v>
      </c>
      <c r="J2081" s="33" t="s">
        <v>1123</v>
      </c>
      <c r="K2081" s="33" t="s">
        <v>4950</v>
      </c>
      <c r="L2081" s="33" t="s">
        <v>4945</v>
      </c>
      <c r="M2081" s="33" t="s">
        <v>4946</v>
      </c>
      <c r="N2081" s="30">
        <v>46213</v>
      </c>
      <c r="O2081" s="33"/>
      <c r="P2081" s="33"/>
      <c r="Q2081" s="30" t="str" cm="1">
        <f t="array" ref="Q2081">_xlfn.IFS(
A2081="","",
AND(A2081&lt;&gt;"",B2081=""),"FALTA LANÇAMENTO",
AND(B2081&lt;&gt;"",M2081=""),"FALTA O PEDIDO",
AND(M2081&lt;&gt;"",O2081=""),"FALTA NF",
O2081&lt;&gt;"","CONCLUÍDO")</f>
        <v>FALTA NF</v>
      </c>
      <c r="R2081" s="33"/>
    </row>
    <row r="2082" spans="1:18" hidden="1">
      <c r="A2082" s="30">
        <v>46204</v>
      </c>
      <c r="B2082" s="16">
        <v>46211</v>
      </c>
      <c r="C2082" s="21">
        <v>45190002</v>
      </c>
      <c r="D2082" s="16" t="str">
        <f>IFERROR(VLOOKUP(Tabela5[[#This Row],[PREFIXO ]],Tabela4[#All],2,0),"CENTRO DE CUSTO")</f>
        <v>SUBSOLADOR HORSCH EVO TL 9.45</v>
      </c>
      <c r="E2082" s="18" t="s">
        <v>255</v>
      </c>
      <c r="F2082" s="21">
        <v>1005</v>
      </c>
      <c r="G2082" s="22">
        <v>3200</v>
      </c>
      <c r="H2082" s="22"/>
      <c r="I2082" s="22">
        <f t="shared" si="33"/>
        <v>3200</v>
      </c>
      <c r="J2082" s="18" t="s">
        <v>1085</v>
      </c>
      <c r="K2082" s="18" t="s">
        <v>4951</v>
      </c>
      <c r="L2082" s="18" t="s">
        <v>4945</v>
      </c>
      <c r="M2082" s="18" t="s">
        <v>4946</v>
      </c>
      <c r="N2082" s="30">
        <v>46213</v>
      </c>
      <c r="O2082" s="18"/>
      <c r="P2082" s="18"/>
      <c r="Q2082" s="16" t="str" cm="1">
        <f t="array" ref="Q2082">_xlfn.IFS(
A2082="","",
AND(A2082&lt;&gt;"",B2082=""),"FALTA LANÇAMENTO",
AND(B2082&lt;&gt;"",M2082=""),"FALTA O PEDIDO",
AND(M2082&lt;&gt;"",O2082=""),"FALTA NF",
O2082&lt;&gt;"","CONCLUÍDO")</f>
        <v>FALTA NF</v>
      </c>
      <c r="R2082" s="18"/>
    </row>
    <row r="2083" spans="1:18" hidden="1">
      <c r="A2083" s="30">
        <v>46204</v>
      </c>
      <c r="B2083" s="16">
        <v>46223</v>
      </c>
      <c r="C2083" s="21">
        <v>61521066</v>
      </c>
      <c r="D2083" s="16" t="str">
        <f>IFERROR(VLOOKUP(Tabela5[[#This Row],[PREFIXO ]],Tabela4[#All],2,0),"CENTRO DE CUSTO")</f>
        <v>CAM ROLL ON/OFF VOLVO VM 330</v>
      </c>
      <c r="E2083" s="18" t="s">
        <v>24</v>
      </c>
      <c r="F2083" s="21" t="s">
        <v>4952</v>
      </c>
      <c r="G2083" s="22">
        <v>999.9</v>
      </c>
      <c r="H2083" s="22">
        <v>4686.7700000000004</v>
      </c>
      <c r="I2083" s="22">
        <f t="shared" si="33"/>
        <v>5686.67</v>
      </c>
      <c r="J2083" s="18" t="s">
        <v>1085</v>
      </c>
      <c r="K2083" s="18" t="s">
        <v>4953</v>
      </c>
      <c r="L2083" s="18" t="s">
        <v>4954</v>
      </c>
      <c r="M2083" s="18"/>
      <c r="N2083" s="30"/>
      <c r="O2083" s="18"/>
      <c r="P2083" s="18"/>
      <c r="Q2083" s="16" t="str" cm="1">
        <f t="array" ref="Q2083">_xlfn.IFS(
A2083="","",
AND(A2083&lt;&gt;"",B2083=""),"FALTA LANÇAMENTO",
AND(B2083&lt;&gt;"",M2083=""),"FALTA O PEDIDO",
AND(M2083&lt;&gt;"",O2083=""),"FALTA NF",
O2083&lt;&gt;"","CONCLUÍDO")</f>
        <v>FALTA O PEDIDO</v>
      </c>
      <c r="R2083" s="18"/>
    </row>
    <row r="2084" spans="1:18" hidden="1">
      <c r="A2084" s="30">
        <v>46204</v>
      </c>
      <c r="B2084" s="16">
        <v>46213</v>
      </c>
      <c r="C2084" s="21">
        <v>900325</v>
      </c>
      <c r="D2084" s="16" t="str">
        <f>IFERROR(VLOOKUP(Tabela5[[#This Row],[PREFIXO ]],Tabela4[#All],2,0),"CENTRO DE CUSTO")</f>
        <v>CENTRO DE CUSTO</v>
      </c>
      <c r="E2084" s="18" t="s">
        <v>71</v>
      </c>
      <c r="F2084" s="21">
        <v>7805</v>
      </c>
      <c r="G2084" s="22">
        <v>3341.85</v>
      </c>
      <c r="H2084" s="22">
        <v>1563</v>
      </c>
      <c r="I2084" s="22">
        <f t="shared" si="33"/>
        <v>4904.8500000000004</v>
      </c>
      <c r="J2084" s="18" t="s">
        <v>1199</v>
      </c>
      <c r="K2084" s="18" t="s">
        <v>4955</v>
      </c>
      <c r="L2084" s="18" t="s">
        <v>4956</v>
      </c>
      <c r="M2084" s="18" t="s">
        <v>4957</v>
      </c>
      <c r="N2084" s="30">
        <v>46213</v>
      </c>
      <c r="O2084" s="18"/>
      <c r="P2084" s="18"/>
      <c r="Q2084" s="16" t="str" cm="1">
        <f t="array" ref="Q2084">_xlfn.IFS(
A2084="","",
AND(A2084&lt;&gt;"",B2084=""),"FALTA LANÇAMENTO",
AND(B2084&lt;&gt;"",M2084=""),"FALTA O PEDIDO",
AND(M2084&lt;&gt;"",O2084=""),"FALTA NF",
O2084&lt;&gt;"","CONCLUÍDO")</f>
        <v>FALTA NF</v>
      </c>
      <c r="R2084" s="18"/>
    </row>
    <row r="2085" spans="1:18" hidden="1">
      <c r="A2085" s="30">
        <v>46204</v>
      </c>
      <c r="B2085" s="16">
        <v>46216</v>
      </c>
      <c r="C2085" s="21">
        <v>15690001</v>
      </c>
      <c r="D2085" s="16" t="str">
        <f>IFERROR(VLOOKUP(Tabela5[[#This Row],[PREFIXO ]],Tabela4[#All],2,0),"CENTRO DE CUSTO")</f>
        <v>COLHE FORRAGEM CASALE CRC-180 AP</v>
      </c>
      <c r="E2085" s="18" t="s">
        <v>218</v>
      </c>
      <c r="F2085" s="21">
        <v>26801</v>
      </c>
      <c r="G2085" s="22">
        <v>1010.11</v>
      </c>
      <c r="H2085" s="22">
        <v>487.06</v>
      </c>
      <c r="I2085" s="22">
        <f t="shared" si="33"/>
        <v>1497.17</v>
      </c>
      <c r="J2085" s="18" t="s">
        <v>1199</v>
      </c>
      <c r="K2085" s="18" t="s">
        <v>4958</v>
      </c>
      <c r="L2085" s="18" t="s">
        <v>4959</v>
      </c>
      <c r="M2085" s="18" t="s">
        <v>4960</v>
      </c>
      <c r="N2085" s="30">
        <v>46216</v>
      </c>
      <c r="O2085" s="18"/>
      <c r="P2085" s="18"/>
      <c r="Q2085" s="16" t="str" cm="1">
        <f t="array" ref="Q2085">_xlfn.IFS(
A2085="","",
AND(A2085&lt;&gt;"",B2085=""),"FALTA LANÇAMENTO",
AND(B2085&lt;&gt;"",M2085=""),"FALTA O PEDIDO",
AND(M2085&lt;&gt;"",O2085=""),"FALTA NF",
O2085&lt;&gt;"","CONCLUÍDO")</f>
        <v>FALTA NF</v>
      </c>
      <c r="R2085" s="18"/>
    </row>
    <row r="2086" spans="1:18" hidden="1">
      <c r="A2086" s="30">
        <v>46204</v>
      </c>
      <c r="B2086" s="16">
        <v>46212</v>
      </c>
      <c r="C2086" s="21">
        <v>13150007</v>
      </c>
      <c r="D2086" s="16" t="str">
        <f>IFERROR(VLOOKUP(Tabela5[[#This Row],[PREFIXO ]],Tabela4[#All],2,0),"CENTRO DE CUSTO")</f>
        <v>CENTRO DE CUSTO</v>
      </c>
      <c r="E2086" s="18" t="s">
        <v>96</v>
      </c>
      <c r="F2086" s="21" t="s">
        <v>4961</v>
      </c>
      <c r="G2086" s="22">
        <v>3339</v>
      </c>
      <c r="H2086" s="22">
        <v>4336.42</v>
      </c>
      <c r="I2086" s="22">
        <f t="shared" si="33"/>
        <v>7675.42</v>
      </c>
      <c r="J2086" s="18" t="s">
        <v>1080</v>
      </c>
      <c r="K2086" s="18" t="s">
        <v>4962</v>
      </c>
      <c r="L2086" s="18" t="s">
        <v>4963</v>
      </c>
      <c r="M2086" s="18" t="s">
        <v>4964</v>
      </c>
      <c r="N2086" s="30">
        <v>46213</v>
      </c>
      <c r="O2086" s="18"/>
      <c r="P2086" s="18"/>
      <c r="Q2086" s="16" t="str" cm="1">
        <f t="array" ref="Q2086">_xlfn.IFS(
A2086="","",
AND(A2086&lt;&gt;"",B2086=""),"FALTA LANÇAMENTO",
AND(B2086&lt;&gt;"",M2086=""),"FALTA O PEDIDO",
AND(M2086&lt;&gt;"",O2086=""),"FALTA NF",
O2086&lt;&gt;"","CONCLUÍDO")</f>
        <v>FALTA NF</v>
      </c>
      <c r="R2086" s="18"/>
    </row>
    <row r="2087" spans="1:18" hidden="1">
      <c r="A2087" s="30">
        <v>46204</v>
      </c>
      <c r="B2087" s="16">
        <v>46211</v>
      </c>
      <c r="C2087" s="21">
        <v>35005014</v>
      </c>
      <c r="D2087" s="16" t="str">
        <f>IFERROR(VLOOKUP(Tabela5[[#This Row],[PREFIXO ]],Tabela4[#All],2,0),"CENTRO DE CUSTO")</f>
        <v>PULV AUTOPROP JACTO UNIPORT 3030</v>
      </c>
      <c r="E2087" s="18" t="s">
        <v>96</v>
      </c>
      <c r="F2087" s="21" t="s">
        <v>4965</v>
      </c>
      <c r="G2087" s="22">
        <v>351</v>
      </c>
      <c r="H2087" s="22">
        <v>1170.05</v>
      </c>
      <c r="I2087" s="22">
        <f t="shared" si="33"/>
        <v>1521.05</v>
      </c>
      <c r="J2087" s="18" t="s">
        <v>1080</v>
      </c>
      <c r="K2087" s="18" t="s">
        <v>4966</v>
      </c>
      <c r="L2087" s="18" t="s">
        <v>4967</v>
      </c>
      <c r="M2087" s="18" t="s">
        <v>4968</v>
      </c>
      <c r="N2087" s="30">
        <v>46212</v>
      </c>
      <c r="O2087" s="18"/>
      <c r="P2087" s="18"/>
      <c r="Q2087" s="16" t="str" cm="1">
        <f t="array" ref="Q2087">_xlfn.IFS(
A2087="","",
AND(A2087&lt;&gt;"",B2087=""),"FALTA LANÇAMENTO",
AND(B2087&lt;&gt;"",M2087=""),"FALTA O PEDIDO",
AND(M2087&lt;&gt;"",O2087=""),"FALTA NF",
O2087&lt;&gt;"","CONCLUÍDO")</f>
        <v>FALTA NF</v>
      </c>
      <c r="R2087" s="18"/>
    </row>
    <row r="2088" spans="1:18" hidden="1">
      <c r="A2088" s="30">
        <v>46204</v>
      </c>
      <c r="B2088" s="16">
        <v>46211</v>
      </c>
      <c r="C2088" s="21">
        <v>51521105</v>
      </c>
      <c r="D2088" s="16" t="str">
        <f>IFERROR(VLOOKUP(Tabela5[[#This Row],[PREFIXO ]],Tabela4[#All],2,0),"CENTRO DE CUSTO")</f>
        <v>COLHEIT DE GRÃOS N.HOLLAND CR 8.90</v>
      </c>
      <c r="E2088" s="18" t="s">
        <v>247</v>
      </c>
      <c r="F2088" s="21">
        <v>136362</v>
      </c>
      <c r="G2088" s="22">
        <v>456</v>
      </c>
      <c r="H2088" s="22">
        <v>304</v>
      </c>
      <c r="I2088" s="22">
        <f>G2088+H2088</f>
        <v>760</v>
      </c>
      <c r="J2088" s="18" t="s">
        <v>1123</v>
      </c>
      <c r="K2088" s="18" t="s">
        <v>4969</v>
      </c>
      <c r="L2088" s="18" t="s">
        <v>4970</v>
      </c>
      <c r="M2088" s="18" t="s">
        <v>4971</v>
      </c>
      <c r="N2088" s="30">
        <v>46212</v>
      </c>
      <c r="O2088" s="18" t="s">
        <v>4972</v>
      </c>
      <c r="P2088" s="18" t="s">
        <v>4973</v>
      </c>
      <c r="Q2088" s="16" t="str" cm="1">
        <f t="array" ref="Q2088">_xlfn.IFS(
A2088="","",
AND(A2088&lt;&gt;"",B2088=""),"FALTA LANÇAMENTO",
AND(B2088&lt;&gt;"",M2088=""),"FALTA O PEDIDO",
AND(M2088&lt;&gt;"",O2088=""),"FALTA NF",
O2088&lt;&gt;"","CONCLUÍDO")</f>
        <v>CONCLUÍDO</v>
      </c>
      <c r="R2088" s="18"/>
    </row>
    <row r="2089" spans="1:18" hidden="1">
      <c r="A2089" s="30">
        <v>46205</v>
      </c>
      <c r="B2089" s="16">
        <v>46206</v>
      </c>
      <c r="C2089" s="21">
        <v>15048017</v>
      </c>
      <c r="D2089" s="16" t="str">
        <f>IFERROR(VLOOKUP(Tabela5[[#This Row],[PREFIXO ]],Tabela4[#All],2,0),"CENTRO DE CUSTO")</f>
        <v>CENTRO DE CUSTO</v>
      </c>
      <c r="E2089" s="18" t="s">
        <v>259</v>
      </c>
      <c r="F2089" s="21">
        <v>63309452</v>
      </c>
      <c r="G2089" s="22">
        <v>50.43</v>
      </c>
      <c r="H2089" s="22">
        <v>1435.97</v>
      </c>
      <c r="I2089" s="22">
        <f t="shared" si="33"/>
        <v>1486.4</v>
      </c>
      <c r="J2089" s="18" t="s">
        <v>1199</v>
      </c>
      <c r="K2089" s="18" t="s">
        <v>4974</v>
      </c>
      <c r="L2089" s="18" t="s">
        <v>4975</v>
      </c>
      <c r="M2089" s="18" t="s">
        <v>4976</v>
      </c>
      <c r="N2089" s="30">
        <v>46206</v>
      </c>
      <c r="O2089" s="18" t="s">
        <v>2560</v>
      </c>
      <c r="P2089" s="18" t="s">
        <v>4208</v>
      </c>
      <c r="Q2089" s="16" t="str" cm="1">
        <f t="array" ref="Q2089">_xlfn.IFS(
A2089="","",
AND(A2089&lt;&gt;"",B2089=""),"FALTA LANÇAMENTO",
AND(B2089&lt;&gt;"",M2089=""),"FALTA O PEDIDO",
AND(M2089&lt;&gt;"",O2089=""),"FALTA NF",
O2089&lt;&gt;"","CONCLUÍDO")</f>
        <v>CONCLUÍDO</v>
      </c>
      <c r="R2089" s="18"/>
    </row>
    <row r="2090" spans="1:18" hidden="1">
      <c r="A2090" s="30">
        <v>46205</v>
      </c>
      <c r="B2090" s="30">
        <v>46211</v>
      </c>
      <c r="C2090" s="31">
        <v>500580579</v>
      </c>
      <c r="D2090" s="30" t="str">
        <f>IFERROR(VLOOKUP(Tabela5[[#This Row],[PREFIXO ]],Tabela4[#All],2,0),"CENTRO DE CUSTO")</f>
        <v>Pátio de Vendas</v>
      </c>
      <c r="E2090" s="33" t="s">
        <v>249</v>
      </c>
      <c r="F2090" s="31">
        <v>250</v>
      </c>
      <c r="G2090" s="32">
        <v>8225</v>
      </c>
      <c r="H2090" s="32"/>
      <c r="I2090" s="32">
        <f t="shared" si="33"/>
        <v>8225</v>
      </c>
      <c r="J2090" s="33" t="s">
        <v>1251</v>
      </c>
      <c r="K2090" s="33" t="s">
        <v>4977</v>
      </c>
      <c r="L2090" s="33" t="s">
        <v>4978</v>
      </c>
      <c r="M2090" s="33" t="s">
        <v>4979</v>
      </c>
      <c r="N2090" s="30">
        <v>46211</v>
      </c>
      <c r="O2090" s="33" t="s">
        <v>4980</v>
      </c>
      <c r="P2090" s="33" t="s">
        <v>4973</v>
      </c>
      <c r="Q2090" s="30" t="str" cm="1">
        <f t="array" ref="Q2090">_xlfn.IFS(
A2090="","",
AND(A2090&lt;&gt;"",B2090=""),"FALTA LANÇAMENTO",
AND(B2090&lt;&gt;"",M2090=""),"FALTA O PEDIDO",
AND(M2090&lt;&gt;"",O2090=""),"FALTA NF",
O2090&lt;&gt;"","CONCLUÍDO")</f>
        <v>CONCLUÍDO</v>
      </c>
      <c r="R2090" s="33"/>
    </row>
    <row r="2091" spans="1:18" hidden="1">
      <c r="A2091" s="30">
        <v>46205</v>
      </c>
      <c r="B2091" s="30">
        <v>46216</v>
      </c>
      <c r="C2091" s="31">
        <v>61521049</v>
      </c>
      <c r="D2091" s="30" t="str">
        <f>IFERROR(VLOOKUP(Tabela5[[#This Row],[PREFIXO ]],Tabela4[#All],2,0),"CENTRO DE CUSTO")</f>
        <v>PA CARREGADEIRA JOHN DEERE 524 K II</v>
      </c>
      <c r="E2091" s="33" t="s">
        <v>96</v>
      </c>
      <c r="F2091" s="31" t="s">
        <v>4981</v>
      </c>
      <c r="G2091" s="32">
        <v>300</v>
      </c>
      <c r="H2091" s="32">
        <v>1293.1199999999999</v>
      </c>
      <c r="I2091" s="32">
        <f t="shared" si="33"/>
        <v>1593.12</v>
      </c>
      <c r="J2091" s="33" t="s">
        <v>1080</v>
      </c>
      <c r="K2091" s="33" t="s">
        <v>4982</v>
      </c>
      <c r="L2091" s="33" t="s">
        <v>4983</v>
      </c>
      <c r="M2091" s="33"/>
      <c r="N2091" s="30"/>
      <c r="O2091" s="33"/>
      <c r="P2091" s="33"/>
      <c r="Q2091" s="30" t="str" cm="1">
        <f t="array" ref="Q2091">_xlfn.IFS(
A2091="","",
AND(A2091&lt;&gt;"",B2091=""),"FALTA LANÇAMENTO",
AND(B2091&lt;&gt;"",M2091=""),"FALTA O PEDIDO",
AND(M2091&lt;&gt;"",O2091=""),"FALTA NF",
O2091&lt;&gt;"","CONCLUÍDO")</f>
        <v>FALTA O PEDIDO</v>
      </c>
      <c r="R2091" s="33"/>
    </row>
    <row r="2092" spans="1:18" hidden="1">
      <c r="A2092" s="30">
        <v>46205</v>
      </c>
      <c r="B2092" s="30">
        <v>46216</v>
      </c>
      <c r="C2092" s="31">
        <v>15110008</v>
      </c>
      <c r="D2092" s="30" t="str">
        <f>IFERROR(VLOOKUP(Tabela5[[#This Row],[PREFIXO ]],Tabela4[#All],2,0),"CENTRO DE CUSTO")</f>
        <v>DISTRIB CORRET STARA BRUTTUS 25000</v>
      </c>
      <c r="E2092" s="33" t="s">
        <v>81</v>
      </c>
      <c r="F2092" s="31">
        <v>21179</v>
      </c>
      <c r="G2092" s="32">
        <v>650</v>
      </c>
      <c r="H2092" s="32">
        <v>347.13</v>
      </c>
      <c r="I2092" s="32">
        <f t="shared" si="33"/>
        <v>997.13</v>
      </c>
      <c r="J2092" s="33" t="s">
        <v>2901</v>
      </c>
      <c r="K2092" s="33" t="s">
        <v>4984</v>
      </c>
      <c r="L2092" s="33" t="s">
        <v>4985</v>
      </c>
      <c r="M2092" s="33" t="s">
        <v>4986</v>
      </c>
      <c r="N2092" s="39">
        <v>46216</v>
      </c>
      <c r="O2092" s="33"/>
      <c r="P2092" s="33"/>
      <c r="Q2092" s="30" t="str" cm="1">
        <f t="array" ref="Q2092">_xlfn.IFS(
A2092="","",
AND(A2092&lt;&gt;"",B2092=""),"FALTA LANÇAMENTO",
AND(B2092&lt;&gt;"",M2092=""),"FALTA O PEDIDO",
AND(M2092&lt;&gt;"",O2092=""),"FALTA NF",
O2092&lt;&gt;"","CONCLUÍDO")</f>
        <v>FALTA NF</v>
      </c>
      <c r="R2092" s="33"/>
    </row>
    <row r="2093" spans="1:18" hidden="1">
      <c r="A2093" s="30">
        <v>46205</v>
      </c>
      <c r="B2093" s="30">
        <v>46218</v>
      </c>
      <c r="C2093" s="31">
        <v>61521090</v>
      </c>
      <c r="D2093" s="30" t="str">
        <f>IFERROR(VLOOKUP(Tabela5[[#This Row],[PREFIXO ]],Tabela4[#All],2,0),"CENTRO DE CUSTO")</f>
        <v>PA CARREGADEIRA JOHN DEERE 524 K II</v>
      </c>
      <c r="E2093" s="33" t="s">
        <v>11</v>
      </c>
      <c r="F2093" s="31">
        <v>446</v>
      </c>
      <c r="G2093" s="32">
        <v>34390</v>
      </c>
      <c r="H2093" s="32">
        <v>2480.88</v>
      </c>
      <c r="I2093" s="32">
        <f t="shared" si="33"/>
        <v>36870.879999999997</v>
      </c>
      <c r="J2093" s="18" t="s">
        <v>1080</v>
      </c>
      <c r="K2093" s="33" t="s">
        <v>4987</v>
      </c>
      <c r="L2093" s="33" t="s">
        <v>4988</v>
      </c>
      <c r="M2093" s="33"/>
      <c r="N2093" s="30"/>
      <c r="O2093" s="33"/>
      <c r="P2093" s="33"/>
      <c r="Q2093" s="30" t="str" cm="1">
        <f t="array" ref="Q2093">_xlfn.IFS(
A2093="","",
AND(A2093&lt;&gt;"",B2093=""),"FALTA LANÇAMENTO",
AND(B2093&lt;&gt;"",M2093=""),"FALTA O PEDIDO",
AND(M2093&lt;&gt;"",O2093=""),"FALTA NF",
O2093&lt;&gt;"","CONCLUÍDO")</f>
        <v>FALTA O PEDIDO</v>
      </c>
      <c r="R2093" s="33"/>
    </row>
    <row r="2094" spans="1:18" hidden="1">
      <c r="A2094" s="30">
        <v>46206</v>
      </c>
      <c r="B2094" s="30">
        <v>46210</v>
      </c>
      <c r="C2094" s="31">
        <v>11521031</v>
      </c>
      <c r="D2094" s="30" t="str">
        <f>IFERROR(VLOOKUP(Tabela5[[#This Row],[PREFIXO ]],Tabela4[#All],2,0),"CENTRO DE CUSTO")</f>
        <v>TRAT PN EXT PES FENDT 1046 VARIO</v>
      </c>
      <c r="E2094" s="33" t="s">
        <v>259</v>
      </c>
      <c r="F2094" s="31">
        <v>63319847</v>
      </c>
      <c r="G2094" s="32">
        <v>49.28</v>
      </c>
      <c r="H2094" s="32">
        <v>4897.54</v>
      </c>
      <c r="I2094" s="32">
        <f t="shared" si="33"/>
        <v>4946.82</v>
      </c>
      <c r="J2094" s="33" t="s">
        <v>1199</v>
      </c>
      <c r="K2094" s="33" t="s">
        <v>4989</v>
      </c>
      <c r="L2094" s="33" t="s">
        <v>4990</v>
      </c>
      <c r="M2094" s="33" t="s">
        <v>4991</v>
      </c>
      <c r="N2094" s="30">
        <v>46210</v>
      </c>
      <c r="O2094" s="33" t="s">
        <v>4992</v>
      </c>
      <c r="P2094" s="33" t="s">
        <v>4908</v>
      </c>
      <c r="Q2094" s="30" t="str" cm="1">
        <f t="array" ref="Q2094">_xlfn.IFS(
A2094="","",
AND(A2094&lt;&gt;"",B2094=""),"FALTA LANÇAMENTO",
AND(B2094&lt;&gt;"",M2094=""),"FALTA O PEDIDO",
AND(M2094&lt;&gt;"",O2094=""),"FALTA NF",
O2094&lt;&gt;"","CONCLUÍDO")</f>
        <v>CONCLUÍDO</v>
      </c>
      <c r="R2094" s="33"/>
    </row>
    <row r="2095" spans="1:18" hidden="1">
      <c r="A2095" s="30">
        <v>46206</v>
      </c>
      <c r="B2095" s="30">
        <v>46210</v>
      </c>
      <c r="C2095" s="31">
        <v>45010002</v>
      </c>
      <c r="D2095" s="30" t="str">
        <f>IFERROR(VLOOKUP(Tabela5[[#This Row],[PREFIXO ]],Tabela4[#All],2,0),"CENTRO DE CUSTO")</f>
        <v>CENTRO DE CUSTO</v>
      </c>
      <c r="E2095" s="33" t="s">
        <v>324</v>
      </c>
      <c r="F2095" s="31">
        <v>233</v>
      </c>
      <c r="G2095" s="32">
        <v>3800</v>
      </c>
      <c r="H2095" s="32"/>
      <c r="I2095" s="32">
        <f t="shared" si="33"/>
        <v>3800</v>
      </c>
      <c r="J2095" s="33" t="s">
        <v>1085</v>
      </c>
      <c r="K2095" s="33" t="s">
        <v>4993</v>
      </c>
      <c r="L2095" s="33" t="s">
        <v>4994</v>
      </c>
      <c r="M2095" s="33" t="s">
        <v>4995</v>
      </c>
      <c r="N2095" s="30">
        <v>46211</v>
      </c>
      <c r="O2095" s="33"/>
      <c r="P2095" s="33"/>
      <c r="Q2095" s="30" t="str" cm="1">
        <f t="array" ref="Q2095">_xlfn.IFS(
A2095="","",
AND(A2095&lt;&gt;"",B2095=""),"FALTA LANÇAMENTO",
AND(B2095&lt;&gt;"",M2095=""),"FALTA O PEDIDO",
AND(M2095&lt;&gt;"",O2095=""),"FALTA NF",
O2095&lt;&gt;"","CONCLUÍDO")</f>
        <v>FALTA NF</v>
      </c>
      <c r="R2095" s="33"/>
    </row>
    <row r="2096" spans="1:18" hidden="1">
      <c r="A2096" s="30">
        <v>46206</v>
      </c>
      <c r="B2096" s="30">
        <v>46211</v>
      </c>
      <c r="C2096" s="31">
        <v>45190002</v>
      </c>
      <c r="D2096" s="30" t="str">
        <f>IFERROR(VLOOKUP(Tabela5[[#This Row],[PREFIXO ]],Tabela4[#All],2,0),"CENTRO DE CUSTO")</f>
        <v>SUBSOLADOR HORSCH EVO TL 9.45</v>
      </c>
      <c r="E2096" s="33" t="s">
        <v>67</v>
      </c>
      <c r="F2096" s="31">
        <v>205</v>
      </c>
      <c r="G2096" s="32">
        <v>1800</v>
      </c>
      <c r="H2096" s="32"/>
      <c r="I2096" s="32">
        <f t="shared" si="33"/>
        <v>1800</v>
      </c>
      <c r="J2096" s="33" t="s">
        <v>1085</v>
      </c>
      <c r="K2096" s="33" t="s">
        <v>4996</v>
      </c>
      <c r="L2096" s="33" t="s">
        <v>4997</v>
      </c>
      <c r="M2096" s="33" t="s">
        <v>4998</v>
      </c>
      <c r="N2096" s="30">
        <v>46211</v>
      </c>
      <c r="O2096" s="33" t="s">
        <v>3239</v>
      </c>
      <c r="P2096" s="33" t="s">
        <v>4973</v>
      </c>
      <c r="Q2096" s="30" t="str" cm="1">
        <f t="array" ref="Q2096">_xlfn.IFS(
A2096="","",
AND(A2096&lt;&gt;"",B2096=""),"FALTA LANÇAMENTO",
AND(B2096&lt;&gt;"",M2096=""),"FALTA O PEDIDO",
AND(M2096&lt;&gt;"",O2096=""),"FALTA NF",
O2096&lt;&gt;"","CONCLUÍDO")</f>
        <v>CONCLUÍDO</v>
      </c>
      <c r="R2096" s="33"/>
    </row>
    <row r="2097" spans="1:18" hidden="1">
      <c r="A2097" s="30">
        <v>46206</v>
      </c>
      <c r="B2097" s="30">
        <v>46213</v>
      </c>
      <c r="C2097" s="31">
        <v>41521066</v>
      </c>
      <c r="D2097" s="30" t="str">
        <f>IFERROR(VLOOKUP(Tabela5[[#This Row],[PREFIXO ]],Tabela4[#All],2,0),"CENTRO DE CUSTO")</f>
        <v>MICROONIBUS SPRINTER 417 CDI K42B</v>
      </c>
      <c r="E2097" s="33" t="s">
        <v>129</v>
      </c>
      <c r="F2097" s="31">
        <v>269</v>
      </c>
      <c r="G2097" s="32">
        <v>50</v>
      </c>
      <c r="H2097" s="32">
        <v>1900</v>
      </c>
      <c r="I2097" s="32">
        <f t="shared" si="33"/>
        <v>1950</v>
      </c>
      <c r="J2097" s="33" t="s">
        <v>1085</v>
      </c>
      <c r="K2097" s="33" t="s">
        <v>4999</v>
      </c>
      <c r="L2097" s="33" t="s">
        <v>5000</v>
      </c>
      <c r="M2097" s="33" t="s">
        <v>5001</v>
      </c>
      <c r="N2097" s="30">
        <v>46213</v>
      </c>
      <c r="O2097" s="33"/>
      <c r="P2097" s="33"/>
      <c r="Q2097" s="30" t="str" cm="1">
        <f t="array" ref="Q2097">_xlfn.IFS(
A2097="","",
AND(A2097&lt;&gt;"",B2097=""),"FALTA LANÇAMENTO",
AND(B2097&lt;&gt;"",M2097=""),"FALTA O PEDIDO",
AND(M2097&lt;&gt;"",O2097=""),"FALTA NF",
O2097&lt;&gt;"","CONCLUÍDO")</f>
        <v>FALTA NF</v>
      </c>
      <c r="R2097" s="33"/>
    </row>
    <row r="2098" spans="1:18" hidden="1">
      <c r="A2098" s="30">
        <v>46206</v>
      </c>
      <c r="B2098" s="30">
        <v>46211</v>
      </c>
      <c r="C2098" s="31">
        <v>13130036</v>
      </c>
      <c r="D2098" s="30" t="str">
        <f>IFERROR(VLOOKUP(Tabela5[[#This Row],[PREFIXO ]],Tabela4[#All],2,0),"CENTRO DE CUSTO")</f>
        <v>PULV AUTOPROP JOHN DEERE M4030</v>
      </c>
      <c r="E2098" s="33" t="s">
        <v>67</v>
      </c>
      <c r="F2098" s="31">
        <v>203</v>
      </c>
      <c r="G2098" s="32">
        <v>4000</v>
      </c>
      <c r="H2098" s="32"/>
      <c r="I2098" s="32">
        <f t="shared" si="33"/>
        <v>4000</v>
      </c>
      <c r="J2098" s="33" t="s">
        <v>1085</v>
      </c>
      <c r="K2098" s="33" t="s">
        <v>5002</v>
      </c>
      <c r="L2098" s="33" t="s">
        <v>4997</v>
      </c>
      <c r="M2098" s="33" t="s">
        <v>4998</v>
      </c>
      <c r="N2098" s="30">
        <v>46211</v>
      </c>
      <c r="O2098" s="33" t="s">
        <v>3239</v>
      </c>
      <c r="P2098" s="33" t="s">
        <v>4973</v>
      </c>
      <c r="Q2098" s="30" t="str" cm="1">
        <f t="array" ref="Q2098">_xlfn.IFS(
A2098="","",
AND(A2098&lt;&gt;"",B2098=""),"FALTA LANÇAMENTO",
AND(B2098&lt;&gt;"",M2098=""),"FALTA O PEDIDO",
AND(M2098&lt;&gt;"",O2098=""),"FALTA NF",
O2098&lt;&gt;"","CONCLUÍDO")</f>
        <v>CONCLUÍDO</v>
      </c>
      <c r="R2098" s="33"/>
    </row>
    <row r="2099" spans="1:18" hidden="1">
      <c r="A2099" s="30">
        <v>46206</v>
      </c>
      <c r="B2099" s="30">
        <v>46216</v>
      </c>
      <c r="C2099" s="31">
        <v>61521079</v>
      </c>
      <c r="D2099" s="30" t="str">
        <f>IFERROR(VLOOKUP(Tabela5[[#This Row],[PREFIXO ]],Tabela4[#All],2,0),"CENTRO DE CUSTO")</f>
        <v>CAM PIPA BOMB VOLVO VM 330</v>
      </c>
      <c r="E2099" s="33" t="s">
        <v>24</v>
      </c>
      <c r="F2099" s="31" t="s">
        <v>5003</v>
      </c>
      <c r="G2099" s="32">
        <v>792</v>
      </c>
      <c r="H2099" s="32">
        <v>4285.8</v>
      </c>
      <c r="I2099" s="32">
        <f t="shared" si="33"/>
        <v>5077.8</v>
      </c>
      <c r="J2099" s="33" t="s">
        <v>1085</v>
      </c>
      <c r="K2099" s="33" t="s">
        <v>5004</v>
      </c>
      <c r="L2099" s="33" t="s">
        <v>5005</v>
      </c>
      <c r="M2099" s="33"/>
      <c r="N2099" s="30"/>
      <c r="O2099" s="33"/>
      <c r="P2099" s="33"/>
      <c r="Q2099" s="30" t="str" cm="1">
        <f t="array" ref="Q2099">_xlfn.IFS(
A2099="","",
AND(A2099&lt;&gt;"",B2099=""),"FALTA LANÇAMENTO",
AND(B2099&lt;&gt;"",M2099=""),"FALTA O PEDIDO",
AND(M2099&lt;&gt;"",O2099=""),"FALTA NF",
O2099&lt;&gt;"","CONCLUÍDO")</f>
        <v>FALTA O PEDIDO</v>
      </c>
      <c r="R2099" s="33"/>
    </row>
    <row r="2100" spans="1:18" hidden="1">
      <c r="A2100" s="30">
        <v>46206</v>
      </c>
      <c r="B2100" s="30">
        <v>46211</v>
      </c>
      <c r="C2100" s="31">
        <v>13130033</v>
      </c>
      <c r="D2100" s="30" t="str">
        <f>IFERROR(VLOOKUP(Tabela5[[#This Row],[PREFIXO ]],Tabela4[#All],2,0),"CENTRO DE CUSTO")</f>
        <v>PULV AUTOPROP JOHN DEERE M4030</v>
      </c>
      <c r="E2100" s="33" t="s">
        <v>67</v>
      </c>
      <c r="F2100" s="31">
        <v>210</v>
      </c>
      <c r="G2100" s="32">
        <v>750</v>
      </c>
      <c r="H2100" s="32"/>
      <c r="I2100" s="32">
        <f t="shared" si="33"/>
        <v>750</v>
      </c>
      <c r="J2100" s="33" t="s">
        <v>1085</v>
      </c>
      <c r="K2100" s="33" t="s">
        <v>5006</v>
      </c>
      <c r="L2100" s="33" t="s">
        <v>4997</v>
      </c>
      <c r="M2100" s="33" t="s">
        <v>4998</v>
      </c>
      <c r="N2100" s="30">
        <v>46211</v>
      </c>
      <c r="O2100" s="33" t="s">
        <v>3239</v>
      </c>
      <c r="P2100" s="33" t="s">
        <v>4973</v>
      </c>
      <c r="Q2100" s="30" t="str" cm="1">
        <f t="array" ref="Q2100">_xlfn.IFS(
A2100="","",
AND(A2100&lt;&gt;"",B2100=""),"FALTA LANÇAMENTO",
AND(B2100&lt;&gt;"",M2100=""),"FALTA O PEDIDO",
AND(M2100&lt;&gt;"",O2100=""),"FALTA NF",
O2100&lt;&gt;"","CONCLUÍDO")</f>
        <v>CONCLUÍDO</v>
      </c>
      <c r="R2100" s="33"/>
    </row>
    <row r="2101" spans="1:18" hidden="1">
      <c r="A2101" s="30">
        <v>46206</v>
      </c>
      <c r="B2101" s="30">
        <v>46211</v>
      </c>
      <c r="C2101" s="31">
        <v>13130046</v>
      </c>
      <c r="D2101" s="30" t="str">
        <f>IFERROR(VLOOKUP(Tabela5[[#This Row],[PREFIXO ]],Tabela4[#All],2,0),"CENTRO DE CUSTO")</f>
        <v>PULV AUTOPROP JOHN DEERE M4030</v>
      </c>
      <c r="E2101" s="33" t="s">
        <v>67</v>
      </c>
      <c r="F2101" s="31">
        <v>207</v>
      </c>
      <c r="G2101" s="32">
        <v>750</v>
      </c>
      <c r="H2101" s="32"/>
      <c r="I2101" s="32">
        <f t="shared" si="33"/>
        <v>750</v>
      </c>
      <c r="J2101" s="33" t="s">
        <v>1085</v>
      </c>
      <c r="K2101" s="33" t="s">
        <v>5007</v>
      </c>
      <c r="L2101" s="33" t="s">
        <v>4997</v>
      </c>
      <c r="M2101" s="33" t="s">
        <v>4998</v>
      </c>
      <c r="N2101" s="30">
        <v>46211</v>
      </c>
      <c r="O2101" s="33" t="s">
        <v>3239</v>
      </c>
      <c r="P2101" s="33" t="s">
        <v>4973</v>
      </c>
      <c r="Q2101" s="30" t="str" cm="1">
        <f t="array" ref="Q2101">_xlfn.IFS(
A2101="","",
AND(A2101&lt;&gt;"",B2101=""),"FALTA LANÇAMENTO",
AND(B2101&lt;&gt;"",M2101=""),"FALTA O PEDIDO",
AND(M2101&lt;&gt;"",O2101=""),"FALTA NF",
O2101&lt;&gt;"","CONCLUÍDO")</f>
        <v>CONCLUÍDO</v>
      </c>
      <c r="R2101" s="33"/>
    </row>
    <row r="2102" spans="1:18" hidden="1">
      <c r="A2102" s="30">
        <v>46206</v>
      </c>
      <c r="B2102" s="30">
        <v>46220</v>
      </c>
      <c r="C2102" s="31">
        <v>81521205</v>
      </c>
      <c r="D2102" s="30" t="str">
        <f>IFERROR(VLOOKUP(Tabela5[[#This Row],[PREFIXO ]],Tabela4[#All],2,0),"CENTRO DE CUSTO")</f>
        <v>SEMI REBOQUE PRANCHA FACCHINI SRCT 4E</v>
      </c>
      <c r="E2102" s="33" t="s">
        <v>24</v>
      </c>
      <c r="F2102" s="31" t="s">
        <v>5008</v>
      </c>
      <c r="G2102" s="32">
        <v>217.8</v>
      </c>
      <c r="H2102" s="32">
        <v>154.80000000000001</v>
      </c>
      <c r="I2102" s="32">
        <f t="shared" si="33"/>
        <v>372.6</v>
      </c>
      <c r="J2102" s="33" t="s">
        <v>1085</v>
      </c>
      <c r="K2102" s="33" t="s">
        <v>5009</v>
      </c>
      <c r="L2102" s="33" t="s">
        <v>5010</v>
      </c>
      <c r="M2102" s="33"/>
      <c r="N2102" s="30"/>
      <c r="O2102" s="33"/>
      <c r="P2102" s="33"/>
      <c r="Q2102" s="30" t="str" cm="1">
        <f t="array" ref="Q2102">_xlfn.IFS(
A2102="","",
AND(A2102&lt;&gt;"",B2102=""),"FALTA LANÇAMENTO",
AND(B2102&lt;&gt;"",M2102=""),"FALTA O PEDIDO",
AND(M2102&lt;&gt;"",O2102=""),"FALTA NF",
O2102&lt;&gt;"","CONCLUÍDO")</f>
        <v>FALTA O PEDIDO</v>
      </c>
      <c r="R2102" s="33"/>
    </row>
    <row r="2103" spans="1:18" hidden="1">
      <c r="A2103" s="30">
        <v>46206</v>
      </c>
      <c r="B2103" s="30">
        <v>46216</v>
      </c>
      <c r="C2103" s="31">
        <v>61521107</v>
      </c>
      <c r="D2103" s="30" t="str">
        <f>IFERROR(VLOOKUP(Tabela5[[#This Row],[PREFIXO ]],Tabela4[#All],2,0),"CENTRO DE CUSTO")</f>
        <v>CAMINHAO COMBOIO MB AXOR 3131</v>
      </c>
      <c r="E2103" s="33" t="s">
        <v>250</v>
      </c>
      <c r="F2103" s="31">
        <v>40936</v>
      </c>
      <c r="G2103" s="32">
        <v>800</v>
      </c>
      <c r="H2103" s="32">
        <v>806.01</v>
      </c>
      <c r="I2103" s="32">
        <f t="shared" si="33"/>
        <v>1606.01</v>
      </c>
      <c r="J2103" s="33" t="s">
        <v>1085</v>
      </c>
      <c r="K2103" s="33" t="s">
        <v>5011</v>
      </c>
      <c r="L2103" s="33" t="s">
        <v>5012</v>
      </c>
      <c r="M2103" s="33"/>
      <c r="N2103" s="30"/>
      <c r="O2103" s="33"/>
      <c r="P2103" s="33"/>
      <c r="Q2103" s="30" t="str" cm="1">
        <f t="array" ref="Q2103">_xlfn.IFS(
A2103="","",
AND(A2103&lt;&gt;"",B2103=""),"FALTA LANÇAMENTO",
AND(B2103&lt;&gt;"",M2103=""),"FALTA O PEDIDO",
AND(M2103&lt;&gt;"",O2103=""),"FALTA NF",
O2103&lt;&gt;"","CONCLUÍDO")</f>
        <v>FALTA O PEDIDO</v>
      </c>
      <c r="R2103" s="33"/>
    </row>
    <row r="2104" spans="1:18" hidden="1">
      <c r="A2104" s="30">
        <v>46206</v>
      </c>
      <c r="B2104" s="30">
        <v>46211</v>
      </c>
      <c r="C2104" s="31">
        <v>11521023</v>
      </c>
      <c r="D2104" s="30" t="str">
        <f>IFERROR(VLOOKUP(Tabela5[[#This Row],[PREFIXO ]],Tabela4[#All],2,0),"CENTRO DE CUSTO")</f>
        <v>TRAT PN MED CASE PUMA 140</v>
      </c>
      <c r="E2104" s="33" t="s">
        <v>67</v>
      </c>
      <c r="F2104" s="31">
        <v>209</v>
      </c>
      <c r="G2104" s="32">
        <v>1350</v>
      </c>
      <c r="H2104" s="32"/>
      <c r="I2104" s="32">
        <f t="shared" si="33"/>
        <v>1350</v>
      </c>
      <c r="J2104" s="33" t="s">
        <v>1085</v>
      </c>
      <c r="K2104" s="33" t="s">
        <v>5013</v>
      </c>
      <c r="L2104" s="33" t="s">
        <v>5014</v>
      </c>
      <c r="M2104" s="33" t="s">
        <v>5015</v>
      </c>
      <c r="N2104" s="30">
        <v>46211</v>
      </c>
      <c r="O2104" s="33" t="s">
        <v>2418</v>
      </c>
      <c r="P2104" s="33" t="s">
        <v>4973</v>
      </c>
      <c r="Q2104" s="30" t="str" cm="1">
        <f t="array" ref="Q2104">_xlfn.IFS(
A2104="","",
AND(A2104&lt;&gt;"",B2104=""),"FALTA LANÇAMENTO",
AND(B2104&lt;&gt;"",M2104=""),"FALTA O PEDIDO",
AND(M2104&lt;&gt;"",O2104=""),"FALTA NF",
O2104&lt;&gt;"","CONCLUÍDO")</f>
        <v>CONCLUÍDO</v>
      </c>
      <c r="R2104" s="33"/>
    </row>
    <row r="2105" spans="1:18" hidden="1">
      <c r="A2105" s="30">
        <v>46206</v>
      </c>
      <c r="B2105" s="30">
        <v>46211</v>
      </c>
      <c r="C2105" s="31">
        <v>13130036</v>
      </c>
      <c r="D2105" s="30" t="str">
        <f>IFERROR(VLOOKUP(Tabela5[[#This Row],[PREFIXO ]],Tabela4[#All],2,0),"CENTRO DE CUSTO")</f>
        <v>PULV AUTOPROP JOHN DEERE M4030</v>
      </c>
      <c r="E2105" s="33" t="s">
        <v>67</v>
      </c>
      <c r="F2105" s="31">
        <v>204</v>
      </c>
      <c r="G2105" s="32">
        <v>3600</v>
      </c>
      <c r="H2105" s="32"/>
      <c r="I2105" s="32">
        <f t="shared" si="33"/>
        <v>3600</v>
      </c>
      <c r="J2105" s="33" t="s">
        <v>1085</v>
      </c>
      <c r="K2105" s="33" t="s">
        <v>5016</v>
      </c>
      <c r="L2105" s="33" t="s">
        <v>5014</v>
      </c>
      <c r="M2105" s="33" t="s">
        <v>5015</v>
      </c>
      <c r="N2105" s="30">
        <v>46211</v>
      </c>
      <c r="O2105" s="33" t="s">
        <v>2418</v>
      </c>
      <c r="P2105" s="33" t="s">
        <v>4973</v>
      </c>
      <c r="Q2105" s="30" t="str" cm="1">
        <f t="array" ref="Q2105">_xlfn.IFS(
A2105="","",
AND(A2105&lt;&gt;"",B2105=""),"FALTA LANÇAMENTO",
AND(B2105&lt;&gt;"",M2105=""),"FALTA O PEDIDO",
AND(M2105&lt;&gt;"",O2105=""),"FALTA NF",
O2105&lt;&gt;"","CONCLUÍDO")</f>
        <v>CONCLUÍDO</v>
      </c>
      <c r="R2105" s="33"/>
    </row>
    <row r="2106" spans="1:18" hidden="1">
      <c r="A2106" s="30">
        <v>46206</v>
      </c>
      <c r="B2106" s="30">
        <v>46211</v>
      </c>
      <c r="C2106" s="31">
        <v>6173008</v>
      </c>
      <c r="D2106" s="30" t="str">
        <f>IFERROR(VLOOKUP(Tabela5[[#This Row],[PREFIXO ]],Tabela4[#All],2,0),"CENTRO DE CUSTO")</f>
        <v>CAM MUNCK MERC BENZ MB 1513</v>
      </c>
      <c r="E2106" s="33" t="s">
        <v>67</v>
      </c>
      <c r="F2106" s="31">
        <v>206</v>
      </c>
      <c r="G2106" s="32">
        <v>1575</v>
      </c>
      <c r="H2106" s="32"/>
      <c r="I2106" s="32">
        <f t="shared" si="33"/>
        <v>1575</v>
      </c>
      <c r="J2106" s="33" t="s">
        <v>1085</v>
      </c>
      <c r="K2106" s="33" t="s">
        <v>5017</v>
      </c>
      <c r="L2106" s="33" t="s">
        <v>5014</v>
      </c>
      <c r="M2106" s="33" t="s">
        <v>5015</v>
      </c>
      <c r="N2106" s="30">
        <v>46211</v>
      </c>
      <c r="O2106" s="33" t="s">
        <v>2418</v>
      </c>
      <c r="P2106" s="33" t="s">
        <v>4973</v>
      </c>
      <c r="Q2106" s="30" t="str" cm="1">
        <f t="array" ref="Q2106">_xlfn.IFS(
A2106="","",
AND(A2106&lt;&gt;"",B2106=""),"FALTA LANÇAMENTO",
AND(B2106&lt;&gt;"",M2106=""),"FALTA O PEDIDO",
AND(M2106&lt;&gt;"",O2106=""),"FALTA NF",
O2106&lt;&gt;"","CONCLUÍDO")</f>
        <v>CONCLUÍDO</v>
      </c>
      <c r="R2106" s="33"/>
    </row>
    <row r="2107" spans="1:18" hidden="1">
      <c r="A2107" s="30">
        <v>46206</v>
      </c>
      <c r="B2107" s="30">
        <v>46220</v>
      </c>
      <c r="C2107" s="31" t="s">
        <v>5018</v>
      </c>
      <c r="D2107" s="30" t="str">
        <f>IFERROR(VLOOKUP(Tabela5[[#This Row],[PREFIXO ]],Tabela4[#All],2,0),"CENTRO DE CUSTO")</f>
        <v>CENTRO DE CUSTO</v>
      </c>
      <c r="E2107" s="33" t="s">
        <v>66</v>
      </c>
      <c r="F2107" s="31">
        <v>10054</v>
      </c>
      <c r="G2107" s="32">
        <v>52500</v>
      </c>
      <c r="H2107" s="32"/>
      <c r="I2107" s="32">
        <f t="shared" si="33"/>
        <v>52500</v>
      </c>
      <c r="J2107" s="33" t="s">
        <v>1080</v>
      </c>
      <c r="K2107" s="33" t="s">
        <v>5019</v>
      </c>
      <c r="L2107" s="33" t="s">
        <v>4899</v>
      </c>
      <c r="M2107" s="33"/>
      <c r="N2107" s="30"/>
      <c r="O2107" s="33"/>
      <c r="P2107" s="33"/>
      <c r="Q2107" s="30" t="str" cm="1">
        <f t="array" ref="Q2107">_xlfn.IFS(
A2107="","",
AND(A2107&lt;&gt;"",B2107=""),"FALTA LANÇAMENTO",
AND(B2107&lt;&gt;"",M2107=""),"FALTA O PEDIDO",
AND(M2107&lt;&gt;"",O2107=""),"FALTA NF",
O2107&lt;&gt;"","CONCLUÍDO")</f>
        <v>FALTA O PEDIDO</v>
      </c>
      <c r="R2107" s="33"/>
    </row>
    <row r="2108" spans="1:18" hidden="1">
      <c r="A2108" s="30">
        <v>46206</v>
      </c>
      <c r="B2108" s="30">
        <v>46211</v>
      </c>
      <c r="C2108" s="31">
        <v>23180066</v>
      </c>
      <c r="D2108" s="30" t="str">
        <f>IFERROR(VLOOKUP(Tabela5[[#This Row],[PREFIXO ]],Tabela4[#All],2,0),"CENTRO DE CUSTO")</f>
        <v>CENTRO DE CUSTO</v>
      </c>
      <c r="E2108" s="33" t="s">
        <v>62</v>
      </c>
      <c r="F2108" s="31">
        <v>1112</v>
      </c>
      <c r="G2108" s="32">
        <v>430</v>
      </c>
      <c r="H2108" s="32"/>
      <c r="I2108" s="32">
        <f t="shared" ref="I2108:I2171" si="34">G2108+H2108</f>
        <v>430</v>
      </c>
      <c r="J2108" s="33" t="s">
        <v>1123</v>
      </c>
      <c r="K2108" s="33" t="s">
        <v>5020</v>
      </c>
      <c r="L2108" s="33" t="s">
        <v>5021</v>
      </c>
      <c r="M2108" s="33" t="s">
        <v>5022</v>
      </c>
      <c r="N2108" s="30">
        <v>46213</v>
      </c>
      <c r="O2108" s="33"/>
      <c r="P2108" s="33"/>
      <c r="Q2108" s="30" t="str" cm="1">
        <f t="array" ref="Q2108">_xlfn.IFS(
A2108="","",
AND(A2108&lt;&gt;"",B2108=""),"FALTA LANÇAMENTO",
AND(B2108&lt;&gt;"",M2108=""),"FALTA O PEDIDO",
AND(M2108&lt;&gt;"",O2108=""),"FALTA NF",
O2108&lt;&gt;"","CONCLUÍDO")</f>
        <v>FALTA NF</v>
      </c>
      <c r="R2108" s="33"/>
    </row>
    <row r="2109" spans="1:18" hidden="1">
      <c r="A2109" s="30">
        <v>46206</v>
      </c>
      <c r="B2109" s="30">
        <v>46212</v>
      </c>
      <c r="C2109" s="31">
        <v>51519062</v>
      </c>
      <c r="D2109" s="30" t="str">
        <f>IFERROR(VLOOKUP(Tabela5[[#This Row],[PREFIXO ]],Tabela4[#All],2,0),"CENTRO DE CUSTO")</f>
        <v>CENTRO DE CUSTO</v>
      </c>
      <c r="E2109" s="33" t="s">
        <v>17</v>
      </c>
      <c r="F2109" s="31">
        <v>44871</v>
      </c>
      <c r="G2109" s="32">
        <v>2740.5</v>
      </c>
      <c r="H2109" s="32">
        <v>8114.91</v>
      </c>
      <c r="I2109" s="32">
        <f t="shared" si="34"/>
        <v>10855.41</v>
      </c>
      <c r="J2109" s="33" t="s">
        <v>1123</v>
      </c>
      <c r="K2109" s="33" t="s">
        <v>5023</v>
      </c>
      <c r="L2109" s="33" t="s">
        <v>5024</v>
      </c>
      <c r="M2109" s="33" t="s">
        <v>5025</v>
      </c>
      <c r="N2109" s="30">
        <v>46213</v>
      </c>
      <c r="O2109" s="33"/>
      <c r="P2109" s="33"/>
      <c r="Q2109" s="30" t="str" cm="1">
        <f t="array" ref="Q2109">_xlfn.IFS(
A2109="","",
AND(A2109&lt;&gt;"",B2109=""),"FALTA LANÇAMENTO",
AND(B2109&lt;&gt;"",M2109=""),"FALTA O PEDIDO",
AND(M2109&lt;&gt;"",O2109=""),"FALTA NF",
O2109&lt;&gt;"","CONCLUÍDO")</f>
        <v>FALTA NF</v>
      </c>
      <c r="R2109" s="33"/>
    </row>
    <row r="2110" spans="1:18" hidden="1">
      <c r="A2110" s="30">
        <v>46206</v>
      </c>
      <c r="B2110" s="30">
        <v>46216</v>
      </c>
      <c r="C2110" s="31">
        <v>51521052</v>
      </c>
      <c r="D2110" s="30" t="str">
        <f>IFERROR(VLOOKUP(Tabela5[[#This Row],[PREFIXO ]],Tabela4[#All],2,0),"CENTRO DE CUSTO")</f>
        <v>COLHED ALGODÃO JOHN DEERE CP 690</v>
      </c>
      <c r="E2110" s="33" t="s">
        <v>17</v>
      </c>
      <c r="F2110" s="31">
        <v>44437</v>
      </c>
      <c r="G2110" s="32">
        <v>4655.37</v>
      </c>
      <c r="H2110" s="32">
        <v>51896.85</v>
      </c>
      <c r="I2110" s="32">
        <f t="shared" si="34"/>
        <v>56552.22</v>
      </c>
      <c r="J2110" s="33" t="s">
        <v>1123</v>
      </c>
      <c r="K2110" s="33" t="s">
        <v>5026</v>
      </c>
      <c r="L2110" s="33" t="s">
        <v>5027</v>
      </c>
      <c r="M2110" s="33"/>
      <c r="N2110" s="30"/>
      <c r="O2110" s="33"/>
      <c r="P2110" s="33"/>
      <c r="Q2110" s="30" t="str" cm="1">
        <f t="array" ref="Q2110">_xlfn.IFS(
A2110="","",
AND(A2110&lt;&gt;"",B2110=""),"FALTA LANÇAMENTO",
AND(B2110&lt;&gt;"",M2110=""),"FALTA O PEDIDO",
AND(M2110&lt;&gt;"",O2110=""),"FALTA NF",
O2110&lt;&gt;"","CONCLUÍDO")</f>
        <v>FALTA O PEDIDO</v>
      </c>
      <c r="R2110" s="33"/>
    </row>
    <row r="2111" spans="1:18" hidden="1">
      <c r="A2111" s="30">
        <v>46206</v>
      </c>
      <c r="B2111" s="30">
        <v>46216</v>
      </c>
      <c r="C2111" s="31">
        <v>5005800325</v>
      </c>
      <c r="D2111" s="30" t="str">
        <f>IFERROR(VLOOKUP(Tabela5[[#This Row],[PREFIXO ]],Tabela4[#All],2,0),"CENTRO DE CUSTO")</f>
        <v>CENTRO DE CUSTO</v>
      </c>
      <c r="E2111" s="33" t="s">
        <v>249</v>
      </c>
      <c r="F2111" s="31">
        <v>254</v>
      </c>
      <c r="G2111" s="32">
        <v>31150</v>
      </c>
      <c r="H2111" s="32"/>
      <c r="I2111" s="32">
        <f t="shared" si="34"/>
        <v>31150</v>
      </c>
      <c r="J2111" s="33" t="s">
        <v>1123</v>
      </c>
      <c r="K2111" s="33" t="s">
        <v>5028</v>
      </c>
      <c r="L2111" s="33" t="s">
        <v>5029</v>
      </c>
      <c r="M2111" s="33" t="s">
        <v>5030</v>
      </c>
      <c r="N2111" s="30">
        <v>46217</v>
      </c>
      <c r="O2111" s="33" t="s">
        <v>5031</v>
      </c>
      <c r="P2111" s="33" t="s">
        <v>5032</v>
      </c>
      <c r="Q2111" s="30" t="str" cm="1">
        <f t="array" ref="Q2111">_xlfn.IFS(
A2111="","",
AND(A2111&lt;&gt;"",B2111=""),"FALTA LANÇAMENTO",
AND(B2111&lt;&gt;"",M2111=""),"FALTA O PEDIDO",
AND(M2111&lt;&gt;"",O2111=""),"FALTA NF",
O2111&lt;&gt;"","CONCLUÍDO")</f>
        <v>CONCLUÍDO</v>
      </c>
      <c r="R2111" s="33"/>
    </row>
    <row r="2112" spans="1:18" hidden="1">
      <c r="A2112" s="30">
        <v>46206</v>
      </c>
      <c r="B2112" s="30">
        <v>46211</v>
      </c>
      <c r="C2112" s="31">
        <v>15770033</v>
      </c>
      <c r="D2112" s="30" t="str">
        <f>IFERROR(VLOOKUP(Tabela5[[#This Row],[PREFIXO ]],Tabela4[#All],2,0),"CENTRO DE CUSTO")</f>
        <v>PLATAF ROÇAGEM WATANABE MAVERICK</v>
      </c>
      <c r="E2112" s="33" t="s">
        <v>173</v>
      </c>
      <c r="F2112" s="31">
        <v>1210</v>
      </c>
      <c r="G2112" s="32">
        <v>225</v>
      </c>
      <c r="H2112" s="32">
        <v>9347.0300000000007</v>
      </c>
      <c r="I2112" s="32">
        <f t="shared" si="34"/>
        <v>9572.0300000000007</v>
      </c>
      <c r="J2112" s="33" t="s">
        <v>1123</v>
      </c>
      <c r="K2112" s="33" t="s">
        <v>5033</v>
      </c>
      <c r="L2112" s="33" t="s">
        <v>5034</v>
      </c>
      <c r="M2112" s="33" t="s">
        <v>5035</v>
      </c>
      <c r="N2112" s="30">
        <v>46213</v>
      </c>
      <c r="O2112" s="33" t="s">
        <v>5036</v>
      </c>
      <c r="P2112" s="33" t="s">
        <v>5037</v>
      </c>
      <c r="Q2112" s="30" t="str" cm="1">
        <f t="array" ref="Q2112">_xlfn.IFS(
A2112="","",
AND(A2112&lt;&gt;"",B2112=""),"FALTA LANÇAMENTO",
AND(B2112&lt;&gt;"",M2112=""),"FALTA O PEDIDO",
AND(M2112&lt;&gt;"",O2112=""),"FALTA NF",
O2112&lt;&gt;"","CONCLUÍDO")</f>
        <v>CONCLUÍDO</v>
      </c>
      <c r="R2112" s="33"/>
    </row>
    <row r="2113" spans="1:18" hidden="1">
      <c r="A2113" s="30">
        <v>46206</v>
      </c>
      <c r="B2113" s="30">
        <v>46212</v>
      </c>
      <c r="C2113" s="31">
        <v>51521065</v>
      </c>
      <c r="D2113" s="30" t="str">
        <f>IFERROR(VLOOKUP(Tabela5[[#This Row],[PREFIXO ]],Tabela4[#All],2,0),"CENTRO DE CUSTO")</f>
        <v>COLHED ALGODÃO JOHN DEERE CP 690</v>
      </c>
      <c r="E2113" s="33" t="s">
        <v>17</v>
      </c>
      <c r="F2113" s="31">
        <v>44461</v>
      </c>
      <c r="G2113" s="32">
        <v>5192.6000000000004</v>
      </c>
      <c r="H2113" s="32">
        <v>2314.2199999999998</v>
      </c>
      <c r="I2113" s="32">
        <f t="shared" si="34"/>
        <v>7506.82</v>
      </c>
      <c r="J2113" s="33" t="s">
        <v>1123</v>
      </c>
      <c r="K2113" s="33" t="s">
        <v>5038</v>
      </c>
      <c r="L2113" s="33" t="s">
        <v>5039</v>
      </c>
      <c r="M2113" s="33" t="s">
        <v>5040</v>
      </c>
      <c r="N2113" s="30">
        <v>46213</v>
      </c>
      <c r="O2113" s="33"/>
      <c r="P2113" s="33"/>
      <c r="Q2113" s="30" t="str" cm="1">
        <f t="array" ref="Q2113">_xlfn.IFS(
A2113="","",
AND(A2113&lt;&gt;"",B2113=""),"FALTA LANÇAMENTO",
AND(B2113&lt;&gt;"",M2113=""),"FALTA O PEDIDO",
AND(M2113&lt;&gt;"",O2113=""),"FALTA NF",
O2113&lt;&gt;"","CONCLUÍDO")</f>
        <v>FALTA NF</v>
      </c>
      <c r="R2113" s="33"/>
    </row>
    <row r="2114" spans="1:18" hidden="1">
      <c r="A2114" s="30">
        <v>46206</v>
      </c>
      <c r="B2114" s="30">
        <v>46211</v>
      </c>
      <c r="C2114" s="31">
        <v>15770029</v>
      </c>
      <c r="D2114" s="30" t="str">
        <f>IFERROR(VLOOKUP(Tabela5[[#This Row],[PREFIXO ]],Tabela4[#All],2,0),"CENTRO DE CUSTO")</f>
        <v>PLATAF ROÇAGEM WATANABE MAVERICK</v>
      </c>
      <c r="E2114" s="33" t="s">
        <v>173</v>
      </c>
      <c r="F2114" s="31">
        <v>1209</v>
      </c>
      <c r="G2114" s="32">
        <v>5223.84</v>
      </c>
      <c r="H2114" s="32">
        <v>225</v>
      </c>
      <c r="I2114" s="32">
        <f t="shared" si="34"/>
        <v>5448.84</v>
      </c>
      <c r="J2114" s="33" t="s">
        <v>1123</v>
      </c>
      <c r="K2114" s="33" t="s">
        <v>5041</v>
      </c>
      <c r="L2114" s="33" t="s">
        <v>5042</v>
      </c>
      <c r="M2114" s="33" t="s">
        <v>5043</v>
      </c>
      <c r="N2114" s="30">
        <v>46213</v>
      </c>
      <c r="O2114" s="33" t="s">
        <v>5044</v>
      </c>
      <c r="P2114" s="33" t="s">
        <v>5037</v>
      </c>
      <c r="Q2114" s="30" t="str" cm="1">
        <f t="array" ref="Q2114">_xlfn.IFS(
A2114="","",
AND(A2114&lt;&gt;"",B2114=""),"FALTA LANÇAMENTO",
AND(B2114&lt;&gt;"",M2114=""),"FALTA O PEDIDO",
AND(M2114&lt;&gt;"",O2114=""),"FALTA NF",
O2114&lt;&gt;"","CONCLUÍDO")</f>
        <v>CONCLUÍDO</v>
      </c>
      <c r="R2114" s="33"/>
    </row>
    <row r="2115" spans="1:18" hidden="1">
      <c r="A2115" s="30">
        <v>46206</v>
      </c>
      <c r="B2115" s="30">
        <v>46213</v>
      </c>
      <c r="C2115" s="31">
        <v>500580325</v>
      </c>
      <c r="D2115" s="30" t="str">
        <f>IFERROR(VLOOKUP(Tabela5[[#This Row],[PREFIXO ]],Tabela4[#All],2,0),"CENTRO DE CUSTO")</f>
        <v>Colheitad. Alg Auto</v>
      </c>
      <c r="E2115" s="33" t="s">
        <v>269</v>
      </c>
      <c r="F2115" s="31">
        <v>1593</v>
      </c>
      <c r="G2115" s="32">
        <v>3600</v>
      </c>
      <c r="H2115" s="32"/>
      <c r="I2115" s="32">
        <f t="shared" si="34"/>
        <v>3600</v>
      </c>
      <c r="J2115" s="33" t="s">
        <v>1123</v>
      </c>
      <c r="K2115" s="33" t="s">
        <v>5045</v>
      </c>
      <c r="L2115" s="33" t="s">
        <v>5046</v>
      </c>
      <c r="M2115" s="33" t="s">
        <v>5047</v>
      </c>
      <c r="N2115" s="30">
        <v>46213</v>
      </c>
      <c r="O2115" s="33"/>
      <c r="P2115" s="33"/>
      <c r="Q2115" s="30" t="str" cm="1">
        <f t="array" ref="Q2115">_xlfn.IFS(
A2115="","",
AND(A2115&lt;&gt;"",B2115=""),"FALTA LANÇAMENTO",
AND(B2115&lt;&gt;"",M2115=""),"FALTA O PEDIDO",
AND(M2115&lt;&gt;"",O2115=""),"FALTA NF",
O2115&lt;&gt;"","CONCLUÍDO")</f>
        <v>FALTA NF</v>
      </c>
      <c r="R2115" s="33"/>
    </row>
    <row r="2116" spans="1:18" hidden="1">
      <c r="A2116" s="30">
        <v>46206</v>
      </c>
      <c r="B2116" s="30">
        <v>46223</v>
      </c>
      <c r="C2116" s="31">
        <v>8173364</v>
      </c>
      <c r="D2116" s="30" t="str">
        <f>IFERROR(VLOOKUP(Tabela5[[#This Row],[PREFIXO ]],Tabela4[#All],2,0),"CENTRO DE CUSTO")</f>
        <v>SEMI REBOQUE PRANCHA FACCHINI SRF CT</v>
      </c>
      <c r="E2116" s="33" t="s">
        <v>341</v>
      </c>
      <c r="F2116" s="31" t="s">
        <v>5048</v>
      </c>
      <c r="G2116" s="32">
        <v>4265.8500000000004</v>
      </c>
      <c r="H2116" s="32">
        <v>4833.6000000000004</v>
      </c>
      <c r="I2116" s="32">
        <f t="shared" si="34"/>
        <v>9099.4500000000007</v>
      </c>
      <c r="J2116" s="33" t="s">
        <v>1123</v>
      </c>
      <c r="K2116" s="33" t="s">
        <v>5049</v>
      </c>
      <c r="L2116" s="33" t="s">
        <v>5050</v>
      </c>
      <c r="M2116" s="33"/>
      <c r="N2116" s="30"/>
      <c r="O2116" s="33"/>
      <c r="P2116" s="33"/>
      <c r="Q2116" s="30" t="str" cm="1">
        <f t="array" ref="Q2116">_xlfn.IFS(
A2116="","",
AND(A2116&lt;&gt;"",B2116=""),"FALTA LANÇAMENTO",
AND(B2116&lt;&gt;"",M2116=""),"FALTA O PEDIDO",
AND(M2116&lt;&gt;"",O2116=""),"FALTA NF",
O2116&lt;&gt;"","CONCLUÍDO")</f>
        <v>FALTA O PEDIDO</v>
      </c>
      <c r="R2116" s="33"/>
    </row>
    <row r="2117" spans="1:18" hidden="1">
      <c r="A2117" s="30">
        <v>46206</v>
      </c>
      <c r="B2117" s="30">
        <v>46216</v>
      </c>
      <c r="C2117" s="31">
        <v>51521091</v>
      </c>
      <c r="D2117" s="30" t="str">
        <f>IFERROR(VLOOKUP(Tabela5[[#This Row],[PREFIXO ]],Tabela4[#All],2,0),"CENTRO DE CUSTO")</f>
        <v>COLHEIT DE GRÃOS N.HOLLAND CR 8.90</v>
      </c>
      <c r="E2117" s="33" t="s">
        <v>308</v>
      </c>
      <c r="F2117" s="31" t="s">
        <v>2747</v>
      </c>
      <c r="G2117" s="32">
        <v>37056</v>
      </c>
      <c r="H2117" s="32"/>
      <c r="I2117" s="32">
        <f t="shared" si="34"/>
        <v>37056</v>
      </c>
      <c r="J2117" s="33" t="s">
        <v>1123</v>
      </c>
      <c r="K2117" s="33" t="s">
        <v>5051</v>
      </c>
      <c r="L2117" s="33" t="s">
        <v>5052</v>
      </c>
      <c r="M2117" s="33"/>
      <c r="N2117" s="30"/>
      <c r="O2117" s="33"/>
      <c r="P2117" s="33"/>
      <c r="Q2117" s="30" t="str" cm="1">
        <f t="array" ref="Q2117">_xlfn.IFS(
A2117="","",
AND(A2117&lt;&gt;"",B2117=""),"FALTA LANÇAMENTO",
AND(B2117&lt;&gt;"",M2117=""),"FALTA O PEDIDO",
AND(M2117&lt;&gt;"",O2117=""),"FALTA NF",
O2117&lt;&gt;"","CONCLUÍDO")</f>
        <v>FALTA O PEDIDO</v>
      </c>
      <c r="R2117" s="33"/>
    </row>
    <row r="2118" spans="1:18" hidden="1">
      <c r="A2118" s="30">
        <v>46206</v>
      </c>
      <c r="B2118" s="30">
        <v>46211</v>
      </c>
      <c r="C2118" s="31">
        <v>51521088</v>
      </c>
      <c r="D2118" s="30" t="str">
        <f>IFERROR(VLOOKUP(Tabela5[[#This Row],[PREFIXO ]],Tabela4[#All],2,0),"CENTRO DE CUSTO")</f>
        <v>COLHEIT DE GRÃOS N.HOLLAND CR 8.90</v>
      </c>
      <c r="E2118" s="33" t="s">
        <v>346</v>
      </c>
      <c r="F2118" s="31" t="s">
        <v>2171</v>
      </c>
      <c r="G2118" s="32">
        <v>2487.6</v>
      </c>
      <c r="H2118" s="32"/>
      <c r="I2118" s="32">
        <f t="shared" si="34"/>
        <v>2487.6</v>
      </c>
      <c r="J2118" s="33" t="s">
        <v>1123</v>
      </c>
      <c r="K2118" s="33" t="s">
        <v>5053</v>
      </c>
      <c r="L2118" s="33" t="s">
        <v>5054</v>
      </c>
      <c r="M2118" s="33" t="s">
        <v>5055</v>
      </c>
      <c r="N2118" s="30">
        <v>46213</v>
      </c>
      <c r="O2118" s="33"/>
      <c r="P2118" s="33"/>
      <c r="Q2118" s="30" t="str" cm="1">
        <f t="array" ref="Q2118">_xlfn.IFS(
A2118="","",
AND(A2118&lt;&gt;"",B2118=""),"FALTA LANÇAMENTO",
AND(B2118&lt;&gt;"",M2118=""),"FALTA O PEDIDO",
AND(M2118&lt;&gt;"",O2118=""),"FALTA NF",
O2118&lt;&gt;"","CONCLUÍDO")</f>
        <v>FALTA NF</v>
      </c>
      <c r="R2118" s="33"/>
    </row>
    <row r="2119" spans="1:18" hidden="1">
      <c r="A2119" s="30">
        <v>46206</v>
      </c>
      <c r="B2119" s="30">
        <v>46216</v>
      </c>
      <c r="C2119" s="31">
        <v>51521105</v>
      </c>
      <c r="D2119" s="30" t="str">
        <f>IFERROR(VLOOKUP(Tabela5[[#This Row],[PREFIXO ]],Tabela4[#All],2,0),"CENTRO DE CUSTO")</f>
        <v>COLHEIT DE GRÃOS N.HOLLAND CR 8.90</v>
      </c>
      <c r="E2119" s="33" t="s">
        <v>346</v>
      </c>
      <c r="F2119" s="31" t="s">
        <v>2167</v>
      </c>
      <c r="G2119" s="32">
        <v>18618</v>
      </c>
      <c r="H2119" s="32"/>
      <c r="I2119" s="32">
        <f t="shared" si="34"/>
        <v>18618</v>
      </c>
      <c r="J2119" s="33" t="s">
        <v>1123</v>
      </c>
      <c r="K2119" s="33" t="s">
        <v>5056</v>
      </c>
      <c r="L2119" s="33" t="s">
        <v>5057</v>
      </c>
      <c r="M2119" s="33" t="s">
        <v>5058</v>
      </c>
      <c r="N2119" s="30">
        <v>46217</v>
      </c>
      <c r="O2119" s="33"/>
      <c r="P2119" s="33"/>
      <c r="Q2119" s="30" t="str" cm="1">
        <f t="array" ref="Q2119">_xlfn.IFS(
A2119="","",
AND(A2119&lt;&gt;"",B2119=""),"FALTA LANÇAMENTO",
AND(B2119&lt;&gt;"",M2119=""),"FALTA O PEDIDO",
AND(M2119&lt;&gt;"",O2119=""),"FALTA NF",
O2119&lt;&gt;"","CONCLUÍDO")</f>
        <v>FALTA NF</v>
      </c>
      <c r="R2119" s="33"/>
    </row>
    <row r="2120" spans="1:18" hidden="1">
      <c r="A2120" s="16">
        <v>46206</v>
      </c>
      <c r="B2120" s="16">
        <v>46216</v>
      </c>
      <c r="C2120" s="21">
        <v>500580325</v>
      </c>
      <c r="D2120" s="16" t="str">
        <f>IFERROR(VLOOKUP(Tabela5[[#This Row],[PREFIXO ]],Tabela4[#All],2,0),"CENTRO DE CUSTO")</f>
        <v>Colheitad. Alg Auto</v>
      </c>
      <c r="E2120" s="18" t="s">
        <v>62</v>
      </c>
      <c r="F2120" s="21">
        <v>1463</v>
      </c>
      <c r="G2120" s="22">
        <v>36845</v>
      </c>
      <c r="H2120" s="22"/>
      <c r="I2120" s="22">
        <f t="shared" si="34"/>
        <v>36845</v>
      </c>
      <c r="J2120" s="18" t="s">
        <v>1123</v>
      </c>
      <c r="K2120" s="18" t="s">
        <v>5059</v>
      </c>
      <c r="L2120" s="18" t="s">
        <v>5060</v>
      </c>
      <c r="M2120" s="18" t="s">
        <v>5061</v>
      </c>
      <c r="N2120" s="30">
        <v>46216</v>
      </c>
      <c r="O2120" s="18"/>
      <c r="P2120" s="18"/>
      <c r="Q2120" s="16" t="str" cm="1">
        <f t="array" ref="Q2120">_xlfn.IFS(
A2120="","",
AND(A2120&lt;&gt;"",B2120=""),"FALTA LANÇAMENTO",
AND(B2120&lt;&gt;"",M2120=""),"FALTA O PEDIDO",
AND(M2120&lt;&gt;"",O2120=""),"FALTA NF",
O2120&lt;&gt;"","CONCLUÍDO")</f>
        <v>FALTA NF</v>
      </c>
      <c r="R2120" s="18"/>
    </row>
    <row r="2121" spans="1:18" hidden="1">
      <c r="A2121" s="16">
        <v>46206</v>
      </c>
      <c r="B2121" s="16">
        <v>46211</v>
      </c>
      <c r="C2121" s="21">
        <v>61521088</v>
      </c>
      <c r="D2121" s="16" t="str">
        <f>IFERROR(VLOOKUP(Tabela5[[#This Row],[PREFIXO ]],Tabela4[#All],2,0),"CENTRO DE CUSTO")</f>
        <v>PA CARREGADEIRA JOHN DEERE 524 K II</v>
      </c>
      <c r="E2121" s="18" t="s">
        <v>340</v>
      </c>
      <c r="F2121" s="21">
        <v>649</v>
      </c>
      <c r="G2121" s="22">
        <v>1913</v>
      </c>
      <c r="H2121" s="22"/>
      <c r="I2121" s="22">
        <f t="shared" si="34"/>
        <v>1913</v>
      </c>
      <c r="J2121" s="18" t="s">
        <v>1080</v>
      </c>
      <c r="K2121" s="18" t="s">
        <v>5062</v>
      </c>
      <c r="L2121" s="18" t="s">
        <v>5063</v>
      </c>
      <c r="M2121" s="18" t="s">
        <v>5064</v>
      </c>
      <c r="N2121" s="30">
        <v>46211</v>
      </c>
      <c r="O2121" s="18"/>
      <c r="P2121" s="18"/>
      <c r="Q2121" s="16" t="str" cm="1">
        <f t="array" ref="Q2121">_xlfn.IFS(
A2121="","",
AND(A2121&lt;&gt;"",B2121=""),"FALTA LANÇAMENTO",
AND(B2121&lt;&gt;"",M2121=""),"FALTA O PEDIDO",
AND(M2121&lt;&gt;"",O2121=""),"FALTA NF",
O2121&lt;&gt;"","CONCLUÍDO")</f>
        <v>FALTA NF</v>
      </c>
      <c r="R2121" s="18"/>
    </row>
    <row r="2122" spans="1:18" hidden="1">
      <c r="A2122" s="16">
        <v>46206</v>
      </c>
      <c r="B2122" s="16">
        <v>46210</v>
      </c>
      <c r="C2122" s="21" t="s">
        <v>5065</v>
      </c>
      <c r="D2122" s="16" t="str">
        <f>IFERROR(VLOOKUP(Tabela5[[#This Row],[PREFIXO ]],Tabela4[#All],2,0),"CENTRO DE CUSTO")</f>
        <v>CENTRO DE CUSTO</v>
      </c>
      <c r="E2122" s="18" t="s">
        <v>62</v>
      </c>
      <c r="F2122" s="21">
        <v>1470</v>
      </c>
      <c r="G2122" s="22">
        <v>36000</v>
      </c>
      <c r="H2122" s="22"/>
      <c r="I2122" s="22">
        <f t="shared" si="34"/>
        <v>36000</v>
      </c>
      <c r="J2122" s="18" t="s">
        <v>5066</v>
      </c>
      <c r="K2122" s="18" t="s">
        <v>5067</v>
      </c>
      <c r="L2122" s="18" t="s">
        <v>5068</v>
      </c>
      <c r="M2122" s="18" t="s">
        <v>5069</v>
      </c>
      <c r="N2122" s="39">
        <v>46213</v>
      </c>
      <c r="O2122" s="18"/>
      <c r="P2122" s="18"/>
      <c r="Q2122" s="16" t="str" cm="1">
        <f t="array" ref="Q2122">_xlfn.IFS(
A2122="","",
AND(A2122&lt;&gt;"",B2122=""),"FALTA LANÇAMENTO",
AND(B2122&lt;&gt;"",M2122=""),"FALTA O PEDIDO",
AND(M2122&lt;&gt;"",O2122=""),"FALTA NF",
O2122&lt;&gt;"","CONCLUÍDO")</f>
        <v>FALTA NF</v>
      </c>
      <c r="R2122" s="18"/>
    </row>
    <row r="2123" spans="1:18" hidden="1">
      <c r="A2123" s="16">
        <v>46206</v>
      </c>
      <c r="B2123" s="16">
        <v>46210</v>
      </c>
      <c r="C2123" s="21">
        <v>500580069</v>
      </c>
      <c r="D2123" s="16" t="str">
        <f>IFERROR(VLOOKUP(Tabela5[[#This Row],[PREFIXO ]],Tabela4[#All],2,0),"CENTRO DE CUSTO")</f>
        <v>Oficina Mecânica</v>
      </c>
      <c r="E2123" s="18" t="s">
        <v>62</v>
      </c>
      <c r="F2123" s="21">
        <v>1467</v>
      </c>
      <c r="G2123" s="22">
        <v>850</v>
      </c>
      <c r="H2123" s="22"/>
      <c r="I2123" s="22">
        <f t="shared" si="34"/>
        <v>850</v>
      </c>
      <c r="J2123" s="18" t="s">
        <v>5066</v>
      </c>
      <c r="K2123" s="18" t="s">
        <v>5070</v>
      </c>
      <c r="L2123" s="18" t="s">
        <v>5068</v>
      </c>
      <c r="M2123" s="18" t="s">
        <v>5069</v>
      </c>
      <c r="N2123" s="30">
        <v>46213</v>
      </c>
      <c r="O2123" s="18"/>
      <c r="P2123" s="18"/>
      <c r="Q2123" s="16" t="str" cm="1">
        <f t="array" ref="Q2123">_xlfn.IFS(
A2123="","",
AND(A2123&lt;&gt;"",B2123=""),"FALTA LANÇAMENTO",
AND(B2123&lt;&gt;"",M2123=""),"FALTA O PEDIDO",
AND(M2123&lt;&gt;"",O2123=""),"FALTA NF",
O2123&lt;&gt;"","CONCLUÍDO")</f>
        <v>FALTA NF</v>
      </c>
      <c r="R2123" s="18"/>
    </row>
    <row r="2124" spans="1:18" hidden="1">
      <c r="A2124" s="30">
        <v>46206</v>
      </c>
      <c r="B2124" s="30">
        <v>46211</v>
      </c>
      <c r="C2124" s="31">
        <v>11521030</v>
      </c>
      <c r="D2124" s="30" t="str">
        <f>IFERROR(VLOOKUP(Tabela5[[#This Row],[PREFIXO ]],Tabela4[#All],2,0),"CENTRO DE CUSTO")</f>
        <v>TRAT PN EXT PES FENDT 1046 VARIO</v>
      </c>
      <c r="E2124" s="33" t="s">
        <v>259</v>
      </c>
      <c r="F2124" s="31">
        <v>63305598</v>
      </c>
      <c r="G2124" s="32">
        <v>50.43</v>
      </c>
      <c r="H2124" s="32">
        <v>11021.94</v>
      </c>
      <c r="I2124" s="32">
        <f t="shared" si="34"/>
        <v>11072.37</v>
      </c>
      <c r="J2124" s="33" t="s">
        <v>1199</v>
      </c>
      <c r="K2124" s="33" t="s">
        <v>5071</v>
      </c>
      <c r="L2124" s="33" t="s">
        <v>5072</v>
      </c>
      <c r="M2124" s="33" t="s">
        <v>5073</v>
      </c>
      <c r="N2124" s="30">
        <v>46213</v>
      </c>
      <c r="O2124" s="33"/>
      <c r="P2124" s="33"/>
      <c r="Q2124" s="30" t="str" cm="1">
        <f t="array" ref="Q2124">_xlfn.IFS(
A2124="","",
AND(A2124&lt;&gt;"",B2124=""),"FALTA LANÇAMENTO",
AND(B2124&lt;&gt;"",M2124=""),"FALTA O PEDIDO",
AND(M2124&lt;&gt;"",O2124=""),"FALTA NF",
O2124&lt;&gt;"","CONCLUÍDO")</f>
        <v>FALTA NF</v>
      </c>
      <c r="R2124" s="33"/>
    </row>
    <row r="2125" spans="1:18" hidden="1">
      <c r="A2125" s="30">
        <v>46206</v>
      </c>
      <c r="B2125" s="30">
        <v>46211</v>
      </c>
      <c r="C2125" s="31">
        <v>500580097</v>
      </c>
      <c r="D2125" s="30" t="str">
        <f>IFERROR(VLOOKUP(Tabela5[[#This Row],[PREFIXO ]],Tabela4[#All],2,0),"CENTRO DE CUSTO")</f>
        <v>Subsoladores</v>
      </c>
      <c r="E2125" s="33" t="s">
        <v>62</v>
      </c>
      <c r="F2125" s="31">
        <v>1469</v>
      </c>
      <c r="G2125" s="32">
        <v>7876</v>
      </c>
      <c r="H2125" s="32"/>
      <c r="I2125" s="32">
        <f t="shared" si="34"/>
        <v>7876</v>
      </c>
      <c r="J2125" s="33" t="s">
        <v>1199</v>
      </c>
      <c r="K2125" s="33" t="s">
        <v>5074</v>
      </c>
      <c r="L2125" s="33" t="s">
        <v>5021</v>
      </c>
      <c r="M2125" s="33" t="s">
        <v>5022</v>
      </c>
      <c r="N2125" s="30">
        <v>46213</v>
      </c>
      <c r="O2125" s="33"/>
      <c r="P2125" s="33"/>
      <c r="Q2125" s="30" t="str" cm="1">
        <f t="array" ref="Q2125">_xlfn.IFS(
A2125="","",
AND(A2125&lt;&gt;"",B2125=""),"FALTA LANÇAMENTO",
AND(B2125&lt;&gt;"",M2125=""),"FALTA O PEDIDO",
AND(M2125&lt;&gt;"",O2125=""),"FALTA NF",
O2125&lt;&gt;"","CONCLUÍDO")</f>
        <v>FALTA NF</v>
      </c>
      <c r="R2125" s="33"/>
    </row>
    <row r="2126" spans="1:18" hidden="1">
      <c r="A2126" s="30">
        <v>46206</v>
      </c>
      <c r="B2126" s="30">
        <v>46216</v>
      </c>
      <c r="C2126" s="31">
        <v>500580090</v>
      </c>
      <c r="D2126" s="30" t="str">
        <f>IFERROR(VLOOKUP(Tabela5[[#This Row],[PREFIXO ]],Tabela4[#All],2,0),"CENTRO DE CUSTO")</f>
        <v>Plantadeiras</v>
      </c>
      <c r="E2126" s="33" t="s">
        <v>62</v>
      </c>
      <c r="F2126" s="31">
        <v>1468</v>
      </c>
      <c r="G2126" s="32">
        <v>20329.88</v>
      </c>
      <c r="H2126" s="32"/>
      <c r="I2126" s="32">
        <f t="shared" si="34"/>
        <v>20329.88</v>
      </c>
      <c r="J2126" s="33" t="s">
        <v>1199</v>
      </c>
      <c r="K2126" s="33" t="s">
        <v>5075</v>
      </c>
      <c r="L2126" s="33" t="s">
        <v>5076</v>
      </c>
      <c r="M2126" s="33"/>
      <c r="N2126" s="30"/>
      <c r="O2126" s="33"/>
      <c r="P2126" s="33"/>
      <c r="Q2126" s="30" t="str" cm="1">
        <f t="array" ref="Q2126">_xlfn.IFS(
A2126="","",
AND(A2126&lt;&gt;"",B2126=""),"FALTA LANÇAMENTO",
AND(B2126&lt;&gt;"",M2126=""),"FALTA O PEDIDO",
AND(M2126&lt;&gt;"",O2126=""),"FALTA NF",
O2126&lt;&gt;"","CONCLUÍDO")</f>
        <v>FALTA O PEDIDO</v>
      </c>
      <c r="R2126" s="33"/>
    </row>
    <row r="2127" spans="1:18" hidden="1">
      <c r="A2127" s="30">
        <v>46210</v>
      </c>
      <c r="B2127" s="30">
        <v>46225</v>
      </c>
      <c r="C2127" s="31">
        <v>61524006</v>
      </c>
      <c r="D2127" s="30" t="str">
        <f>IFERROR(VLOOKUP(Tabela5[[#This Row],[PREFIXO ]],Tabela4[#All],2,0),"CENTRO DE CUSTO")</f>
        <v>PA CARREGADEIRA JOHN DEERE 524 K II</v>
      </c>
      <c r="E2127" s="33" t="s">
        <v>68</v>
      </c>
      <c r="F2127" s="31" t="s">
        <v>5077</v>
      </c>
      <c r="G2127" s="32">
        <v>25000</v>
      </c>
      <c r="H2127" s="32">
        <v>15475.87</v>
      </c>
      <c r="I2127" s="32">
        <f t="shared" si="34"/>
        <v>40475.870000000003</v>
      </c>
      <c r="J2127" s="33" t="s">
        <v>5078</v>
      </c>
      <c r="K2127" s="33" t="s">
        <v>5079</v>
      </c>
      <c r="L2127" s="33" t="s">
        <v>5080</v>
      </c>
      <c r="M2127" s="33"/>
      <c r="N2127" s="30"/>
      <c r="O2127" s="33"/>
      <c r="P2127" s="33"/>
      <c r="Q2127" s="30" t="str" cm="1">
        <f t="array" ref="Q2127">_xlfn.IFS(
A2127="","",
AND(A2127&lt;&gt;"",B2127=""),"FALTA LANÇAMENTO",
AND(B2127&lt;&gt;"",M2127=""),"FALTA O PEDIDO",
AND(M2127&lt;&gt;"",O2127=""),"FALTA NF",
O2127&lt;&gt;"","CONCLUÍDO")</f>
        <v>FALTA O PEDIDO</v>
      </c>
      <c r="R2127" s="33"/>
    </row>
    <row r="2128" spans="1:18" hidden="1">
      <c r="A2128" s="30">
        <v>46210</v>
      </c>
      <c r="B2128" s="30">
        <v>46212</v>
      </c>
      <c r="C2128" s="31">
        <v>51521054</v>
      </c>
      <c r="D2128" s="30" t="str">
        <f>IFERROR(VLOOKUP(Tabela5[[#This Row],[PREFIXO ]],Tabela4[#All],2,0),"CENTRO DE CUSTO")</f>
        <v>COLHED ALGODÃO JOHN DEERE CP 690</v>
      </c>
      <c r="E2128" s="33" t="s">
        <v>67</v>
      </c>
      <c r="F2128" s="31">
        <v>211</v>
      </c>
      <c r="G2128" s="32">
        <v>920</v>
      </c>
      <c r="H2128" s="32"/>
      <c r="I2128" s="32">
        <f t="shared" si="34"/>
        <v>920</v>
      </c>
      <c r="J2128" s="33" t="s">
        <v>1123</v>
      </c>
      <c r="K2128" s="33" t="s">
        <v>5081</v>
      </c>
      <c r="L2128" s="33" t="s">
        <v>5082</v>
      </c>
      <c r="M2128" s="33" t="s">
        <v>5083</v>
      </c>
      <c r="N2128" s="30">
        <v>46213</v>
      </c>
      <c r="O2128" s="33"/>
      <c r="P2128" s="33"/>
      <c r="Q2128" s="30" t="str" cm="1">
        <f t="array" ref="Q2128">_xlfn.IFS(
A2128="","",
AND(A2128&lt;&gt;"",B2128=""),"FALTA LANÇAMENTO",
AND(B2128&lt;&gt;"",M2128=""),"FALTA O PEDIDO",
AND(M2128&lt;&gt;"",O2128=""),"FALTA NF",
O2128&lt;&gt;"","CONCLUÍDO")</f>
        <v>FALTA NF</v>
      </c>
      <c r="R2128" s="33"/>
    </row>
    <row r="2129" spans="1:18" hidden="1">
      <c r="A2129" s="30">
        <v>46210</v>
      </c>
      <c r="B2129" s="30">
        <v>46212</v>
      </c>
      <c r="C2129" s="31">
        <v>51521051</v>
      </c>
      <c r="D2129" s="30" t="str">
        <f>IFERROR(VLOOKUP(Tabela5[[#This Row],[PREFIXO ]],Tabela4[#All],2,0),"CENTRO DE CUSTO")</f>
        <v>COLHED ALGODÃO JOHN DEERE CP 690</v>
      </c>
      <c r="E2129" s="33" t="s">
        <v>67</v>
      </c>
      <c r="F2129" s="31">
        <v>201</v>
      </c>
      <c r="G2129" s="32">
        <v>2760</v>
      </c>
      <c r="H2129" s="32"/>
      <c r="I2129" s="32">
        <f t="shared" si="34"/>
        <v>2760</v>
      </c>
      <c r="J2129" s="33" t="s">
        <v>1123</v>
      </c>
      <c r="K2129" s="33" t="s">
        <v>5084</v>
      </c>
      <c r="L2129" s="33" t="s">
        <v>5085</v>
      </c>
      <c r="M2129" s="33" t="s">
        <v>5086</v>
      </c>
      <c r="N2129" s="30">
        <v>46213</v>
      </c>
      <c r="O2129" s="33"/>
      <c r="P2129" s="33"/>
      <c r="Q2129" s="30" t="str" cm="1">
        <f t="array" ref="Q2129">_xlfn.IFS(
A2129="","",
AND(A2129&lt;&gt;"",B2129=""),"FALTA LANÇAMENTO",
AND(B2129&lt;&gt;"",M2129=""),"FALTA O PEDIDO",
AND(M2129&lt;&gt;"",O2129=""),"FALTA NF",
O2129&lt;&gt;"","CONCLUÍDO")</f>
        <v>FALTA NF</v>
      </c>
      <c r="R2129" s="33"/>
    </row>
    <row r="2130" spans="1:18" hidden="1">
      <c r="A2130" s="30">
        <v>46210</v>
      </c>
      <c r="B2130" s="30">
        <v>46212</v>
      </c>
      <c r="C2130" s="31">
        <v>51521051</v>
      </c>
      <c r="D2130" s="30" t="str">
        <f>IFERROR(VLOOKUP(Tabela5[[#This Row],[PREFIXO ]],Tabela4[#All],2,0),"CENTRO DE CUSTO")</f>
        <v>COLHED ALGODÃO JOHN DEERE CP 690</v>
      </c>
      <c r="E2130" s="33" t="s">
        <v>67</v>
      </c>
      <c r="F2130" s="31">
        <v>208</v>
      </c>
      <c r="G2130" s="32">
        <v>4275</v>
      </c>
      <c r="H2130" s="32"/>
      <c r="I2130" s="32">
        <f t="shared" si="34"/>
        <v>4275</v>
      </c>
      <c r="J2130" s="33" t="s">
        <v>1123</v>
      </c>
      <c r="K2130" s="33" t="s">
        <v>5087</v>
      </c>
      <c r="L2130" s="33" t="s">
        <v>5085</v>
      </c>
      <c r="M2130" s="33" t="s">
        <v>5086</v>
      </c>
      <c r="N2130" s="30">
        <v>46213</v>
      </c>
      <c r="O2130" s="33"/>
      <c r="P2130" s="33"/>
      <c r="Q2130" s="30" t="str" cm="1">
        <f t="array" ref="Q2130">_xlfn.IFS(
A2130="","",
AND(A2130&lt;&gt;"",B2130=""),"FALTA LANÇAMENTO",
AND(B2130&lt;&gt;"",M2130=""),"FALTA O PEDIDO",
AND(M2130&lt;&gt;"",O2130=""),"FALTA NF",
O2130&lt;&gt;"","CONCLUÍDO")</f>
        <v>FALTA NF</v>
      </c>
      <c r="R2130" s="33"/>
    </row>
    <row r="2131" spans="1:18" hidden="1">
      <c r="A2131" s="30">
        <v>46210</v>
      </c>
      <c r="B2131" s="30">
        <v>46212</v>
      </c>
      <c r="C2131" s="31">
        <v>51521053</v>
      </c>
      <c r="D2131" s="30" t="str">
        <f>IFERROR(VLOOKUP(Tabela5[[#This Row],[PREFIXO ]],Tabela4[#All],2,0),"CENTRO DE CUSTO")</f>
        <v>COLHED ALGODÃO JOHN DEERE CP 690</v>
      </c>
      <c r="E2131" s="33" t="s">
        <v>67</v>
      </c>
      <c r="F2131" s="31">
        <v>197</v>
      </c>
      <c r="G2131" s="32">
        <v>3680</v>
      </c>
      <c r="H2131" s="32"/>
      <c r="I2131" s="32">
        <f t="shared" si="34"/>
        <v>3680</v>
      </c>
      <c r="J2131" s="33" t="s">
        <v>1123</v>
      </c>
      <c r="K2131" s="33" t="s">
        <v>5088</v>
      </c>
      <c r="L2131" s="33" t="s">
        <v>5082</v>
      </c>
      <c r="M2131" s="33" t="s">
        <v>5083</v>
      </c>
      <c r="N2131" s="30">
        <v>46213</v>
      </c>
      <c r="O2131" s="33"/>
      <c r="P2131" s="33"/>
      <c r="Q2131" s="30" t="str" cm="1">
        <f t="array" ref="Q2131">_xlfn.IFS(
A2131="","",
AND(A2131&lt;&gt;"",B2131=""),"FALTA LANÇAMENTO",
AND(B2131&lt;&gt;"",M2131=""),"FALTA O PEDIDO",
AND(M2131&lt;&gt;"",O2131=""),"FALTA NF",
O2131&lt;&gt;"","CONCLUÍDO")</f>
        <v>FALTA NF</v>
      </c>
      <c r="R2131" s="33"/>
    </row>
    <row r="2132" spans="1:18" hidden="1">
      <c r="A2132" s="30">
        <v>46210</v>
      </c>
      <c r="B2132" s="30">
        <v>46216</v>
      </c>
      <c r="C2132" s="31">
        <v>51521052</v>
      </c>
      <c r="D2132" s="30" t="str">
        <f>IFERROR(VLOOKUP(Tabela5[[#This Row],[PREFIXO ]],Tabela4[#All],2,0),"CENTRO DE CUSTO")</f>
        <v>COLHED ALGODÃO JOHN DEERE CP 690</v>
      </c>
      <c r="E2132" s="33" t="s">
        <v>67</v>
      </c>
      <c r="F2132" s="31">
        <v>200</v>
      </c>
      <c r="G2132" s="32">
        <v>1840</v>
      </c>
      <c r="H2132" s="32"/>
      <c r="I2132" s="32">
        <f t="shared" si="34"/>
        <v>1840</v>
      </c>
      <c r="J2132" s="33" t="s">
        <v>1123</v>
      </c>
      <c r="K2132" s="33" t="s">
        <v>5089</v>
      </c>
      <c r="L2132" s="33" t="s">
        <v>5090</v>
      </c>
      <c r="M2132" s="33"/>
      <c r="N2132" s="30"/>
      <c r="O2132" s="33"/>
      <c r="P2132" s="33"/>
      <c r="Q2132" s="30" t="str" cm="1">
        <f t="array" ref="Q2132">_xlfn.IFS(
A2132="","",
AND(A2132&lt;&gt;"",B2132=""),"FALTA LANÇAMENTO",
AND(B2132&lt;&gt;"",M2132=""),"FALTA O PEDIDO",
AND(M2132&lt;&gt;"",O2132=""),"FALTA NF",
O2132&lt;&gt;"","CONCLUÍDO")</f>
        <v>FALTA O PEDIDO</v>
      </c>
      <c r="R2132" s="33"/>
    </row>
    <row r="2133" spans="1:18" hidden="1">
      <c r="A2133" s="30">
        <v>46210</v>
      </c>
      <c r="B2133" s="30">
        <v>46212</v>
      </c>
      <c r="C2133" s="31">
        <v>51521053</v>
      </c>
      <c r="D2133" s="30" t="str">
        <f>IFERROR(VLOOKUP(Tabela5[[#This Row],[PREFIXO ]],Tabela4[#All],2,0),"CENTRO DE CUSTO")</f>
        <v>COLHED ALGODÃO JOHN DEERE CP 690</v>
      </c>
      <c r="E2133" s="33" t="s">
        <v>67</v>
      </c>
      <c r="F2133" s="31">
        <v>199</v>
      </c>
      <c r="G2133" s="32">
        <v>1610</v>
      </c>
      <c r="H2133" s="32"/>
      <c r="I2133" s="32">
        <f t="shared" si="34"/>
        <v>1610</v>
      </c>
      <c r="J2133" s="33" t="s">
        <v>1123</v>
      </c>
      <c r="K2133" s="33" t="s">
        <v>5091</v>
      </c>
      <c r="L2133" s="33" t="s">
        <v>5082</v>
      </c>
      <c r="M2133" s="33" t="s">
        <v>5083</v>
      </c>
      <c r="N2133" s="30">
        <v>46213</v>
      </c>
      <c r="O2133" s="33"/>
      <c r="P2133" s="33"/>
      <c r="Q2133" s="30" t="str" cm="1">
        <f t="array" ref="Q2133">_xlfn.IFS(
A2133="","",
AND(A2133&lt;&gt;"",B2133=""),"FALTA LANÇAMENTO",
AND(B2133&lt;&gt;"",M2133=""),"FALTA O PEDIDO",
AND(M2133&lt;&gt;"",O2133=""),"FALTA NF",
O2133&lt;&gt;"","CONCLUÍDO")</f>
        <v>FALTA NF</v>
      </c>
      <c r="R2133" s="33"/>
    </row>
    <row r="2134" spans="1:18" hidden="1">
      <c r="A2134" s="30">
        <v>46210</v>
      </c>
      <c r="B2134" s="30">
        <v>46212</v>
      </c>
      <c r="C2134" s="31">
        <v>5173117</v>
      </c>
      <c r="D2134" s="30" t="str">
        <f>IFERROR(VLOOKUP(Tabela5[[#This Row],[PREFIXO ]],Tabela4[#All],2,0),"CENTRO DE CUSTO")</f>
        <v>COLHED ALGODÃO JOHN DEERE 7760</v>
      </c>
      <c r="E2134" s="33" t="s">
        <v>67</v>
      </c>
      <c r="F2134" s="31">
        <v>196</v>
      </c>
      <c r="G2134" s="32">
        <v>3775</v>
      </c>
      <c r="H2134" s="32"/>
      <c r="I2134" s="32">
        <f t="shared" si="34"/>
        <v>3775</v>
      </c>
      <c r="J2134" s="33" t="s">
        <v>1123</v>
      </c>
      <c r="K2134" s="33" t="s">
        <v>5092</v>
      </c>
      <c r="L2134" s="33" t="s">
        <v>5082</v>
      </c>
      <c r="M2134" s="33" t="s">
        <v>5083</v>
      </c>
      <c r="N2134" s="30">
        <v>46213</v>
      </c>
      <c r="O2134" s="33"/>
      <c r="P2134" s="33"/>
      <c r="Q2134" s="30" t="str" cm="1">
        <f t="array" ref="Q2134">_xlfn.IFS(
A2134="","",
AND(A2134&lt;&gt;"",B2134=""),"FALTA LANÇAMENTO",
AND(B2134&lt;&gt;"",M2134=""),"FALTA O PEDIDO",
AND(M2134&lt;&gt;"",O2134=""),"FALTA NF",
O2134&lt;&gt;"","CONCLUÍDO")</f>
        <v>FALTA NF</v>
      </c>
      <c r="R2134" s="33"/>
    </row>
    <row r="2135" spans="1:18" hidden="1">
      <c r="A2135" s="30">
        <v>46210</v>
      </c>
      <c r="B2135" s="30">
        <v>46212</v>
      </c>
      <c r="C2135" s="31">
        <v>51521053</v>
      </c>
      <c r="D2135" s="30" t="str">
        <f>IFERROR(VLOOKUP(Tabela5[[#This Row],[PREFIXO ]],Tabela4[#All],2,0),"CENTRO DE CUSTO")</f>
        <v>COLHED ALGODÃO JOHN DEERE CP 690</v>
      </c>
      <c r="E2135" s="33" t="s">
        <v>67</v>
      </c>
      <c r="F2135" s="31">
        <v>198</v>
      </c>
      <c r="G2135" s="32">
        <v>2760</v>
      </c>
      <c r="H2135" s="32"/>
      <c r="I2135" s="32">
        <f t="shared" si="34"/>
        <v>2760</v>
      </c>
      <c r="J2135" s="33" t="s">
        <v>1123</v>
      </c>
      <c r="K2135" s="33" t="s">
        <v>5093</v>
      </c>
      <c r="L2135" s="33" t="s">
        <v>5082</v>
      </c>
      <c r="M2135" s="33" t="s">
        <v>5083</v>
      </c>
      <c r="N2135" s="30">
        <v>46213</v>
      </c>
      <c r="O2135" s="33"/>
      <c r="P2135" s="33"/>
      <c r="Q2135" s="30" t="str" cm="1">
        <f t="array" ref="Q2135">_xlfn.IFS(
A2135="","",
AND(A2135&lt;&gt;"",B2135=""),"FALTA LANÇAMENTO",
AND(B2135&lt;&gt;"",M2135=""),"FALTA O PEDIDO",
AND(M2135&lt;&gt;"",O2135=""),"FALTA NF",
O2135&lt;&gt;"","CONCLUÍDO")</f>
        <v>FALTA NF</v>
      </c>
      <c r="R2135" s="33"/>
    </row>
    <row r="2136" spans="1:18" hidden="1">
      <c r="A2136" s="30">
        <v>46210</v>
      </c>
      <c r="B2136" s="30">
        <v>46212</v>
      </c>
      <c r="C2136" s="31">
        <v>51521051</v>
      </c>
      <c r="D2136" s="30" t="str">
        <f>IFERROR(VLOOKUP(Tabela5[[#This Row],[PREFIXO ]],Tabela4[#All],2,0),"CENTRO DE CUSTO")</f>
        <v>COLHED ALGODÃO JOHN DEERE CP 690</v>
      </c>
      <c r="E2136" s="33" t="s">
        <v>67</v>
      </c>
      <c r="F2136" s="31">
        <v>202</v>
      </c>
      <c r="G2136" s="32">
        <v>1610</v>
      </c>
      <c r="H2136" s="32"/>
      <c r="I2136" s="32">
        <f t="shared" si="34"/>
        <v>1610</v>
      </c>
      <c r="J2136" s="33" t="s">
        <v>1123</v>
      </c>
      <c r="K2136" s="33" t="s">
        <v>5094</v>
      </c>
      <c r="L2136" s="33" t="s">
        <v>5082</v>
      </c>
      <c r="M2136" s="33" t="s">
        <v>5083</v>
      </c>
      <c r="N2136" s="30">
        <v>46213</v>
      </c>
      <c r="O2136" s="33"/>
      <c r="P2136" s="33"/>
      <c r="Q2136" s="30" t="str" cm="1">
        <f t="array" ref="Q2136">_xlfn.IFS(
A2136="","",
AND(A2136&lt;&gt;"",B2136=""),"FALTA LANÇAMENTO",
AND(B2136&lt;&gt;"",M2136=""),"FALTA O PEDIDO",
AND(M2136&lt;&gt;"",O2136=""),"FALTA NF",
O2136&lt;&gt;"","CONCLUÍDO")</f>
        <v>FALTA NF</v>
      </c>
      <c r="R2136" s="33"/>
    </row>
    <row r="2137" spans="1:18" hidden="1">
      <c r="A2137" s="30">
        <v>46210</v>
      </c>
      <c r="B2137" s="30">
        <v>46213</v>
      </c>
      <c r="C2137" s="31" t="s">
        <v>5095</v>
      </c>
      <c r="D2137" s="30" t="str">
        <f>IFERROR(VLOOKUP(Tabela5[[#This Row],[PREFIXO ]],Tabela4[#All],2,0),"CENTRO DE CUSTO")</f>
        <v>CENTRO DE CUSTO</v>
      </c>
      <c r="E2137" s="33" t="s">
        <v>66</v>
      </c>
      <c r="F2137" s="31">
        <v>10069</v>
      </c>
      <c r="G2137" s="32">
        <v>25427</v>
      </c>
      <c r="H2137" s="32"/>
      <c r="I2137" s="32">
        <f t="shared" si="34"/>
        <v>25427</v>
      </c>
      <c r="J2137" s="33" t="s">
        <v>1085</v>
      </c>
      <c r="K2137" s="33" t="s">
        <v>5096</v>
      </c>
      <c r="L2137" s="33" t="s">
        <v>5097</v>
      </c>
      <c r="M2137" s="33" t="s">
        <v>5098</v>
      </c>
      <c r="N2137" s="30">
        <v>46213</v>
      </c>
      <c r="O2137" s="33"/>
      <c r="P2137" s="33"/>
      <c r="Q2137" s="30" t="str" cm="1">
        <f t="array" ref="Q2137">_xlfn.IFS(
A2137="","",
AND(A2137&lt;&gt;"",B2137=""),"FALTA LANÇAMENTO",
AND(B2137&lt;&gt;"",M2137=""),"FALTA O PEDIDO",
AND(M2137&lt;&gt;"",O2137=""),"FALTA NF",
O2137&lt;&gt;"","CONCLUÍDO")</f>
        <v>FALTA NF</v>
      </c>
      <c r="R2137" s="33"/>
    </row>
    <row r="2138" spans="1:18" hidden="1">
      <c r="A2138" s="30">
        <v>46210</v>
      </c>
      <c r="B2138" s="30">
        <v>46212</v>
      </c>
      <c r="C2138" s="31">
        <v>11521037</v>
      </c>
      <c r="D2138" s="30" t="str">
        <f>IFERROR(VLOOKUP(Tabela5[[#This Row],[PREFIXO ]],Tabela4[#All],2,0),"CENTRO DE CUSTO")</f>
        <v>TRAT PN EXT PES N.HOLLAND T9.600</v>
      </c>
      <c r="E2138" s="33" t="s">
        <v>6</v>
      </c>
      <c r="F2138" s="31">
        <v>10062</v>
      </c>
      <c r="G2138" s="32">
        <v>450</v>
      </c>
      <c r="H2138" s="32">
        <v>3350</v>
      </c>
      <c r="I2138" s="32">
        <f t="shared" si="34"/>
        <v>3800</v>
      </c>
      <c r="J2138" s="33" t="s">
        <v>1085</v>
      </c>
      <c r="K2138" s="33" t="s">
        <v>5099</v>
      </c>
      <c r="L2138" s="33" t="s">
        <v>5100</v>
      </c>
      <c r="M2138" s="33" t="s">
        <v>5101</v>
      </c>
      <c r="N2138" s="30">
        <v>46213</v>
      </c>
      <c r="O2138" s="33"/>
      <c r="P2138" s="33"/>
      <c r="Q2138" s="30" t="str" cm="1">
        <f t="array" ref="Q2138">_xlfn.IFS(
A2138="","",
AND(A2138&lt;&gt;"",B2138=""),"FALTA LANÇAMENTO",
AND(B2138&lt;&gt;"",M2138=""),"FALTA O PEDIDO",
AND(M2138&lt;&gt;"",O2138=""),"FALTA NF",
O2138&lt;&gt;"","CONCLUÍDO")</f>
        <v>FALTA NF</v>
      </c>
      <c r="R2138" s="33"/>
    </row>
    <row r="2139" spans="1:18" hidden="1">
      <c r="A2139" s="30">
        <v>46210</v>
      </c>
      <c r="B2139" s="30"/>
      <c r="C2139" s="31">
        <v>51521109</v>
      </c>
      <c r="D2139" s="30" t="str">
        <f>IFERROR(VLOOKUP(Tabela5[[#This Row],[PREFIXO ]],Tabela4[#All],2,0),"CENTRO DE CUSTO")</f>
        <v>COLHEIT DE GRÃOS N.HOLLAND CR 8.90</v>
      </c>
      <c r="E2139" s="33" t="s">
        <v>218</v>
      </c>
      <c r="F2139" s="31">
        <v>26821</v>
      </c>
      <c r="G2139" s="32">
        <v>20375</v>
      </c>
      <c r="H2139" s="32">
        <v>64177.49</v>
      </c>
      <c r="I2139" s="32">
        <f t="shared" si="34"/>
        <v>84552.489999999991</v>
      </c>
      <c r="J2139" s="33" t="s">
        <v>1123</v>
      </c>
      <c r="K2139" s="33" t="s">
        <v>5102</v>
      </c>
      <c r="L2139" s="33"/>
      <c r="M2139" s="33"/>
      <c r="N2139" s="30"/>
      <c r="O2139" s="33"/>
      <c r="P2139" s="33"/>
      <c r="Q2139" s="30" t="str" cm="1">
        <f t="array" ref="Q2139">_xlfn.IFS(
A2139="","",
AND(A2139&lt;&gt;"",B2139=""),"FALTA LANÇAMENTO",
AND(B2139&lt;&gt;"",M2139=""),"FALTA O PEDIDO",
AND(M2139&lt;&gt;"",O2139=""),"FALTA NF",
O2139&lt;&gt;"","CONCLUÍDO")</f>
        <v>FALTA LANÇAMENTO</v>
      </c>
      <c r="R2139" s="33"/>
    </row>
    <row r="2140" spans="1:18" hidden="1">
      <c r="A2140" s="30">
        <v>46210</v>
      </c>
      <c r="B2140" s="30">
        <v>46212</v>
      </c>
      <c r="C2140" s="31">
        <v>500580100</v>
      </c>
      <c r="D2140" s="30" t="str">
        <f>IFERROR(VLOOKUP(Tabela5[[#This Row],[PREFIXO ]],Tabela4[#All],2,0),"CENTRO DE CUSTO")</f>
        <v>Autopropelidos</v>
      </c>
      <c r="E2140" s="33" t="s">
        <v>67</v>
      </c>
      <c r="F2140" s="31">
        <v>195</v>
      </c>
      <c r="G2140" s="32">
        <v>4400</v>
      </c>
      <c r="H2140" s="32"/>
      <c r="I2140" s="32">
        <f t="shared" si="34"/>
        <v>4400</v>
      </c>
      <c r="J2140" s="33" t="s">
        <v>1085</v>
      </c>
      <c r="K2140" s="33" t="s">
        <v>5103</v>
      </c>
      <c r="L2140" s="33" t="s">
        <v>5082</v>
      </c>
      <c r="M2140" s="33" t="s">
        <v>5083</v>
      </c>
      <c r="N2140" s="30">
        <v>46213</v>
      </c>
      <c r="O2140" s="33"/>
      <c r="P2140" s="33"/>
      <c r="Q2140" s="30" t="str" cm="1">
        <f t="array" ref="Q2140">_xlfn.IFS(
A2140="","",
AND(A2140&lt;&gt;"",B2140=""),"FALTA LANÇAMENTO",
AND(B2140&lt;&gt;"",M2140=""),"FALTA O PEDIDO",
AND(M2140&lt;&gt;"",O2140=""),"FALTA NF",
O2140&lt;&gt;"","CONCLUÍDO")</f>
        <v>FALTA NF</v>
      </c>
      <c r="R2140" s="33"/>
    </row>
    <row r="2141" spans="1:18" hidden="1">
      <c r="A2141" s="30">
        <v>46210</v>
      </c>
      <c r="B2141" s="30">
        <v>46213</v>
      </c>
      <c r="C2141" s="31">
        <v>61521049</v>
      </c>
      <c r="D2141" s="30" t="str">
        <f>IFERROR(VLOOKUP(Tabela5[[#This Row],[PREFIXO ]],Tabela4[#All],2,0),"CENTRO DE CUSTO")</f>
        <v>PA CARREGADEIRA JOHN DEERE 524 K II</v>
      </c>
      <c r="E2141" s="33" t="s">
        <v>340</v>
      </c>
      <c r="F2141" s="31">
        <v>650</v>
      </c>
      <c r="G2141" s="32">
        <v>3377</v>
      </c>
      <c r="H2141" s="32">
        <v>13848.25</v>
      </c>
      <c r="I2141" s="32">
        <f t="shared" si="34"/>
        <v>17225.25</v>
      </c>
      <c r="J2141" s="33" t="s">
        <v>1080</v>
      </c>
      <c r="K2141" s="33" t="s">
        <v>5104</v>
      </c>
      <c r="L2141" s="33" t="s">
        <v>5105</v>
      </c>
      <c r="M2141" s="33" t="s">
        <v>5106</v>
      </c>
      <c r="N2141" s="30">
        <v>46213</v>
      </c>
      <c r="O2141" s="33" t="s">
        <v>5107</v>
      </c>
      <c r="P2141" s="33" t="s">
        <v>5037</v>
      </c>
      <c r="Q2141" s="30" t="str" cm="1">
        <f t="array" ref="Q2141">_xlfn.IFS(
A2141="","",
AND(A2141&lt;&gt;"",B2141=""),"FALTA LANÇAMENTO",
AND(B2141&lt;&gt;"",M2141=""),"FALTA O PEDIDO",
AND(M2141&lt;&gt;"",O2141=""),"FALTA NF",
O2141&lt;&gt;"","CONCLUÍDO")</f>
        <v>CONCLUÍDO</v>
      </c>
      <c r="R2141" s="33"/>
    </row>
    <row r="2142" spans="1:18" hidden="1">
      <c r="A2142" s="30">
        <v>46210</v>
      </c>
      <c r="B2142" s="30">
        <v>46216</v>
      </c>
      <c r="C2142" s="31">
        <v>51521072</v>
      </c>
      <c r="D2142" s="30" t="str">
        <f>IFERROR(VLOOKUP(Tabela5[[#This Row],[PREFIXO ]],Tabela4[#All],2,0),"CENTRO DE CUSTO")</f>
        <v>COLHED ALGODÃO JOHN DEERE CP 690</v>
      </c>
      <c r="E2142" s="33" t="s">
        <v>96</v>
      </c>
      <c r="F2142" s="31" t="s">
        <v>5108</v>
      </c>
      <c r="G2142" s="32">
        <v>100</v>
      </c>
      <c r="H2142" s="32">
        <v>1550</v>
      </c>
      <c r="I2142" s="32">
        <f t="shared" si="34"/>
        <v>1650</v>
      </c>
      <c r="J2142" s="33" t="s">
        <v>1123</v>
      </c>
      <c r="K2142" s="33" t="s">
        <v>5109</v>
      </c>
      <c r="L2142" s="33" t="s">
        <v>5110</v>
      </c>
      <c r="M2142" s="33"/>
      <c r="N2142" s="30"/>
      <c r="O2142" s="33"/>
      <c r="P2142" s="33"/>
      <c r="Q2142" s="30" t="str" cm="1">
        <f t="array" ref="Q2142">_xlfn.IFS(
A2142="","",
AND(A2142&lt;&gt;"",B2142=""),"FALTA LANÇAMENTO",
AND(B2142&lt;&gt;"",M2142=""),"FALTA O PEDIDO",
AND(M2142&lt;&gt;"",O2142=""),"FALTA NF",
O2142&lt;&gt;"","CONCLUÍDO")</f>
        <v>FALTA O PEDIDO</v>
      </c>
      <c r="R2142" s="33"/>
    </row>
    <row r="2143" spans="1:18" hidden="1">
      <c r="A2143" s="30">
        <v>46210</v>
      </c>
      <c r="B2143" s="30">
        <v>46220</v>
      </c>
      <c r="C2143" s="31">
        <v>51521045</v>
      </c>
      <c r="D2143" s="30" t="str">
        <f>IFERROR(VLOOKUP(Tabela5[[#This Row],[PREFIXO ]],Tabela4[#All],2,0),"CENTRO DE CUSTO")</f>
        <v>COLHED ALGODÃO JOHN DEERE CP 690</v>
      </c>
      <c r="E2143" s="33" t="s">
        <v>96</v>
      </c>
      <c r="F2143" s="31" t="s">
        <v>5111</v>
      </c>
      <c r="G2143" s="32">
        <v>200</v>
      </c>
      <c r="H2143" s="32">
        <v>1480.37</v>
      </c>
      <c r="I2143" s="32">
        <f t="shared" si="34"/>
        <v>1680.37</v>
      </c>
      <c r="J2143" s="33" t="s">
        <v>1123</v>
      </c>
      <c r="K2143" s="33" t="s">
        <v>5112</v>
      </c>
      <c r="L2143" s="33" t="s">
        <v>5113</v>
      </c>
      <c r="M2143" s="33"/>
      <c r="N2143" s="30"/>
      <c r="O2143" s="33"/>
      <c r="P2143" s="33"/>
      <c r="Q2143" s="30" t="str" cm="1">
        <f t="array" ref="Q2143">_xlfn.IFS(
A2143="","",
AND(A2143&lt;&gt;"",B2143=""),"FALTA LANÇAMENTO",
AND(B2143&lt;&gt;"",M2143=""),"FALTA O PEDIDO",
AND(M2143&lt;&gt;"",O2143=""),"FALTA NF",
O2143&lt;&gt;"","CONCLUÍDO")</f>
        <v>FALTA O PEDIDO</v>
      </c>
      <c r="R2143" s="33"/>
    </row>
    <row r="2144" spans="1:18" hidden="1">
      <c r="A2144" s="30">
        <v>46210</v>
      </c>
      <c r="B2144" s="30">
        <v>46216</v>
      </c>
      <c r="C2144" s="31">
        <v>31521013</v>
      </c>
      <c r="D2144" s="30" t="str">
        <f>IFERROR(VLOOKUP(Tabela5[[#This Row],[PREFIXO ]],Tabela4[#All],2,0),"CENTRO DE CUSTO")</f>
        <v>PULV AUTOPROP JACTO UNIPORT 3030</v>
      </c>
      <c r="E2144" s="33" t="s">
        <v>49</v>
      </c>
      <c r="F2144" s="31" t="s">
        <v>4643</v>
      </c>
      <c r="G2144" s="32">
        <v>1917.2</v>
      </c>
      <c r="H2144" s="32"/>
      <c r="I2144" s="32">
        <f t="shared" si="34"/>
        <v>1917.2</v>
      </c>
      <c r="J2144" s="33" t="s">
        <v>3654</v>
      </c>
      <c r="K2144" s="33" t="s">
        <v>5114</v>
      </c>
      <c r="L2144" s="33" t="s">
        <v>5115</v>
      </c>
      <c r="M2144" s="33"/>
      <c r="N2144" s="30"/>
      <c r="O2144" s="33"/>
      <c r="P2144" s="33"/>
      <c r="Q2144" s="30" t="str" cm="1">
        <f t="array" ref="Q2144">_xlfn.IFS(
A2144="","",
AND(A2144&lt;&gt;"",B2144=""),"FALTA LANÇAMENTO",
AND(B2144&lt;&gt;"",M2144=""),"FALTA O PEDIDO",
AND(M2144&lt;&gt;"",O2144=""),"FALTA NF",
O2144&lt;&gt;"","CONCLUÍDO")</f>
        <v>FALTA O PEDIDO</v>
      </c>
      <c r="R2144" s="33"/>
    </row>
    <row r="2145" spans="1:18" hidden="1">
      <c r="A2145" s="30">
        <v>46210</v>
      </c>
      <c r="B2145" s="30">
        <v>46216</v>
      </c>
      <c r="C2145" s="31">
        <v>31521015</v>
      </c>
      <c r="D2145" s="30" t="str">
        <f>IFERROR(VLOOKUP(Tabela5[[#This Row],[PREFIXO ]],Tabela4[#All],2,0),"CENTRO DE CUSTO")</f>
        <v>PULV AUTOPROP JACTO UNIPORT 3030</v>
      </c>
      <c r="E2145" s="33" t="s">
        <v>49</v>
      </c>
      <c r="F2145" s="31" t="s">
        <v>4649</v>
      </c>
      <c r="G2145" s="32">
        <v>833.6</v>
      </c>
      <c r="H2145" s="32"/>
      <c r="I2145" s="32">
        <f t="shared" si="34"/>
        <v>833.6</v>
      </c>
      <c r="J2145" s="33" t="s">
        <v>3654</v>
      </c>
      <c r="K2145" s="33" t="s">
        <v>5116</v>
      </c>
      <c r="L2145" s="33" t="s">
        <v>5115</v>
      </c>
      <c r="M2145" s="33"/>
      <c r="N2145" s="30"/>
      <c r="O2145" s="33"/>
      <c r="P2145" s="33"/>
      <c r="Q2145" s="30" t="str" cm="1">
        <f t="array" ref="Q2145">_xlfn.IFS(
A2145="","",
AND(A2145&lt;&gt;"",B2145=""),"FALTA LANÇAMENTO",
AND(B2145&lt;&gt;"",M2145=""),"FALTA O PEDIDO",
AND(M2145&lt;&gt;"",O2145=""),"FALTA NF",
O2145&lt;&gt;"","CONCLUÍDO")</f>
        <v>FALTA O PEDIDO</v>
      </c>
      <c r="R2145" s="33"/>
    </row>
    <row r="2146" spans="1:18" hidden="1">
      <c r="A2146" s="30">
        <v>46210</v>
      </c>
      <c r="B2146" s="30">
        <v>46216</v>
      </c>
      <c r="C2146" s="31">
        <v>31521014</v>
      </c>
      <c r="D2146" s="30" t="str">
        <f>IFERROR(VLOOKUP(Tabela5[[#This Row],[PREFIXO ]],Tabela4[#All],2,0),"CENTRO DE CUSTO")</f>
        <v>PULV AUTOPROP JACTO UNIPORT 3030</v>
      </c>
      <c r="E2146" s="33" t="s">
        <v>49</v>
      </c>
      <c r="F2146" s="31" t="s">
        <v>4655</v>
      </c>
      <c r="G2146" s="32">
        <v>4700</v>
      </c>
      <c r="H2146" s="32"/>
      <c r="I2146" s="32">
        <f t="shared" si="34"/>
        <v>4700</v>
      </c>
      <c r="J2146" s="33" t="s">
        <v>3654</v>
      </c>
      <c r="K2146" s="33" t="s">
        <v>5117</v>
      </c>
      <c r="L2146" s="33" t="s">
        <v>5115</v>
      </c>
      <c r="M2146" s="33"/>
      <c r="N2146" s="30"/>
      <c r="O2146" s="33"/>
      <c r="P2146" s="33"/>
      <c r="Q2146" s="30" t="str" cm="1">
        <f t="array" ref="Q2146">_xlfn.IFS(
A2146="","",
AND(A2146&lt;&gt;"",B2146=""),"FALTA LANÇAMENTO",
AND(B2146&lt;&gt;"",M2146=""),"FALTA O PEDIDO",
AND(M2146&lt;&gt;"",O2146=""),"FALTA NF",
O2146&lt;&gt;"","CONCLUÍDO")</f>
        <v>FALTA O PEDIDO</v>
      </c>
      <c r="R2146" s="33"/>
    </row>
    <row r="2147" spans="1:18" hidden="1">
      <c r="A2147" s="30">
        <v>46211</v>
      </c>
      <c r="B2147" s="30">
        <v>46213</v>
      </c>
      <c r="C2147" s="31" t="s">
        <v>5118</v>
      </c>
      <c r="D2147" s="30" t="str">
        <f>IFERROR(VLOOKUP(Tabela5[[#This Row],[PREFIXO ]],Tabela4[#All],2,0),"CENTRO DE CUSTO")</f>
        <v>CENTRO DE CUSTO</v>
      </c>
      <c r="E2147" s="33" t="s">
        <v>204</v>
      </c>
      <c r="F2147" s="31" t="s">
        <v>5118</v>
      </c>
      <c r="G2147" s="32">
        <v>1800</v>
      </c>
      <c r="H2147" s="32"/>
      <c r="I2147" s="32">
        <f t="shared" si="34"/>
        <v>1800</v>
      </c>
      <c r="J2147" s="33" t="s">
        <v>1085</v>
      </c>
      <c r="K2147" s="33" t="s">
        <v>5119</v>
      </c>
      <c r="L2147" s="33" t="s">
        <v>5120</v>
      </c>
      <c r="M2147" s="33" t="s">
        <v>5121</v>
      </c>
      <c r="N2147" s="30">
        <v>46213</v>
      </c>
      <c r="O2147" s="33"/>
      <c r="P2147" s="33"/>
      <c r="Q2147" s="30" t="str" cm="1">
        <f t="array" ref="Q2147">_xlfn.IFS(
A2147="","",
AND(A2147&lt;&gt;"",B2147=""),"FALTA LANÇAMENTO",
AND(B2147&lt;&gt;"",M2147=""),"FALTA O PEDIDO",
AND(M2147&lt;&gt;"",O2147=""),"FALTA NF",
O2147&lt;&gt;"","CONCLUÍDO")</f>
        <v>FALTA NF</v>
      </c>
      <c r="R2147" s="33"/>
    </row>
    <row r="2148" spans="1:18" hidden="1">
      <c r="A2148" s="30">
        <v>46211</v>
      </c>
      <c r="B2148" s="30"/>
      <c r="C2148" s="31"/>
      <c r="D2148" s="30" t="str">
        <f>IFERROR(VLOOKUP(Tabela5[[#This Row],[PREFIXO ]],Tabela4[#All],2,0),"CENTRO DE CUSTO")</f>
        <v>CENTRO DE CUSTO</v>
      </c>
      <c r="E2148" s="33" t="s">
        <v>97</v>
      </c>
      <c r="F2148" s="31"/>
      <c r="G2148" s="32"/>
      <c r="H2148" s="32"/>
      <c r="I2148" s="32">
        <f t="shared" si="34"/>
        <v>0</v>
      </c>
      <c r="J2148" s="33"/>
      <c r="K2148" s="33"/>
      <c r="L2148" s="33"/>
      <c r="M2148" s="33"/>
      <c r="N2148" s="30"/>
      <c r="O2148" s="33"/>
      <c r="P2148" s="33"/>
      <c r="Q2148" s="30" t="str" cm="1">
        <f t="array" ref="Q2148">_xlfn.IFS(
A2148="","",
AND(A2148&lt;&gt;"",B2148=""),"FALTA LANÇAMENTO",
AND(B2148&lt;&gt;"",M2148=""),"FALTA O PEDIDO",
AND(M2148&lt;&gt;"",O2148=""),"FALTA NF",
O2148&lt;&gt;"","CONCLUÍDO")</f>
        <v>FALTA LANÇAMENTO</v>
      </c>
      <c r="R2148" s="33"/>
    </row>
    <row r="2149" spans="1:18" hidden="1">
      <c r="A2149" s="30">
        <v>46211</v>
      </c>
      <c r="B2149" s="30">
        <v>46216</v>
      </c>
      <c r="C2149" s="31">
        <v>31521014</v>
      </c>
      <c r="D2149" s="30" t="str">
        <f>IFERROR(VLOOKUP(Tabela5[[#This Row],[PREFIXO ]],Tabela4[#All],2,0),"CENTRO DE CUSTO")</f>
        <v>PULV AUTOPROP JACTO UNIPORT 3030</v>
      </c>
      <c r="E2149" s="33" t="s">
        <v>49</v>
      </c>
      <c r="F2149" s="31" t="s">
        <v>4647</v>
      </c>
      <c r="G2149" s="32">
        <v>1937</v>
      </c>
      <c r="H2149" s="32"/>
      <c r="I2149" s="32">
        <f t="shared" si="34"/>
        <v>1937</v>
      </c>
      <c r="J2149" s="33" t="s">
        <v>3654</v>
      </c>
      <c r="K2149" s="33" t="s">
        <v>5122</v>
      </c>
      <c r="L2149" s="33" t="s">
        <v>5115</v>
      </c>
      <c r="M2149" s="33"/>
      <c r="N2149" s="30"/>
      <c r="O2149" s="33"/>
      <c r="P2149" s="33"/>
      <c r="Q2149" s="30" t="str" cm="1">
        <f t="array" ref="Q2149">_xlfn.IFS(
A2149="","",
AND(A2149&lt;&gt;"",B2149=""),"FALTA LANÇAMENTO",
AND(B2149&lt;&gt;"",M2149=""),"FALTA O PEDIDO",
AND(M2149&lt;&gt;"",O2149=""),"FALTA NF",
O2149&lt;&gt;"","CONCLUÍDO")</f>
        <v>FALTA O PEDIDO</v>
      </c>
      <c r="R2149" s="33"/>
    </row>
    <row r="2150" spans="1:18" hidden="1">
      <c r="A2150" s="30">
        <v>46211</v>
      </c>
      <c r="B2150" s="30">
        <v>46216</v>
      </c>
      <c r="C2150" s="31">
        <v>31521019</v>
      </c>
      <c r="D2150" s="30" t="str">
        <f>IFERROR(VLOOKUP(Tabela5[[#This Row],[PREFIXO ]],Tabela4[#All],2,0),"CENTRO DE CUSTO")</f>
        <v>PULV AUTOPROP JACTO UNIPORT 3030</v>
      </c>
      <c r="E2150" s="33" t="s">
        <v>49</v>
      </c>
      <c r="F2150" s="31" t="s">
        <v>4645</v>
      </c>
      <c r="G2150" s="32">
        <v>1417.2</v>
      </c>
      <c r="H2150" s="32"/>
      <c r="I2150" s="32">
        <f t="shared" si="34"/>
        <v>1417.2</v>
      </c>
      <c r="J2150" s="33" t="s">
        <v>3654</v>
      </c>
      <c r="K2150" s="33" t="s">
        <v>5123</v>
      </c>
      <c r="L2150" s="33" t="s">
        <v>5115</v>
      </c>
      <c r="M2150" s="33"/>
      <c r="N2150" s="30"/>
      <c r="O2150" s="33"/>
      <c r="P2150" s="33"/>
      <c r="Q2150" s="30" t="str" cm="1">
        <f t="array" ref="Q2150">_xlfn.IFS(
A2150="","",
AND(A2150&lt;&gt;"",B2150=""),"FALTA LANÇAMENTO",
AND(B2150&lt;&gt;"",M2150=""),"FALTA O PEDIDO",
AND(M2150&lt;&gt;"",O2150=""),"FALTA NF",
O2150&lt;&gt;"","CONCLUÍDO")</f>
        <v>FALTA O PEDIDO</v>
      </c>
      <c r="R2150" s="33"/>
    </row>
    <row r="2151" spans="1:18" hidden="1">
      <c r="A2151" s="30">
        <v>46211</v>
      </c>
      <c r="B2151" s="30">
        <v>46217</v>
      </c>
      <c r="C2151" s="31">
        <v>61521011</v>
      </c>
      <c r="D2151" s="30" t="str">
        <f>IFERROR(VLOOKUP(Tabela5[[#This Row],[PREFIXO ]],Tabela4[#All],2,0),"CENTRO DE CUSTO")</f>
        <v>CAM COMBOIO MERC BENZ ATRON 2729</v>
      </c>
      <c r="E2151" s="33" t="s">
        <v>276</v>
      </c>
      <c r="F2151" s="31">
        <v>61521011</v>
      </c>
      <c r="G2151" s="32">
        <v>639</v>
      </c>
      <c r="H2151" s="32"/>
      <c r="I2151" s="32">
        <f t="shared" si="34"/>
        <v>639</v>
      </c>
      <c r="J2151" s="33" t="s">
        <v>1085</v>
      </c>
      <c r="K2151" s="33" t="s">
        <v>5124</v>
      </c>
      <c r="L2151" s="33" t="s">
        <v>5125</v>
      </c>
      <c r="M2151" s="33"/>
      <c r="N2151" s="30"/>
      <c r="O2151" s="33"/>
      <c r="P2151" s="33"/>
      <c r="Q2151" s="30" t="str" cm="1">
        <f t="array" ref="Q2151">_xlfn.IFS(
A2151="","",
AND(A2151&lt;&gt;"",B2151=""),"FALTA LANÇAMENTO",
AND(B2151&lt;&gt;"",M2151=""),"FALTA O PEDIDO",
AND(M2151&lt;&gt;"",O2151=""),"FALTA NF",
O2151&lt;&gt;"","CONCLUÍDO")</f>
        <v>FALTA O PEDIDO</v>
      </c>
      <c r="R2151" s="33"/>
    </row>
    <row r="2152" spans="1:18" hidden="1">
      <c r="A2152" s="30">
        <v>46211</v>
      </c>
      <c r="B2152" s="30">
        <v>46216</v>
      </c>
      <c r="C2152" s="31">
        <v>61521107</v>
      </c>
      <c r="D2152" s="30" t="str">
        <f>IFERROR(VLOOKUP(Tabela5[[#This Row],[PREFIXO ]],Tabela4[#All],2,0),"CENTRO DE CUSTO")</f>
        <v>CAMINHAO COMBOIO MB AXOR 3131</v>
      </c>
      <c r="E2152" s="33" t="s">
        <v>24</v>
      </c>
      <c r="F2152" s="31" t="s">
        <v>5126</v>
      </c>
      <c r="G2152" s="32">
        <v>1207.8</v>
      </c>
      <c r="H2152" s="32">
        <v>5605.97</v>
      </c>
      <c r="I2152" s="32">
        <f t="shared" si="34"/>
        <v>6813.77</v>
      </c>
      <c r="J2152" s="33" t="s">
        <v>1085</v>
      </c>
      <c r="K2152" s="33" t="s">
        <v>5127</v>
      </c>
      <c r="L2152" s="33" t="s">
        <v>5128</v>
      </c>
      <c r="M2152" s="33"/>
      <c r="N2152" s="30"/>
      <c r="O2152" s="33"/>
      <c r="P2152" s="33"/>
      <c r="Q2152" s="30" t="str" cm="1">
        <f t="array" ref="Q2152">_xlfn.IFS(
A2152="","",
AND(A2152&lt;&gt;"",B2152=""),"FALTA LANÇAMENTO",
AND(B2152&lt;&gt;"",M2152=""),"FALTA O PEDIDO",
AND(M2152&lt;&gt;"",O2152=""),"FALTA NF",
O2152&lt;&gt;"","CONCLUÍDO")</f>
        <v>FALTA O PEDIDO</v>
      </c>
      <c r="R2152" s="33"/>
    </row>
    <row r="2153" spans="1:18" hidden="1">
      <c r="A2153" s="30">
        <v>46213</v>
      </c>
      <c r="B2153" s="30">
        <v>46218</v>
      </c>
      <c r="C2153" s="31">
        <v>5173120</v>
      </c>
      <c r="D2153" s="30" t="str">
        <f>IFERROR(VLOOKUP(Tabela5[[#This Row],[PREFIXO ]],Tabela4[#All],2,0),"CENTRO DE CUSTO")</f>
        <v>COLHED ALGODÃO JOHN DEERE 7760</v>
      </c>
      <c r="E2153" s="33" t="s">
        <v>255</v>
      </c>
      <c r="F2153" s="31">
        <v>1017</v>
      </c>
      <c r="G2153" s="32">
        <v>1700</v>
      </c>
      <c r="H2153" s="32"/>
      <c r="I2153" s="32">
        <f t="shared" si="34"/>
        <v>1700</v>
      </c>
      <c r="J2153" s="33" t="s">
        <v>1123</v>
      </c>
      <c r="K2153" s="33" t="s">
        <v>5129</v>
      </c>
      <c r="L2153" s="33" t="s">
        <v>5130</v>
      </c>
      <c r="M2153" s="33"/>
      <c r="N2153" s="30"/>
      <c r="O2153" s="33"/>
      <c r="P2153" s="33"/>
      <c r="Q2153" s="30" t="str" cm="1">
        <f t="array" ref="Q2153">_xlfn.IFS(
A2153="","",
AND(A2153&lt;&gt;"",B2153=""),"FALTA LANÇAMENTO",
AND(B2153&lt;&gt;"",M2153=""),"FALTA O PEDIDO",
AND(M2153&lt;&gt;"",O2153=""),"FALTA NF",
O2153&lt;&gt;"","CONCLUÍDO")</f>
        <v>FALTA O PEDIDO</v>
      </c>
      <c r="R2153" s="33"/>
    </row>
    <row r="2154" spans="1:18" hidden="1">
      <c r="A2154" s="30">
        <v>46213</v>
      </c>
      <c r="B2154" s="30">
        <v>46218</v>
      </c>
      <c r="C2154" s="31" t="s">
        <v>5131</v>
      </c>
      <c r="D2154" s="30" t="str">
        <f>IFERROR(VLOOKUP(Tabela5[[#This Row],[PREFIXO ]],Tabela4[#All],2,0),"CENTRO DE CUSTO")</f>
        <v>CENTRO DE CUSTO</v>
      </c>
      <c r="E2154" s="33" t="s">
        <v>255</v>
      </c>
      <c r="F2154" s="31">
        <v>1016</v>
      </c>
      <c r="G2154" s="32">
        <v>1300</v>
      </c>
      <c r="H2154" s="32"/>
      <c r="I2154" s="32">
        <f t="shared" si="34"/>
        <v>1300</v>
      </c>
      <c r="J2154" s="33" t="s">
        <v>1123</v>
      </c>
      <c r="K2154" s="33" t="s">
        <v>5132</v>
      </c>
      <c r="L2154" s="33" t="s">
        <v>5130</v>
      </c>
      <c r="M2154" s="33"/>
      <c r="N2154" s="30"/>
      <c r="O2154" s="33"/>
      <c r="P2154" s="33"/>
      <c r="Q2154" s="30" t="str" cm="1">
        <f t="array" ref="Q2154">_xlfn.IFS(
A2154="","",
AND(A2154&lt;&gt;"",B2154=""),"FALTA LANÇAMENTO",
AND(B2154&lt;&gt;"",M2154=""),"FALTA O PEDIDO",
AND(M2154&lt;&gt;"",O2154=""),"FALTA NF",
O2154&lt;&gt;"","CONCLUÍDO")</f>
        <v>FALTA O PEDIDO</v>
      </c>
      <c r="R2154" s="33"/>
    </row>
    <row r="2155" spans="1:18" hidden="1">
      <c r="A2155" s="30">
        <v>46213</v>
      </c>
      <c r="B2155" s="30">
        <v>46218</v>
      </c>
      <c r="C2155" s="31" t="s">
        <v>5133</v>
      </c>
      <c r="D2155" s="30" t="str">
        <f>IFERROR(VLOOKUP(Tabela5[[#This Row],[PREFIXO ]],Tabela4[#All],2,0),"CENTRO DE CUSTO")</f>
        <v>CENTRO DE CUSTO</v>
      </c>
      <c r="E2155" s="33" t="s">
        <v>255</v>
      </c>
      <c r="F2155" s="31">
        <v>1015</v>
      </c>
      <c r="G2155" s="32">
        <v>1350</v>
      </c>
      <c r="H2155" s="32"/>
      <c r="I2155" s="32">
        <f t="shared" si="34"/>
        <v>1350</v>
      </c>
      <c r="J2155" s="33" t="s">
        <v>1123</v>
      </c>
      <c r="K2155" s="33" t="s">
        <v>5134</v>
      </c>
      <c r="L2155" s="33" t="s">
        <v>5130</v>
      </c>
      <c r="M2155" s="33"/>
      <c r="N2155" s="30"/>
      <c r="O2155" s="33"/>
      <c r="P2155" s="33"/>
      <c r="Q2155" s="30" t="str" cm="1">
        <f t="array" ref="Q2155">_xlfn.IFS(
A2155="","",
AND(A2155&lt;&gt;"",B2155=""),"FALTA LANÇAMENTO",
AND(B2155&lt;&gt;"",M2155=""),"FALTA O PEDIDO",
AND(M2155&lt;&gt;"",O2155=""),"FALTA NF",
O2155&lt;&gt;"","CONCLUÍDO")</f>
        <v>FALTA O PEDIDO</v>
      </c>
      <c r="R2155" s="33"/>
    </row>
    <row r="2156" spans="1:18" hidden="1">
      <c r="A2156" s="30">
        <v>46213</v>
      </c>
      <c r="B2156" s="30">
        <v>46218</v>
      </c>
      <c r="C2156" s="31" t="s">
        <v>5135</v>
      </c>
      <c r="D2156" s="30" t="str">
        <f>IFERROR(VLOOKUP(Tabela5[[#This Row],[PREFIXO ]],Tabela4[#All],2,0),"CENTRO DE CUSTO")</f>
        <v>CENTRO DE CUSTO</v>
      </c>
      <c r="E2156" s="33" t="s">
        <v>255</v>
      </c>
      <c r="F2156" s="31">
        <v>1014</v>
      </c>
      <c r="G2156" s="32">
        <v>1300</v>
      </c>
      <c r="H2156" s="32"/>
      <c r="I2156" s="32">
        <f t="shared" si="34"/>
        <v>1300</v>
      </c>
      <c r="J2156" s="33" t="s">
        <v>1123</v>
      </c>
      <c r="K2156" s="33" t="s">
        <v>5136</v>
      </c>
      <c r="L2156" s="33" t="s">
        <v>5130</v>
      </c>
      <c r="M2156" s="33"/>
      <c r="N2156" s="30"/>
      <c r="O2156" s="33"/>
      <c r="P2156" s="33"/>
      <c r="Q2156" s="30" t="str" cm="1">
        <f t="array" ref="Q2156">_xlfn.IFS(
A2156="","",
AND(A2156&lt;&gt;"",B2156=""),"FALTA LANÇAMENTO",
AND(B2156&lt;&gt;"",M2156=""),"FALTA O PEDIDO",
AND(M2156&lt;&gt;"",O2156=""),"FALTA NF",
O2156&lt;&gt;"","CONCLUÍDO")</f>
        <v>FALTA O PEDIDO</v>
      </c>
      <c r="R2156" s="33"/>
    </row>
    <row r="2157" spans="1:18" hidden="1">
      <c r="A2157" s="30">
        <v>46213</v>
      </c>
      <c r="B2157" s="30">
        <v>46218</v>
      </c>
      <c r="C2157" s="31">
        <v>51521088</v>
      </c>
      <c r="D2157" s="30" t="str">
        <f>IFERROR(VLOOKUP(Tabela5[[#This Row],[PREFIXO ]],Tabela4[#All],2,0),"CENTRO DE CUSTO")</f>
        <v>COLHEIT DE GRÃOS N.HOLLAND CR 8.90</v>
      </c>
      <c r="E2157" s="33" t="s">
        <v>255</v>
      </c>
      <c r="F2157" s="31">
        <v>1013</v>
      </c>
      <c r="G2157" s="32">
        <v>1650</v>
      </c>
      <c r="H2157" s="32"/>
      <c r="I2157" s="32">
        <f t="shared" si="34"/>
        <v>1650</v>
      </c>
      <c r="J2157" s="33" t="s">
        <v>1123</v>
      </c>
      <c r="K2157" s="33" t="s">
        <v>5137</v>
      </c>
      <c r="L2157" s="33" t="s">
        <v>5130</v>
      </c>
      <c r="M2157" s="33"/>
      <c r="N2157" s="30"/>
      <c r="O2157" s="33"/>
      <c r="P2157" s="33"/>
      <c r="Q2157" s="30" t="str" cm="1">
        <f t="array" ref="Q2157">_xlfn.IFS(
A2157="","",
AND(A2157&lt;&gt;"",B2157=""),"FALTA LANÇAMENTO",
AND(B2157&lt;&gt;"",M2157=""),"FALTA O PEDIDO",
AND(M2157&lt;&gt;"",O2157=""),"FALTA NF",
O2157&lt;&gt;"","CONCLUÍDO")</f>
        <v>FALTA O PEDIDO</v>
      </c>
      <c r="R2157" s="33"/>
    </row>
    <row r="2158" spans="1:18" hidden="1">
      <c r="A2158" s="30">
        <v>46213</v>
      </c>
      <c r="B2158" s="30">
        <v>46218</v>
      </c>
      <c r="C2158" s="31">
        <v>5173117</v>
      </c>
      <c r="D2158" s="30" t="str">
        <f>IFERROR(VLOOKUP(Tabela5[[#This Row],[PREFIXO ]],Tabela4[#All],2,0),"CENTRO DE CUSTO")</f>
        <v>COLHED ALGODÃO JOHN DEERE 7760</v>
      </c>
      <c r="E2158" s="33" t="s">
        <v>255</v>
      </c>
      <c r="F2158" s="31">
        <v>1012</v>
      </c>
      <c r="G2158" s="32">
        <v>1600</v>
      </c>
      <c r="H2158" s="32"/>
      <c r="I2158" s="32">
        <f t="shared" si="34"/>
        <v>1600</v>
      </c>
      <c r="J2158" s="33" t="s">
        <v>1123</v>
      </c>
      <c r="K2158" s="33" t="s">
        <v>5138</v>
      </c>
      <c r="L2158" s="33" t="s">
        <v>5130</v>
      </c>
      <c r="M2158" s="33"/>
      <c r="N2158" s="30"/>
      <c r="O2158" s="33"/>
      <c r="P2158" s="33"/>
      <c r="Q2158" s="30" t="str" cm="1">
        <f t="array" ref="Q2158">_xlfn.IFS(
A2158="","",
AND(A2158&lt;&gt;"",B2158=""),"FALTA LANÇAMENTO",
AND(B2158&lt;&gt;"",M2158=""),"FALTA O PEDIDO",
AND(M2158&lt;&gt;"",O2158=""),"FALTA NF",
O2158&lt;&gt;"","CONCLUÍDO")</f>
        <v>FALTA O PEDIDO</v>
      </c>
      <c r="R2158" s="33"/>
    </row>
    <row r="2159" spans="1:18" hidden="1">
      <c r="A2159" s="30">
        <v>46213</v>
      </c>
      <c r="B2159" s="30">
        <v>46218</v>
      </c>
      <c r="C2159" s="31">
        <v>51519055</v>
      </c>
      <c r="D2159" s="30" t="str">
        <f>IFERROR(VLOOKUP(Tabela5[[#This Row],[PREFIXO ]],Tabela4[#All],2,0),"CENTRO DE CUSTO")</f>
        <v>COLHED ALGODÃO JOHN DEERE CP 770</v>
      </c>
      <c r="E2159" s="33" t="s">
        <v>255</v>
      </c>
      <c r="F2159" s="31">
        <v>1011</v>
      </c>
      <c r="G2159" s="32">
        <v>1550</v>
      </c>
      <c r="H2159" s="32"/>
      <c r="I2159" s="32">
        <f t="shared" si="34"/>
        <v>1550</v>
      </c>
      <c r="J2159" s="33" t="s">
        <v>1123</v>
      </c>
      <c r="K2159" s="33" t="s">
        <v>5139</v>
      </c>
      <c r="L2159" s="33" t="s">
        <v>5130</v>
      </c>
      <c r="M2159" s="33"/>
      <c r="N2159" s="30"/>
      <c r="O2159" s="33"/>
      <c r="P2159" s="33"/>
      <c r="Q2159" s="30" t="str" cm="1">
        <f t="array" ref="Q2159">_xlfn.IFS(
A2159="","",
AND(A2159&lt;&gt;"",B2159=""),"FALTA LANÇAMENTO",
AND(B2159&lt;&gt;"",M2159=""),"FALTA O PEDIDO",
AND(M2159&lt;&gt;"",O2159=""),"FALTA NF",
O2159&lt;&gt;"","CONCLUÍDO")</f>
        <v>FALTA O PEDIDO</v>
      </c>
      <c r="R2159" s="33"/>
    </row>
    <row r="2160" spans="1:18" hidden="1">
      <c r="A2160" s="30">
        <v>46213</v>
      </c>
      <c r="B2160" s="30">
        <v>46223</v>
      </c>
      <c r="C2160" s="31">
        <v>51521047</v>
      </c>
      <c r="D2160" s="30" t="str">
        <f>IFERROR(VLOOKUP(Tabela5[[#This Row],[PREFIXO ]],Tabela4[#All],2,0),"CENTRO DE CUSTO")</f>
        <v>COLHED ALGODÃO JOHN DEERE CP 690</v>
      </c>
      <c r="E2160" s="33" t="s">
        <v>71</v>
      </c>
      <c r="F2160" s="31">
        <v>7811</v>
      </c>
      <c r="G2160" s="32">
        <v>13415</v>
      </c>
      <c r="H2160" s="32">
        <v>10306.98</v>
      </c>
      <c r="I2160" s="32">
        <f t="shared" si="34"/>
        <v>23721.98</v>
      </c>
      <c r="J2160" s="33" t="s">
        <v>1123</v>
      </c>
      <c r="K2160" s="33" t="s">
        <v>5140</v>
      </c>
      <c r="L2160" s="33" t="s">
        <v>5141</v>
      </c>
      <c r="M2160" s="33"/>
      <c r="N2160" s="30"/>
      <c r="O2160" s="33"/>
      <c r="P2160" s="33"/>
      <c r="Q2160" s="30" t="str" cm="1">
        <f t="array" ref="Q2160">_xlfn.IFS(
A2160="","",
AND(A2160&lt;&gt;"",B2160=""),"FALTA LANÇAMENTO",
AND(B2160&lt;&gt;"",M2160=""),"FALTA O PEDIDO",
AND(M2160&lt;&gt;"",O2160=""),"FALTA NF",
O2160&lt;&gt;"","CONCLUÍDO")</f>
        <v>FALTA O PEDIDO</v>
      </c>
      <c r="R2160" s="33"/>
    </row>
    <row r="2161" spans="1:18" hidden="1">
      <c r="A2161" s="30">
        <v>46213</v>
      </c>
      <c r="B2161" s="30">
        <v>46216</v>
      </c>
      <c r="C2161" s="31">
        <v>5173118</v>
      </c>
      <c r="D2161" s="30" t="str">
        <f>IFERROR(VLOOKUP(Tabela5[[#This Row],[PREFIXO ]],Tabela4[#All],2,0),"CENTRO DE CUSTO")</f>
        <v>COLHED ALGODÃO JOHN DEERE 7760</v>
      </c>
      <c r="E2161" s="33" t="s">
        <v>9</v>
      </c>
      <c r="F2161" s="31">
        <v>2717</v>
      </c>
      <c r="G2161" s="32">
        <v>2473</v>
      </c>
      <c r="H2161" s="32"/>
      <c r="I2161" s="32">
        <f t="shared" si="34"/>
        <v>2473</v>
      </c>
      <c r="J2161" s="33" t="s">
        <v>2901</v>
      </c>
      <c r="K2161" s="33" t="s">
        <v>5142</v>
      </c>
      <c r="L2161" s="33" t="s">
        <v>5143</v>
      </c>
      <c r="M2161" s="33"/>
      <c r="N2161" s="30"/>
      <c r="O2161" s="33"/>
      <c r="P2161" s="33"/>
      <c r="Q2161" s="30" t="str" cm="1">
        <f t="array" ref="Q2161">_xlfn.IFS(
A2161="","",
AND(A2161&lt;&gt;"",B2161=""),"FALTA LANÇAMENTO",
AND(B2161&lt;&gt;"",M2161=""),"FALTA O PEDIDO",
AND(M2161&lt;&gt;"",O2161=""),"FALTA NF",
O2161&lt;&gt;"","CONCLUÍDO")</f>
        <v>FALTA O PEDIDO</v>
      </c>
      <c r="R2161" s="33"/>
    </row>
    <row r="2162" spans="1:18" hidden="1">
      <c r="A2162" s="30">
        <v>46213</v>
      </c>
      <c r="B2162" s="30">
        <v>46216</v>
      </c>
      <c r="C2162" s="31">
        <v>5173118</v>
      </c>
      <c r="D2162" s="30" t="str">
        <f>IFERROR(VLOOKUP(Tabela5[[#This Row],[PREFIXO ]],Tabela4[#All],2,0),"CENTRO DE CUSTO")</f>
        <v>COLHED ALGODÃO JOHN DEERE 7760</v>
      </c>
      <c r="E2162" s="33" t="s">
        <v>9</v>
      </c>
      <c r="F2162" s="31">
        <v>2718</v>
      </c>
      <c r="G2162" s="32">
        <v>900</v>
      </c>
      <c r="H2162" s="32"/>
      <c r="I2162" s="32">
        <f t="shared" si="34"/>
        <v>900</v>
      </c>
      <c r="J2162" s="33" t="s">
        <v>2901</v>
      </c>
      <c r="K2162" s="33" t="s">
        <v>5142</v>
      </c>
      <c r="L2162" s="33" t="s">
        <v>5143</v>
      </c>
      <c r="M2162" s="33"/>
      <c r="N2162" s="30"/>
      <c r="O2162" s="33"/>
      <c r="P2162" s="33"/>
      <c r="Q2162" s="30" t="str" cm="1">
        <f t="array" ref="Q2162">_xlfn.IFS(
A2162="","",
AND(A2162&lt;&gt;"",B2162=""),"FALTA LANÇAMENTO",
AND(B2162&lt;&gt;"",M2162=""),"FALTA O PEDIDO",
AND(M2162&lt;&gt;"",O2162=""),"FALTA NF",
O2162&lt;&gt;"","CONCLUÍDO")</f>
        <v>FALTA O PEDIDO</v>
      </c>
      <c r="R2162" s="33"/>
    </row>
    <row r="2163" spans="1:18" hidden="1">
      <c r="A2163" s="30">
        <v>46213</v>
      </c>
      <c r="B2163" s="30">
        <v>46216</v>
      </c>
      <c r="C2163" s="31">
        <v>615221002</v>
      </c>
      <c r="D2163" s="30" t="str">
        <f>IFERROR(VLOOKUP(Tabela5[[#This Row],[PREFIXO ]],Tabela4[#All],2,0),"CENTRO DE CUSTO")</f>
        <v>CENTRO DE CUSTO</v>
      </c>
      <c r="E2163" s="33" t="s">
        <v>372</v>
      </c>
      <c r="F2163" s="31">
        <v>2</v>
      </c>
      <c r="G2163" s="32">
        <v>7560</v>
      </c>
      <c r="H2163" s="32">
        <v>1512</v>
      </c>
      <c r="I2163" s="32">
        <f t="shared" si="34"/>
        <v>9072</v>
      </c>
      <c r="J2163" s="33" t="s">
        <v>1085</v>
      </c>
      <c r="K2163" s="33" t="s">
        <v>5144</v>
      </c>
      <c r="L2163" s="33" t="s">
        <v>5145</v>
      </c>
      <c r="M2163" s="33"/>
      <c r="N2163" s="30"/>
      <c r="O2163" s="33"/>
      <c r="P2163" s="33"/>
      <c r="Q2163" s="30" t="str" cm="1">
        <f t="array" ref="Q2163">_xlfn.IFS(
A2163="","",
AND(A2163&lt;&gt;"",B2163=""),"FALTA LANÇAMENTO",
AND(B2163&lt;&gt;"",M2163=""),"FALTA O PEDIDO",
AND(M2163&lt;&gt;"",O2163=""),"FALTA NF",
O2163&lt;&gt;"","CONCLUÍDO")</f>
        <v>FALTA O PEDIDO</v>
      </c>
      <c r="R2163" s="33"/>
    </row>
    <row r="2164" spans="1:18" hidden="1">
      <c r="A2164" s="30">
        <v>46213</v>
      </c>
      <c r="B2164" s="30">
        <v>46218</v>
      </c>
      <c r="C2164" s="31">
        <v>51521055</v>
      </c>
      <c r="D2164" s="30" t="str">
        <f>IFERROR(VLOOKUP(Tabela5[[#This Row],[PREFIXO ]],Tabela4[#All],2,0),"CENTRO DE CUSTO")</f>
        <v>COLHED ALGODÃO JOHN DEERE CP 690</v>
      </c>
      <c r="E2164" s="33" t="s">
        <v>17</v>
      </c>
      <c r="F2164" s="31">
        <v>44087</v>
      </c>
      <c r="G2164" s="32">
        <v>2228.59</v>
      </c>
      <c r="H2164" s="32">
        <v>12324.96</v>
      </c>
      <c r="I2164" s="32">
        <f t="shared" si="34"/>
        <v>14553.55</v>
      </c>
      <c r="J2164" s="33" t="s">
        <v>1123</v>
      </c>
      <c r="K2164" s="33" t="s">
        <v>5146</v>
      </c>
      <c r="L2164" s="33" t="s">
        <v>5147</v>
      </c>
      <c r="M2164" s="33"/>
      <c r="N2164" s="30"/>
      <c r="O2164" s="33"/>
      <c r="P2164" s="33"/>
      <c r="Q2164" s="30" t="str" cm="1">
        <f t="array" ref="Q2164">_xlfn.IFS(
A2164="","",
AND(A2164&lt;&gt;"",B2164=""),"FALTA LANÇAMENTO",
AND(B2164&lt;&gt;"",M2164=""),"FALTA O PEDIDO",
AND(M2164&lt;&gt;"",O2164=""),"FALTA NF",
O2164&lt;&gt;"","CONCLUÍDO")</f>
        <v>FALTA O PEDIDO</v>
      </c>
      <c r="R2164" s="33"/>
    </row>
    <row r="2165" spans="1:18" hidden="1">
      <c r="A2165" s="30">
        <v>46213</v>
      </c>
      <c r="B2165" s="30">
        <v>46217</v>
      </c>
      <c r="C2165" s="31">
        <v>5173116</v>
      </c>
      <c r="D2165" s="30" t="str">
        <f>IFERROR(VLOOKUP(Tabela5[[#This Row],[PREFIXO ]],Tabela4[#All],2,0),"CENTRO DE CUSTO")</f>
        <v>COLHED ALGODÃO JOHN DEERE 7760</v>
      </c>
      <c r="E2165" s="33" t="s">
        <v>17</v>
      </c>
      <c r="F2165" s="31">
        <v>44845</v>
      </c>
      <c r="G2165" s="32">
        <v>4251.91</v>
      </c>
      <c r="H2165" s="32">
        <v>49582.63</v>
      </c>
      <c r="I2165" s="32">
        <f t="shared" si="34"/>
        <v>53834.539999999994</v>
      </c>
      <c r="J2165" s="33" t="s">
        <v>1123</v>
      </c>
      <c r="K2165" s="33" t="s">
        <v>5148</v>
      </c>
      <c r="L2165" s="33" t="s">
        <v>5149</v>
      </c>
      <c r="M2165" s="33"/>
      <c r="N2165" s="30"/>
      <c r="O2165" s="33"/>
      <c r="P2165" s="33"/>
      <c r="Q2165" s="30" t="str" cm="1">
        <f t="array" ref="Q2165">_xlfn.IFS(
A2165="","",
AND(A2165&lt;&gt;"",B2165=""),"FALTA LANÇAMENTO",
AND(B2165&lt;&gt;"",M2165=""),"FALTA O PEDIDO",
AND(M2165&lt;&gt;"",O2165=""),"FALTA NF",
O2165&lt;&gt;"","CONCLUÍDO")</f>
        <v>FALTA O PEDIDO</v>
      </c>
      <c r="R2165" s="33"/>
    </row>
    <row r="2166" spans="1:18" hidden="1">
      <c r="A2166" s="30">
        <v>46213</v>
      </c>
      <c r="B2166" s="30">
        <v>46217</v>
      </c>
      <c r="C2166" s="31">
        <v>51521072</v>
      </c>
      <c r="D2166" s="30" t="str">
        <f>IFERROR(VLOOKUP(Tabela5[[#This Row],[PREFIXO ]],Tabela4[#All],2,0),"CENTRO DE CUSTO")</f>
        <v>COLHED ALGODÃO JOHN DEERE CP 690</v>
      </c>
      <c r="E2166" s="33" t="s">
        <v>17</v>
      </c>
      <c r="F2166" s="31">
        <v>44855</v>
      </c>
      <c r="G2166" s="32">
        <v>4441.3500000000004</v>
      </c>
      <c r="H2166" s="32">
        <v>49582.63</v>
      </c>
      <c r="I2166" s="32">
        <f t="shared" si="34"/>
        <v>54023.979999999996</v>
      </c>
      <c r="J2166" s="33" t="s">
        <v>1123</v>
      </c>
      <c r="K2166" s="33" t="s">
        <v>5150</v>
      </c>
      <c r="L2166" s="33" t="s">
        <v>5151</v>
      </c>
      <c r="M2166" s="33"/>
      <c r="N2166" s="30"/>
      <c r="O2166" s="33"/>
      <c r="P2166" s="33"/>
      <c r="Q2166" s="30" t="str" cm="1">
        <f t="array" ref="Q2166">_xlfn.IFS(
A2166="","",
AND(A2166&lt;&gt;"",B2166=""),"FALTA LANÇAMENTO",
AND(B2166&lt;&gt;"",M2166=""),"FALTA O PEDIDO",
AND(M2166&lt;&gt;"",O2166=""),"FALTA NF",
O2166&lt;&gt;"","CONCLUÍDO")</f>
        <v>FALTA O PEDIDO</v>
      </c>
      <c r="R2166" s="33"/>
    </row>
    <row r="2167" spans="1:18" hidden="1">
      <c r="A2167" s="30">
        <v>46213</v>
      </c>
      <c r="B2167" s="30">
        <v>46217</v>
      </c>
      <c r="C2167" s="31">
        <v>51521051</v>
      </c>
      <c r="D2167" s="30" t="str">
        <f>IFERROR(VLOOKUP(Tabela5[[#This Row],[PREFIXO ]],Tabela4[#All],2,0),"CENTRO DE CUSTO")</f>
        <v>COLHED ALGODÃO JOHN DEERE CP 690</v>
      </c>
      <c r="E2167" s="33" t="s">
        <v>17</v>
      </c>
      <c r="F2167" s="31">
        <v>44851</v>
      </c>
      <c r="G2167" s="32">
        <v>3480</v>
      </c>
      <c r="H2167" s="32">
        <v>49820.28</v>
      </c>
      <c r="I2167" s="32">
        <f t="shared" si="34"/>
        <v>53300.28</v>
      </c>
      <c r="J2167" s="33" t="s">
        <v>1123</v>
      </c>
      <c r="K2167" s="33" t="s">
        <v>5152</v>
      </c>
      <c r="L2167" s="33" t="s">
        <v>5153</v>
      </c>
      <c r="M2167" s="33"/>
      <c r="N2167" s="30"/>
      <c r="O2167" s="33"/>
      <c r="P2167" s="33"/>
      <c r="Q2167" s="30" t="str" cm="1">
        <f t="array" ref="Q2167">_xlfn.IFS(
A2167="","",
AND(A2167&lt;&gt;"",B2167=""),"FALTA LANÇAMENTO",
AND(B2167&lt;&gt;"",M2167=""),"FALTA O PEDIDO",
AND(M2167&lt;&gt;"",O2167=""),"FALTA NF",
O2167&lt;&gt;"","CONCLUÍDO")</f>
        <v>FALTA O PEDIDO</v>
      </c>
      <c r="R2167" s="33"/>
    </row>
    <row r="2168" spans="1:18" hidden="1">
      <c r="A2168" s="30">
        <v>46213</v>
      </c>
      <c r="B2168" s="30">
        <v>46218</v>
      </c>
      <c r="C2168" s="31">
        <v>51521058</v>
      </c>
      <c r="D2168" s="30" t="str">
        <f>IFERROR(VLOOKUP(Tabela5[[#This Row],[PREFIXO ]],Tabela4[#All],2,0),"CENTRO DE CUSTO")</f>
        <v>COLHED ALGODÃO JOHN DEERE CP 690</v>
      </c>
      <c r="E2168" s="33" t="s">
        <v>17</v>
      </c>
      <c r="F2168" s="31">
        <v>44827</v>
      </c>
      <c r="G2168" s="32">
        <v>8876.39</v>
      </c>
      <c r="H2168" s="32">
        <v>6610.69</v>
      </c>
      <c r="I2168" s="32">
        <f t="shared" si="34"/>
        <v>15487.079999999998</v>
      </c>
      <c r="J2168" s="33" t="s">
        <v>1123</v>
      </c>
      <c r="K2168" s="33" t="s">
        <v>5154</v>
      </c>
      <c r="L2168" s="33" t="s">
        <v>5155</v>
      </c>
      <c r="M2168" s="33"/>
      <c r="N2168" s="30"/>
      <c r="O2168" s="33"/>
      <c r="P2168" s="33"/>
      <c r="Q2168" s="30" t="str" cm="1">
        <f t="array" ref="Q2168">_xlfn.IFS(
A2168="","",
AND(A2168&lt;&gt;"",B2168=""),"FALTA LANÇAMENTO",
AND(B2168&lt;&gt;"",M2168=""),"FALTA O PEDIDO",
AND(M2168&lt;&gt;"",O2168=""),"FALTA NF",
O2168&lt;&gt;"","CONCLUÍDO")</f>
        <v>FALTA O PEDIDO</v>
      </c>
      <c r="R2168" s="33"/>
    </row>
    <row r="2169" spans="1:18" hidden="1">
      <c r="A2169" s="30">
        <v>46213</v>
      </c>
      <c r="B2169" s="30">
        <v>46217</v>
      </c>
      <c r="C2169" s="31">
        <v>5173120</v>
      </c>
      <c r="D2169" s="30" t="str">
        <f>IFERROR(VLOOKUP(Tabela5[[#This Row],[PREFIXO ]],Tabela4[#All],2,0),"CENTRO DE CUSTO")</f>
        <v>COLHED ALGODÃO JOHN DEERE 7760</v>
      </c>
      <c r="E2169" s="33" t="s">
        <v>17</v>
      </c>
      <c r="F2169" s="31">
        <v>44828</v>
      </c>
      <c r="G2169" s="32">
        <v>7118.99</v>
      </c>
      <c r="H2169" s="32">
        <v>889.13</v>
      </c>
      <c r="I2169" s="32">
        <f t="shared" si="34"/>
        <v>8008.12</v>
      </c>
      <c r="J2169" s="33" t="s">
        <v>1123</v>
      </c>
      <c r="K2169" s="33" t="s">
        <v>5156</v>
      </c>
      <c r="L2169" s="33" t="s">
        <v>5157</v>
      </c>
      <c r="M2169" s="33"/>
      <c r="N2169" s="30"/>
      <c r="O2169" s="33"/>
      <c r="P2169" s="33"/>
      <c r="Q2169" s="30" t="str" cm="1">
        <f t="array" ref="Q2169">_xlfn.IFS(
A2169="","",
AND(A2169&lt;&gt;"",B2169=""),"FALTA LANÇAMENTO",
AND(B2169&lt;&gt;"",M2169=""),"FALTA O PEDIDO",
AND(M2169&lt;&gt;"",O2169=""),"FALTA NF",
O2169&lt;&gt;"","CONCLUÍDO")</f>
        <v>FALTA O PEDIDO</v>
      </c>
      <c r="R2169" s="33"/>
    </row>
    <row r="2170" spans="1:18" hidden="1">
      <c r="A2170" s="30">
        <v>46213</v>
      </c>
      <c r="B2170" s="30">
        <v>46218</v>
      </c>
      <c r="C2170" s="31">
        <v>51521064</v>
      </c>
      <c r="D2170" s="30" t="str">
        <f>IFERROR(VLOOKUP(Tabela5[[#This Row],[PREFIXO ]],Tabela4[#All],2,0),"CENTRO DE CUSTO")</f>
        <v>COLHED ALGODÃO JOHN DEERE CP 690</v>
      </c>
      <c r="E2170" s="33" t="s">
        <v>17</v>
      </c>
      <c r="F2170" s="31">
        <v>44823</v>
      </c>
      <c r="G2170" s="32">
        <v>7612.5</v>
      </c>
      <c r="H2170" s="32">
        <v>10261.34</v>
      </c>
      <c r="I2170" s="32">
        <f t="shared" si="34"/>
        <v>17873.84</v>
      </c>
      <c r="J2170" s="33" t="s">
        <v>1123</v>
      </c>
      <c r="K2170" s="33" t="s">
        <v>5158</v>
      </c>
      <c r="L2170" s="33" t="s">
        <v>5159</v>
      </c>
      <c r="M2170" s="33"/>
      <c r="N2170" s="30"/>
      <c r="O2170" s="33"/>
      <c r="P2170" s="33"/>
      <c r="Q2170" s="30" t="str" cm="1">
        <f t="array" ref="Q2170">_xlfn.IFS(
A2170="","",
AND(A2170&lt;&gt;"",B2170=""),"FALTA LANÇAMENTO",
AND(B2170&lt;&gt;"",M2170=""),"FALTA O PEDIDO",
AND(M2170&lt;&gt;"",O2170=""),"FALTA NF",
O2170&lt;&gt;"","CONCLUÍDO")</f>
        <v>FALTA O PEDIDO</v>
      </c>
      <c r="R2170" s="33"/>
    </row>
    <row r="2171" spans="1:18" hidden="1">
      <c r="A2171" s="30">
        <v>46213</v>
      </c>
      <c r="B2171" s="30">
        <v>46223</v>
      </c>
      <c r="C2171" s="31">
        <v>51519061</v>
      </c>
      <c r="D2171" s="30" t="str">
        <f>IFERROR(VLOOKUP(Tabela5[[#This Row],[PREFIXO ]],Tabela4[#All],2,0),"CENTRO DE CUSTO")</f>
        <v>CENTRO DE CUSTO</v>
      </c>
      <c r="E2171" s="33" t="s">
        <v>17</v>
      </c>
      <c r="F2171" s="31">
        <v>44935</v>
      </c>
      <c r="G2171" s="32">
        <v>1348.28</v>
      </c>
      <c r="H2171" s="32">
        <v>8276.84</v>
      </c>
      <c r="I2171" s="32">
        <f t="shared" si="34"/>
        <v>9625.1200000000008</v>
      </c>
      <c r="J2171" s="33" t="s">
        <v>1123</v>
      </c>
      <c r="K2171" s="33" t="s">
        <v>5160</v>
      </c>
      <c r="L2171" s="33" t="s">
        <v>5161</v>
      </c>
      <c r="M2171" s="33"/>
      <c r="N2171" s="30"/>
      <c r="O2171" s="33"/>
      <c r="P2171" s="33"/>
      <c r="Q2171" s="30" t="str" cm="1">
        <f t="array" ref="Q2171">_xlfn.IFS(
A2171="","",
AND(A2171&lt;&gt;"",B2171=""),"FALTA LANÇAMENTO",
AND(B2171&lt;&gt;"",M2171=""),"FALTA O PEDIDO",
AND(M2171&lt;&gt;"",O2171=""),"FALTA NF",
O2171&lt;&gt;"","CONCLUÍDO")</f>
        <v>FALTA O PEDIDO</v>
      </c>
      <c r="R2171" s="33"/>
    </row>
    <row r="2172" spans="1:18" hidden="1">
      <c r="A2172" s="30">
        <v>46213</v>
      </c>
      <c r="B2172" s="30"/>
      <c r="C2172" s="31">
        <v>5173116</v>
      </c>
      <c r="D2172" s="30" t="str">
        <f>IFERROR(VLOOKUP(Tabela5[[#This Row],[PREFIXO ]],Tabela4[#All],2,0),"CENTRO DE CUSTO")</f>
        <v>COLHED ALGODÃO JOHN DEERE 7760</v>
      </c>
      <c r="E2172" s="33" t="s">
        <v>17</v>
      </c>
      <c r="F2172" s="31">
        <v>44826</v>
      </c>
      <c r="G2172" s="32">
        <v>8107.31</v>
      </c>
      <c r="H2172" s="32">
        <v>1364.15</v>
      </c>
      <c r="I2172" s="32">
        <f t="shared" ref="I2172:I2235" si="35">G2172+H2172</f>
        <v>9471.4600000000009</v>
      </c>
      <c r="J2172" s="33" t="s">
        <v>1123</v>
      </c>
      <c r="K2172" s="33"/>
      <c r="L2172" s="33"/>
      <c r="M2172" s="33"/>
      <c r="N2172" s="30"/>
      <c r="O2172" s="33"/>
      <c r="P2172" s="33"/>
      <c r="Q2172" s="30" t="str" cm="1">
        <f t="array" ref="Q2172">_xlfn.IFS(
A2172="","",
AND(A2172&lt;&gt;"",B2172=""),"FALTA LANÇAMENTO",
AND(B2172&lt;&gt;"",M2172=""),"FALTA O PEDIDO",
AND(M2172&lt;&gt;"",O2172=""),"FALTA NF",
O2172&lt;&gt;"","CONCLUÍDO")</f>
        <v>FALTA LANÇAMENTO</v>
      </c>
      <c r="R2172" s="33"/>
    </row>
    <row r="2173" spans="1:18" hidden="1">
      <c r="A2173" s="30">
        <v>46213</v>
      </c>
      <c r="B2173" s="30">
        <v>46216</v>
      </c>
      <c r="C2173" s="31">
        <v>25530056</v>
      </c>
      <c r="D2173" s="30" t="str">
        <f>IFERROR(VLOOKUP(Tabela5[[#This Row],[PREFIXO ]],Tabela4[#All],2,0),"CENTRO DE CUSTO")</f>
        <v>PLATAF COLHEITA JOHN DEERE HYDRAFLEX 740</v>
      </c>
      <c r="E2173" s="33" t="s">
        <v>17</v>
      </c>
      <c r="F2173" s="31">
        <v>44718</v>
      </c>
      <c r="G2173" s="32">
        <v>2305.5</v>
      </c>
      <c r="H2173" s="32">
        <v>4379.8999999999996</v>
      </c>
      <c r="I2173" s="32">
        <f t="shared" si="35"/>
        <v>6685.4</v>
      </c>
      <c r="J2173" s="33" t="s">
        <v>1123</v>
      </c>
      <c r="K2173" s="33" t="s">
        <v>5162</v>
      </c>
      <c r="L2173" s="33" t="s">
        <v>5163</v>
      </c>
      <c r="M2173" s="33" t="s">
        <v>5164</v>
      </c>
      <c r="N2173" s="30">
        <v>46217</v>
      </c>
      <c r="O2173" s="33"/>
      <c r="P2173" s="33"/>
      <c r="Q2173" s="30" t="str" cm="1">
        <f t="array" ref="Q2173">_xlfn.IFS(
A2173="","",
AND(A2173&lt;&gt;"",B2173=""),"FALTA LANÇAMENTO",
AND(B2173&lt;&gt;"",M2173=""),"FALTA O PEDIDO",
AND(M2173&lt;&gt;"",O2173=""),"FALTA NF",
O2173&lt;&gt;"","CONCLUÍDO")</f>
        <v>FALTA NF</v>
      </c>
      <c r="R2173" s="33"/>
    </row>
    <row r="2174" spans="1:18" hidden="1">
      <c r="A2174" s="30">
        <v>46213</v>
      </c>
      <c r="B2174" s="30">
        <v>46216</v>
      </c>
      <c r="C2174" s="31">
        <v>51521053</v>
      </c>
      <c r="D2174" s="30" t="str">
        <f>IFERROR(VLOOKUP(Tabela5[[#This Row],[PREFIXO ]],Tabela4[#All],2,0),"CENTRO DE CUSTO")</f>
        <v>COLHED ALGODÃO JOHN DEERE CP 690</v>
      </c>
      <c r="E2174" s="33" t="s">
        <v>17</v>
      </c>
      <c r="F2174" s="31">
        <v>44153</v>
      </c>
      <c r="G2174" s="32">
        <v>2255.48</v>
      </c>
      <c r="H2174" s="32">
        <v>12349.67</v>
      </c>
      <c r="I2174" s="32">
        <f t="shared" si="35"/>
        <v>14605.15</v>
      </c>
      <c r="J2174" s="33" t="s">
        <v>1123</v>
      </c>
      <c r="K2174" s="33" t="s">
        <v>5165</v>
      </c>
      <c r="L2174" s="33" t="s">
        <v>5166</v>
      </c>
      <c r="M2174" s="33" t="s">
        <v>5167</v>
      </c>
      <c r="N2174" s="30">
        <v>46217</v>
      </c>
      <c r="O2174" s="33"/>
      <c r="P2174" s="33"/>
      <c r="Q2174" s="30" t="str" cm="1">
        <f t="array" ref="Q2174">_xlfn.IFS(
A2174="","",
AND(A2174&lt;&gt;"",B2174=""),"FALTA LANÇAMENTO",
AND(B2174&lt;&gt;"",M2174=""),"FALTA O PEDIDO",
AND(M2174&lt;&gt;"",O2174=""),"FALTA NF",
O2174&lt;&gt;"","CONCLUÍDO")</f>
        <v>FALTA NF</v>
      </c>
      <c r="R2174" s="33"/>
    </row>
    <row r="2175" spans="1:18" hidden="1">
      <c r="A2175" s="30">
        <v>46213</v>
      </c>
      <c r="B2175" s="30"/>
      <c r="C2175" s="31">
        <v>51521066</v>
      </c>
      <c r="D2175" s="30" t="str">
        <f>IFERROR(VLOOKUP(Tabela5[[#This Row],[PREFIXO ]],Tabela4[#All],2,0),"CENTRO DE CUSTO")</f>
        <v>COLHED ALGODÃO JOHN DEERE CP 690</v>
      </c>
      <c r="E2175" s="33" t="s">
        <v>17</v>
      </c>
      <c r="F2175" s="31">
        <v>45024</v>
      </c>
      <c r="G2175" s="32">
        <v>2896.32</v>
      </c>
      <c r="H2175" s="32">
        <v>2314.2199999999998</v>
      </c>
      <c r="I2175" s="32">
        <f t="shared" si="35"/>
        <v>5210.54</v>
      </c>
      <c r="J2175" s="33" t="s">
        <v>1123</v>
      </c>
      <c r="K2175" s="33"/>
      <c r="L2175" s="33"/>
      <c r="M2175" s="33"/>
      <c r="N2175" s="30"/>
      <c r="O2175" s="33"/>
      <c r="P2175" s="33"/>
      <c r="Q2175" s="30" t="str" cm="1">
        <f t="array" ref="Q2175">_xlfn.IFS(
A2175="","",
AND(A2175&lt;&gt;"",B2175=""),"FALTA LANÇAMENTO",
AND(B2175&lt;&gt;"",M2175=""),"FALTA O PEDIDO",
AND(M2175&lt;&gt;"",O2175=""),"FALTA NF",
O2175&lt;&gt;"","CONCLUÍDO")</f>
        <v>FALTA LANÇAMENTO</v>
      </c>
      <c r="R2175" s="33"/>
    </row>
    <row r="2176" spans="1:18" hidden="1">
      <c r="A2176" s="30">
        <v>46213</v>
      </c>
      <c r="B2176" s="30">
        <v>46213</v>
      </c>
      <c r="C2176" s="31" t="s">
        <v>5168</v>
      </c>
      <c r="D2176" s="30" t="str">
        <f>IFERROR(VLOOKUP(Tabela5[[#This Row],[PREFIXO ]],Tabela4[#All],2,0),"CENTRO DE CUSTO")</f>
        <v>CENTRO DE CUSTO</v>
      </c>
      <c r="E2176" s="33" t="s">
        <v>362</v>
      </c>
      <c r="F2176" s="31">
        <v>1</v>
      </c>
      <c r="G2176" s="32">
        <v>2620</v>
      </c>
      <c r="H2176" s="32"/>
      <c r="I2176" s="32">
        <f t="shared" si="35"/>
        <v>2620</v>
      </c>
      <c r="J2176" s="33" t="s">
        <v>1199</v>
      </c>
      <c r="K2176" s="33" t="s">
        <v>5169</v>
      </c>
      <c r="L2176" s="33" t="s">
        <v>5170</v>
      </c>
      <c r="M2176" s="33" t="s">
        <v>5171</v>
      </c>
      <c r="N2176" s="30">
        <v>46216</v>
      </c>
      <c r="O2176" s="33"/>
      <c r="P2176" s="33"/>
      <c r="Q2176" s="30" t="str" cm="1">
        <f t="array" ref="Q2176">_xlfn.IFS(
A2176="","",
AND(A2176&lt;&gt;"",B2176=""),"FALTA LANÇAMENTO",
AND(B2176&lt;&gt;"",M2176=""),"FALTA O PEDIDO",
AND(M2176&lt;&gt;"",O2176=""),"FALTA NF",
O2176&lt;&gt;"","CONCLUÍDO")</f>
        <v>FALTA NF</v>
      </c>
      <c r="R2176" s="33"/>
    </row>
    <row r="2177" spans="1:18" hidden="1">
      <c r="A2177" s="30">
        <v>46213</v>
      </c>
      <c r="B2177" s="30">
        <v>46223</v>
      </c>
      <c r="C2177" s="31">
        <v>25530049</v>
      </c>
      <c r="D2177" s="30" t="str">
        <f>IFERROR(VLOOKUP(Tabela5[[#This Row],[PREFIXO ]],Tabela4[#All],2,0),"CENTRO DE CUSTO")</f>
        <v>PLATAF COLHEITA JOHN DEERE HYDRAFLEX 740</v>
      </c>
      <c r="E2177" s="33" t="s">
        <v>17</v>
      </c>
      <c r="F2177" s="31">
        <v>44968</v>
      </c>
      <c r="G2177" s="32">
        <v>1740</v>
      </c>
      <c r="H2177" s="32">
        <v>1340.31</v>
      </c>
      <c r="I2177" s="32">
        <f t="shared" si="35"/>
        <v>3080.31</v>
      </c>
      <c r="J2177" s="33" t="s">
        <v>1123</v>
      </c>
      <c r="K2177" s="33" t="s">
        <v>5172</v>
      </c>
      <c r="L2177" s="33" t="s">
        <v>5173</v>
      </c>
      <c r="M2177" s="33"/>
      <c r="N2177" s="30"/>
      <c r="O2177" s="33"/>
      <c r="P2177" s="33"/>
      <c r="Q2177" s="30" t="str" cm="1">
        <f t="array" ref="Q2177">_xlfn.IFS(
A2177="","",
AND(A2177&lt;&gt;"",B2177=""),"FALTA LANÇAMENTO",
AND(B2177&lt;&gt;"",M2177=""),"FALTA O PEDIDO",
AND(M2177&lt;&gt;"",O2177=""),"FALTA NF",
O2177&lt;&gt;"","CONCLUÍDO")</f>
        <v>FALTA O PEDIDO</v>
      </c>
      <c r="R2177" s="33"/>
    </row>
    <row r="2178" spans="1:18" hidden="1">
      <c r="A2178" s="30">
        <v>46213</v>
      </c>
      <c r="B2178" s="30">
        <v>46226</v>
      </c>
      <c r="C2178" s="31">
        <v>51521048</v>
      </c>
      <c r="D2178" s="30" t="str">
        <f>IFERROR(VLOOKUP(Tabela5[[#This Row],[PREFIXO ]],Tabela4[#All],2,0),"CENTRO DE CUSTO")</f>
        <v>COLHED ALGODÃO JOHN DEERE CP 690</v>
      </c>
      <c r="E2178" s="33" t="s">
        <v>17</v>
      </c>
      <c r="F2178" s="31">
        <v>45025</v>
      </c>
      <c r="G2178" s="32">
        <v>3266.72</v>
      </c>
      <c r="H2178" s="32">
        <v>3944</v>
      </c>
      <c r="I2178" s="32">
        <f t="shared" si="35"/>
        <v>7210.7199999999993</v>
      </c>
      <c r="J2178" s="33" t="s">
        <v>1123</v>
      </c>
      <c r="K2178" s="33" t="s">
        <v>5174</v>
      </c>
      <c r="L2178" s="33" t="s">
        <v>5175</v>
      </c>
      <c r="M2178" s="33"/>
      <c r="N2178" s="30"/>
      <c r="O2178" s="33"/>
      <c r="P2178" s="33"/>
      <c r="Q2178" s="30" t="str" cm="1">
        <f t="array" ref="Q2178">_xlfn.IFS(
A2178="","",
AND(A2178&lt;&gt;"",B2178=""),"FALTA LANÇAMENTO",
AND(B2178&lt;&gt;"",M2178=""),"FALTA O PEDIDO",
AND(M2178&lt;&gt;"",O2178=""),"FALTA NF",
O2178&lt;&gt;"","CONCLUÍDO")</f>
        <v>FALTA O PEDIDO</v>
      </c>
      <c r="R2178" s="33"/>
    </row>
    <row r="2179" spans="1:18" hidden="1">
      <c r="A2179" s="30">
        <v>46213</v>
      </c>
      <c r="B2179" s="30">
        <v>46223</v>
      </c>
      <c r="C2179" s="31">
        <v>25530059</v>
      </c>
      <c r="D2179" s="30" t="str">
        <f>IFERROR(VLOOKUP(Tabela5[[#This Row],[PREFIXO ]],Tabela4[#All],2,0),"CENTRO DE CUSTO")</f>
        <v>PLATAF COLHEITA JOHN DEERE HYDRAFLEX 740</v>
      </c>
      <c r="E2179" s="33" t="s">
        <v>17</v>
      </c>
      <c r="F2179" s="31">
        <v>44805</v>
      </c>
      <c r="G2179" s="32">
        <v>3014.55</v>
      </c>
      <c r="H2179" s="32">
        <v>1165.49</v>
      </c>
      <c r="I2179" s="32">
        <f t="shared" si="35"/>
        <v>4180.04</v>
      </c>
      <c r="J2179" s="33" t="s">
        <v>1123</v>
      </c>
      <c r="K2179" s="33" t="s">
        <v>5176</v>
      </c>
      <c r="L2179" s="33" t="s">
        <v>5177</v>
      </c>
      <c r="M2179" s="33"/>
      <c r="N2179" s="30"/>
      <c r="O2179" s="33"/>
      <c r="P2179" s="33"/>
      <c r="Q2179" s="30" t="str" cm="1">
        <f t="array" ref="Q2179">_xlfn.IFS(
A2179="","",
AND(A2179&lt;&gt;"",B2179=""),"FALTA LANÇAMENTO",
AND(B2179&lt;&gt;"",M2179=""),"FALTA O PEDIDO",
AND(M2179&lt;&gt;"",O2179=""),"FALTA NF",
O2179&lt;&gt;"","CONCLUÍDO")</f>
        <v>FALTA O PEDIDO</v>
      </c>
      <c r="R2179" s="33"/>
    </row>
    <row r="2180" spans="1:18" hidden="1">
      <c r="A2180" s="30">
        <v>46213</v>
      </c>
      <c r="B2180" s="30">
        <v>46218</v>
      </c>
      <c r="C2180" s="31">
        <v>61521080</v>
      </c>
      <c r="D2180" s="30" t="str">
        <f>IFERROR(VLOOKUP(Tabela5[[#This Row],[PREFIXO ]],Tabela4[#All],2,0),"CENTRO DE CUSTO")</f>
        <v>CAV MEC EXT PES VOLVO FH 540</v>
      </c>
      <c r="E2180" s="33" t="s">
        <v>156</v>
      </c>
      <c r="F2180" s="31">
        <v>2522</v>
      </c>
      <c r="G2180" s="32">
        <v>130</v>
      </c>
      <c r="H2180" s="32">
        <v>805</v>
      </c>
      <c r="I2180" s="32">
        <f t="shared" si="35"/>
        <v>935</v>
      </c>
      <c r="J2180" s="33" t="s">
        <v>1085</v>
      </c>
      <c r="K2180" s="33" t="s">
        <v>5178</v>
      </c>
      <c r="L2180" s="33" t="s">
        <v>5179</v>
      </c>
      <c r="M2180" s="33"/>
      <c r="N2180" s="30"/>
      <c r="O2180" s="33"/>
      <c r="P2180" s="33"/>
      <c r="Q2180" s="30" t="str" cm="1">
        <f t="array" ref="Q2180">_xlfn.IFS(
A2180="","",
AND(A2180&lt;&gt;"",B2180=""),"FALTA LANÇAMENTO",
AND(B2180&lt;&gt;"",M2180=""),"FALTA O PEDIDO",
AND(M2180&lt;&gt;"",O2180=""),"FALTA NF",
O2180&lt;&gt;"","CONCLUÍDO")</f>
        <v>FALTA O PEDIDO</v>
      </c>
      <c r="R2180" s="33"/>
    </row>
    <row r="2181" spans="1:18" hidden="1">
      <c r="A2181" s="30">
        <v>46213</v>
      </c>
      <c r="B2181" s="30">
        <v>46218</v>
      </c>
      <c r="C2181" s="31">
        <v>61521040</v>
      </c>
      <c r="D2181" s="30" t="str">
        <f>IFERROR(VLOOKUP(Tabela5[[#This Row],[PREFIXO ]],Tabela4[#All],2,0),"CENTRO DE CUSTO")</f>
        <v>CAM COMBOIO FORD F-4000</v>
      </c>
      <c r="E2181" s="33" t="s">
        <v>276</v>
      </c>
      <c r="F2181" s="31">
        <v>61521040</v>
      </c>
      <c r="G2181" s="32">
        <v>300</v>
      </c>
      <c r="H2181" s="32"/>
      <c r="I2181" s="32">
        <f t="shared" si="35"/>
        <v>300</v>
      </c>
      <c r="J2181" s="33" t="s">
        <v>1085</v>
      </c>
      <c r="K2181" s="33" t="s">
        <v>5180</v>
      </c>
      <c r="L2181" s="33" t="s">
        <v>5181</v>
      </c>
      <c r="M2181" s="33"/>
      <c r="N2181" s="30"/>
      <c r="O2181" s="33"/>
      <c r="P2181" s="33"/>
      <c r="Q2181" s="30" t="str" cm="1">
        <f t="array" ref="Q2181">_xlfn.IFS(
A2181="","",
AND(A2181&lt;&gt;"",B2181=""),"FALTA LANÇAMENTO",
AND(B2181&lt;&gt;"",M2181=""),"FALTA O PEDIDO",
AND(M2181&lt;&gt;"",O2181=""),"FALTA NF",
O2181&lt;&gt;"","CONCLUÍDO")</f>
        <v>FALTA O PEDIDO</v>
      </c>
      <c r="R2181" s="33"/>
    </row>
    <row r="2182" spans="1:18" hidden="1">
      <c r="A2182" s="30">
        <v>46213</v>
      </c>
      <c r="B2182" s="30">
        <v>46218</v>
      </c>
      <c r="C2182" s="31">
        <v>500140346</v>
      </c>
      <c r="D2182" s="30" t="str">
        <f>IFERROR(VLOOKUP(Tabela5[[#This Row],[PREFIXO ]],Tabela4[#All],2,0),"CENTRO DE CUSTO")</f>
        <v>CENTRO DE CUSTO</v>
      </c>
      <c r="E2182" s="33" t="s">
        <v>249</v>
      </c>
      <c r="F2182" s="31">
        <v>258</v>
      </c>
      <c r="G2182" s="32">
        <v>14525</v>
      </c>
      <c r="H2182" s="32"/>
      <c r="I2182" s="32">
        <f t="shared" si="35"/>
        <v>14525</v>
      </c>
      <c r="J2182" s="33" t="s">
        <v>1085</v>
      </c>
      <c r="K2182" s="33" t="s">
        <v>5182</v>
      </c>
      <c r="L2182" s="33" t="s">
        <v>5183</v>
      </c>
      <c r="M2182" s="33"/>
      <c r="N2182" s="30"/>
      <c r="O2182" s="33"/>
      <c r="P2182" s="33"/>
      <c r="Q2182" s="30" t="str" cm="1">
        <f t="array" ref="Q2182">_xlfn.IFS(
A2182="","",
AND(A2182&lt;&gt;"",B2182=""),"FALTA LANÇAMENTO",
AND(B2182&lt;&gt;"",M2182=""),"FALTA O PEDIDO",
AND(M2182&lt;&gt;"",O2182=""),"FALTA NF",
O2182&lt;&gt;"","CONCLUÍDO")</f>
        <v>FALTA O PEDIDO</v>
      </c>
      <c r="R2182" s="33"/>
    </row>
    <row r="2183" spans="1:18" hidden="1">
      <c r="A2183" s="30">
        <v>46213</v>
      </c>
      <c r="B2183" s="30">
        <v>46218</v>
      </c>
      <c r="C2183" s="31">
        <v>500580220</v>
      </c>
      <c r="D2183" s="30" t="str">
        <f>IFERROR(VLOOKUP(Tabela5[[#This Row],[PREFIXO ]],Tabela4[#All],2,0),"CENTRO DE CUSTO")</f>
        <v>Implementos</v>
      </c>
      <c r="E2183" s="33" t="s">
        <v>249</v>
      </c>
      <c r="F2183" s="31">
        <v>257</v>
      </c>
      <c r="G2183" s="32">
        <v>11725</v>
      </c>
      <c r="H2183" s="32"/>
      <c r="I2183" s="32">
        <f t="shared" si="35"/>
        <v>11725</v>
      </c>
      <c r="J2183" s="33" t="s">
        <v>1085</v>
      </c>
      <c r="K2183" s="33" t="s">
        <v>5184</v>
      </c>
      <c r="L2183" s="33" t="s">
        <v>5185</v>
      </c>
      <c r="M2183" s="33"/>
      <c r="N2183" s="30"/>
      <c r="O2183" s="33"/>
      <c r="P2183" s="33"/>
      <c r="Q2183" s="30" t="str" cm="1">
        <f t="array" ref="Q2183">_xlfn.IFS(
A2183="","",
AND(A2183&lt;&gt;"",B2183=""),"FALTA LANÇAMENTO",
AND(B2183&lt;&gt;"",M2183=""),"FALTA O PEDIDO",
AND(M2183&lt;&gt;"",O2183=""),"FALTA NF",
O2183&lt;&gt;"","CONCLUÍDO")</f>
        <v>FALTA O PEDIDO</v>
      </c>
      <c r="R2183" s="33"/>
    </row>
    <row r="2184" spans="1:18" hidden="1">
      <c r="A2184" s="30">
        <v>46213</v>
      </c>
      <c r="B2184" s="30">
        <v>46218</v>
      </c>
      <c r="C2184" s="31">
        <v>61521096</v>
      </c>
      <c r="D2184" s="30" t="str">
        <f>IFERROR(VLOOKUP(Tabela5[[#This Row],[PREFIXO ]],Tabela4[#All],2,0),"CENTRO DE CUSTO")</f>
        <v>EMPILHA COMBUST TOYOTA 8FGU30</v>
      </c>
      <c r="E2184" s="33" t="s">
        <v>249</v>
      </c>
      <c r="F2184" s="31">
        <v>256</v>
      </c>
      <c r="G2184" s="32">
        <v>8750</v>
      </c>
      <c r="H2184" s="32"/>
      <c r="I2184" s="32">
        <f t="shared" si="35"/>
        <v>8750</v>
      </c>
      <c r="J2184" s="33" t="s">
        <v>1085</v>
      </c>
      <c r="K2184" s="33" t="s">
        <v>5186</v>
      </c>
      <c r="L2184" s="33" t="s">
        <v>5187</v>
      </c>
      <c r="M2184" s="33"/>
      <c r="N2184" s="30"/>
      <c r="O2184" s="33"/>
      <c r="P2184" s="33"/>
      <c r="Q2184" s="30" t="str" cm="1">
        <f t="array" ref="Q2184">_xlfn.IFS(
A2184="","",
AND(A2184&lt;&gt;"",B2184=""),"FALTA LANÇAMENTO",
AND(B2184&lt;&gt;"",M2184=""),"FALTA O PEDIDO",
AND(M2184&lt;&gt;"",O2184=""),"FALTA NF",
O2184&lt;&gt;"","CONCLUÍDO")</f>
        <v>FALTA O PEDIDO</v>
      </c>
      <c r="R2184" s="33"/>
    </row>
    <row r="2185" spans="1:18" hidden="1">
      <c r="A2185" s="30">
        <v>46213</v>
      </c>
      <c r="B2185" s="30"/>
      <c r="C2185" s="31">
        <v>61521032</v>
      </c>
      <c r="D2185" s="30" t="str">
        <f>IFERROR(VLOOKUP(Tabela5[[#This Row],[PREFIXO ]],Tabela4[#All],2,0),"CENTRO DE CUSTO")</f>
        <v>CENTRO DE CUSTO</v>
      </c>
      <c r="E2185" s="33" t="s">
        <v>24</v>
      </c>
      <c r="F2185" s="31" t="s">
        <v>5188</v>
      </c>
      <c r="G2185" s="32">
        <v>7553.7</v>
      </c>
      <c r="H2185" s="32">
        <v>3930.38</v>
      </c>
      <c r="I2185" s="32">
        <f t="shared" si="35"/>
        <v>11484.08</v>
      </c>
      <c r="J2185" s="33" t="s">
        <v>1085</v>
      </c>
      <c r="K2185" s="33" t="s">
        <v>5189</v>
      </c>
      <c r="L2185" s="33" t="s">
        <v>5190</v>
      </c>
      <c r="M2185" s="33"/>
      <c r="N2185" s="30"/>
      <c r="O2185" s="33"/>
      <c r="P2185" s="33"/>
      <c r="Q2185" s="30" t="str" cm="1">
        <f t="array" ref="Q2185">_xlfn.IFS(
A2185="","",
AND(A2185&lt;&gt;"",B2185=""),"FALTA LANÇAMENTO",
AND(B2185&lt;&gt;"",M2185=""),"FALTA O PEDIDO",
AND(M2185&lt;&gt;"",O2185=""),"FALTA NF",
O2185&lt;&gt;"","CONCLUÍDO")</f>
        <v>FALTA LANÇAMENTO</v>
      </c>
      <c r="R2185" s="33"/>
    </row>
    <row r="2186" spans="1:18" hidden="1">
      <c r="A2186" s="30">
        <v>46213</v>
      </c>
      <c r="B2186" s="30">
        <v>46220</v>
      </c>
      <c r="C2186" s="31">
        <v>61521038</v>
      </c>
      <c r="D2186" s="30" t="str">
        <f>IFERROR(VLOOKUP(Tabela5[[#This Row],[PREFIXO ]],Tabela4[#All],2,0),"CENTRO DE CUSTO")</f>
        <v>CAM ROLL ON/OFF MERC BENZ ATEGO 2730</v>
      </c>
      <c r="E2186" s="33" t="s">
        <v>29</v>
      </c>
      <c r="F2186" s="31">
        <v>56155</v>
      </c>
      <c r="G2186" s="32">
        <v>4637.96</v>
      </c>
      <c r="H2186" s="32">
        <v>1270</v>
      </c>
      <c r="I2186" s="32">
        <f t="shared" si="35"/>
        <v>5907.96</v>
      </c>
      <c r="J2186" s="33" t="s">
        <v>1085</v>
      </c>
      <c r="K2186" s="33" t="s">
        <v>5191</v>
      </c>
      <c r="L2186" s="33" t="s">
        <v>5192</v>
      </c>
      <c r="M2186" s="33"/>
      <c r="N2186" s="30"/>
      <c r="O2186" s="33"/>
      <c r="P2186" s="33"/>
      <c r="Q2186" s="30" t="str" cm="1">
        <f t="array" ref="Q2186">_xlfn.IFS(
A2186="","",
AND(A2186&lt;&gt;"",B2186=""),"FALTA LANÇAMENTO",
AND(B2186&lt;&gt;"",M2186=""),"FALTA O PEDIDO",
AND(M2186&lt;&gt;"",O2186=""),"FALTA NF",
O2186&lt;&gt;"","CONCLUÍDO")</f>
        <v>FALTA O PEDIDO</v>
      </c>
      <c r="R2186" s="33"/>
    </row>
    <row r="2187" spans="1:18" hidden="1">
      <c r="A2187" s="30">
        <v>46213</v>
      </c>
      <c r="B2187" s="30">
        <v>46220</v>
      </c>
      <c r="C2187" s="31">
        <v>61521076</v>
      </c>
      <c r="D2187" s="30" t="str">
        <f>IFERROR(VLOOKUP(Tabela5[[#This Row],[PREFIXO ]],Tabela4[#All],2,0),"CENTRO DE CUSTO")</f>
        <v>CAM CARGA SECA MERC BENZ ACCELO 815</v>
      </c>
      <c r="E2187" s="33" t="s">
        <v>29</v>
      </c>
      <c r="F2187" s="31">
        <v>56087</v>
      </c>
      <c r="G2187" s="32">
        <v>380</v>
      </c>
      <c r="H2187" s="32">
        <v>297.04000000000002</v>
      </c>
      <c r="I2187" s="32">
        <f t="shared" si="35"/>
        <v>677.04</v>
      </c>
      <c r="J2187" s="33" t="s">
        <v>1085</v>
      </c>
      <c r="K2187" s="33" t="s">
        <v>5193</v>
      </c>
      <c r="L2187" s="33" t="s">
        <v>5194</v>
      </c>
      <c r="M2187" s="33"/>
      <c r="N2187" s="30"/>
      <c r="O2187" s="33"/>
      <c r="P2187" s="33"/>
      <c r="Q2187" s="30" t="str" cm="1">
        <f t="array" ref="Q2187">_xlfn.IFS(
A2187="","",
AND(A2187&lt;&gt;"",B2187=""),"FALTA LANÇAMENTO",
AND(B2187&lt;&gt;"",M2187=""),"FALTA O PEDIDO",
AND(M2187&lt;&gt;"",O2187=""),"FALTA NF",
O2187&lt;&gt;"","CONCLUÍDO")</f>
        <v>FALTA O PEDIDO</v>
      </c>
      <c r="R2187" s="33"/>
    </row>
    <row r="2188" spans="1:18" hidden="1">
      <c r="A2188" s="30">
        <v>46213</v>
      </c>
      <c r="B2188" s="30">
        <v>46220</v>
      </c>
      <c r="C2188" s="31">
        <v>61521068</v>
      </c>
      <c r="D2188" s="30" t="str">
        <f>IFERROR(VLOOKUP(Tabela5[[#This Row],[PREFIXO ]],Tabela4[#All],2,0),"CENTRO DE CUSTO")</f>
        <v>CAM PIPA BOMB VOLVO VM 330</v>
      </c>
      <c r="E2188" s="33" t="s">
        <v>29</v>
      </c>
      <c r="F2188" s="31">
        <v>56061</v>
      </c>
      <c r="G2188" s="32">
        <v>585</v>
      </c>
      <c r="H2188" s="32">
        <v>664.71</v>
      </c>
      <c r="I2188" s="32">
        <f t="shared" si="35"/>
        <v>1249.71</v>
      </c>
      <c r="J2188" s="33" t="s">
        <v>1085</v>
      </c>
      <c r="K2188" s="33" t="s">
        <v>5195</v>
      </c>
      <c r="L2188" s="33" t="s">
        <v>5196</v>
      </c>
      <c r="M2188" s="33"/>
      <c r="N2188" s="30"/>
      <c r="O2188" s="33"/>
      <c r="P2188" s="33"/>
      <c r="Q2188" s="30" t="str" cm="1">
        <f t="array" ref="Q2188">_xlfn.IFS(
A2188="","",
AND(A2188&lt;&gt;"",B2188=""),"FALTA LANÇAMENTO",
AND(B2188&lt;&gt;"",M2188=""),"FALTA O PEDIDO",
AND(M2188&lt;&gt;"",O2188=""),"FALTA NF",
O2188&lt;&gt;"","CONCLUÍDO")</f>
        <v>FALTA O PEDIDO</v>
      </c>
      <c r="R2188" s="33"/>
    </row>
    <row r="2189" spans="1:18" hidden="1">
      <c r="A2189" s="30">
        <v>46213</v>
      </c>
      <c r="B2189" s="30"/>
      <c r="C2189" s="31">
        <v>61521079</v>
      </c>
      <c r="D2189" s="30" t="str">
        <f>IFERROR(VLOOKUP(Tabela5[[#This Row],[PREFIXO ]],Tabela4[#All],2,0),"CENTRO DE CUSTO")</f>
        <v>CAM PIPA BOMB VOLVO VM 330</v>
      </c>
      <c r="E2189" s="33" t="s">
        <v>29</v>
      </c>
      <c r="F2189" s="31">
        <v>56060</v>
      </c>
      <c r="G2189" s="32">
        <v>13120</v>
      </c>
      <c r="H2189" s="32">
        <v>29425.360000000001</v>
      </c>
      <c r="I2189" s="32">
        <f t="shared" si="35"/>
        <v>42545.36</v>
      </c>
      <c r="J2189" s="33" t="s">
        <v>1085</v>
      </c>
      <c r="K2189" s="33"/>
      <c r="L2189" s="33"/>
      <c r="M2189" s="33"/>
      <c r="N2189" s="30"/>
      <c r="O2189" s="33"/>
      <c r="P2189" s="33"/>
      <c r="Q2189" s="30" t="str" cm="1">
        <f t="array" ref="Q2189">_xlfn.IFS(
A2189="","",
AND(A2189&lt;&gt;"",B2189=""),"FALTA LANÇAMENTO",
AND(B2189&lt;&gt;"",M2189=""),"FALTA O PEDIDO",
AND(M2189&lt;&gt;"",O2189=""),"FALTA NF",
O2189&lt;&gt;"","CONCLUÍDO")</f>
        <v>FALTA LANÇAMENTO</v>
      </c>
      <c r="R2189" s="33"/>
    </row>
    <row r="2190" spans="1:18" hidden="1">
      <c r="A2190" s="30">
        <v>46213</v>
      </c>
      <c r="B2190" s="30"/>
      <c r="C2190" s="31">
        <v>61521009</v>
      </c>
      <c r="D2190" s="30" t="str">
        <f>IFERROR(VLOOKUP(Tabela5[[#This Row],[PREFIXO ]],Tabela4[#All],2,0),"CENTRO DE CUSTO")</f>
        <v>CAV MEC PES MERC BENZ AXOR 2644</v>
      </c>
      <c r="E2190" s="33" t="s">
        <v>29</v>
      </c>
      <c r="F2190" s="31">
        <v>56044</v>
      </c>
      <c r="G2190" s="32">
        <v>11256</v>
      </c>
      <c r="H2190" s="32">
        <v>23749.58</v>
      </c>
      <c r="I2190" s="32">
        <f t="shared" si="35"/>
        <v>35005.58</v>
      </c>
      <c r="J2190" s="33" t="s">
        <v>1085</v>
      </c>
      <c r="K2190" s="33"/>
      <c r="L2190" s="33"/>
      <c r="M2190" s="33"/>
      <c r="N2190" s="30"/>
      <c r="O2190" s="33"/>
      <c r="P2190" s="33"/>
      <c r="Q2190" s="30" t="str" cm="1">
        <f t="array" ref="Q2190">_xlfn.IFS(
A2190="","",
AND(A2190&lt;&gt;"",B2190=""),"FALTA LANÇAMENTO",
AND(B2190&lt;&gt;"",M2190=""),"FALTA O PEDIDO",
AND(M2190&lt;&gt;"",O2190=""),"FALTA NF",
O2190&lt;&gt;"","CONCLUÍDO")</f>
        <v>FALTA LANÇAMENTO</v>
      </c>
      <c r="R2190" s="33"/>
    </row>
    <row r="2191" spans="1:18" hidden="1">
      <c r="A2191" s="30">
        <v>46213</v>
      </c>
      <c r="B2191" s="30"/>
      <c r="C2191" s="31">
        <v>61521107</v>
      </c>
      <c r="D2191" s="30" t="str">
        <f>IFERROR(VLOOKUP(Tabela5[[#This Row],[PREFIXO ]],Tabela4[#All],2,0),"CENTRO DE CUSTO")</f>
        <v>CAMINHAO COMBOIO MB AXOR 3131</v>
      </c>
      <c r="E2191" s="33" t="s">
        <v>29</v>
      </c>
      <c r="F2191" s="31">
        <v>56040</v>
      </c>
      <c r="G2191" s="32">
        <v>14160</v>
      </c>
      <c r="H2191" s="32">
        <v>45487.49</v>
      </c>
      <c r="I2191" s="32">
        <f t="shared" si="35"/>
        <v>59647.49</v>
      </c>
      <c r="J2191" s="33" t="s">
        <v>1085</v>
      </c>
      <c r="K2191" s="33"/>
      <c r="L2191" s="33"/>
      <c r="M2191" s="33"/>
      <c r="N2191" s="30"/>
      <c r="O2191" s="33"/>
      <c r="P2191" s="33"/>
      <c r="Q2191" s="30" t="str" cm="1">
        <f t="array" ref="Q2191">_xlfn.IFS(
A2191="","",
AND(A2191&lt;&gt;"",B2191=""),"FALTA LANÇAMENTO",
AND(B2191&lt;&gt;"",M2191=""),"FALTA O PEDIDO",
AND(M2191&lt;&gt;"",O2191=""),"FALTA NF",
O2191&lt;&gt;"","CONCLUÍDO")</f>
        <v>FALTA LANÇAMENTO</v>
      </c>
      <c r="R2191" s="33"/>
    </row>
    <row r="2192" spans="1:18" hidden="1">
      <c r="A2192" s="30">
        <v>46213</v>
      </c>
      <c r="B2192" s="30"/>
      <c r="C2192" s="31">
        <v>11040014</v>
      </c>
      <c r="D2192" s="30" t="str">
        <f>IFERROR(VLOOKUP(Tabela5[[#This Row],[PREFIXO ]],Tabela4[#All],2,0),"CENTRO DE CUSTO")</f>
        <v>CAV MEC EXT PES SCANIA R500</v>
      </c>
      <c r="E2192" s="33" t="s">
        <v>29</v>
      </c>
      <c r="F2192" s="31">
        <v>56039</v>
      </c>
      <c r="G2192" s="32">
        <v>9817</v>
      </c>
      <c r="H2192" s="32">
        <v>12238.33</v>
      </c>
      <c r="I2192" s="32">
        <f t="shared" si="35"/>
        <v>22055.33</v>
      </c>
      <c r="J2192" s="33" t="s">
        <v>1085</v>
      </c>
      <c r="K2192" s="33"/>
      <c r="L2192" s="33"/>
      <c r="M2192" s="33"/>
      <c r="N2192" s="30"/>
      <c r="O2192" s="33"/>
      <c r="P2192" s="33"/>
      <c r="Q2192" s="30" t="str" cm="1">
        <f t="array" ref="Q2192">_xlfn.IFS(
A2192="","",
AND(A2192&lt;&gt;"",B2192=""),"FALTA LANÇAMENTO",
AND(B2192&lt;&gt;"",M2192=""),"FALTA O PEDIDO",
AND(M2192&lt;&gt;"",O2192=""),"FALTA NF",
O2192&lt;&gt;"","CONCLUÍDO")</f>
        <v>FALTA LANÇAMENTO</v>
      </c>
      <c r="R2192" s="33"/>
    </row>
    <row r="2193" spans="1:18" hidden="1">
      <c r="A2193" s="30">
        <v>46213</v>
      </c>
      <c r="B2193" s="30">
        <v>46220</v>
      </c>
      <c r="C2193" s="31">
        <v>61521101</v>
      </c>
      <c r="D2193" s="30" t="str">
        <f>IFERROR(VLOOKUP(Tabela5[[#This Row],[PREFIXO ]],Tabela4[#All],2,0),"CENTRO DE CUSTO")</f>
        <v>CAM ROLL ON/OFF VOLVO VM 330</v>
      </c>
      <c r="E2193" s="33" t="s">
        <v>29</v>
      </c>
      <c r="F2193" s="31">
        <v>56038</v>
      </c>
      <c r="G2193" s="32">
        <v>545</v>
      </c>
      <c r="H2193" s="32"/>
      <c r="I2193" s="32">
        <f t="shared" si="35"/>
        <v>545</v>
      </c>
      <c r="J2193" s="33" t="s">
        <v>1085</v>
      </c>
      <c r="K2193" s="33" t="s">
        <v>5197</v>
      </c>
      <c r="L2193" s="33" t="s">
        <v>5198</v>
      </c>
      <c r="M2193" s="33"/>
      <c r="N2193" s="30"/>
      <c r="O2193" s="33"/>
      <c r="P2193" s="33"/>
      <c r="Q2193" s="30" t="str" cm="1">
        <f t="array" ref="Q2193">_xlfn.IFS(
A2193="","",
AND(A2193&lt;&gt;"",B2193=""),"FALTA LANÇAMENTO",
AND(B2193&lt;&gt;"",M2193=""),"FALTA O PEDIDO",
AND(M2193&lt;&gt;"",O2193=""),"FALTA NF",
O2193&lt;&gt;"","CONCLUÍDO")</f>
        <v>FALTA O PEDIDO</v>
      </c>
      <c r="R2193" s="33"/>
    </row>
    <row r="2194" spans="1:18" hidden="1">
      <c r="A2194" s="30">
        <v>46213</v>
      </c>
      <c r="B2194" s="30"/>
      <c r="C2194" s="31">
        <v>11040013</v>
      </c>
      <c r="D2194" s="30" t="str">
        <f>IFERROR(VLOOKUP(Tabela5[[#This Row],[PREFIXO ]],Tabela4[#All],2,0),"CENTRO DE CUSTO")</f>
        <v>CAV MEC EXT PES SCANIA R500</v>
      </c>
      <c r="E2194" s="33" t="s">
        <v>29</v>
      </c>
      <c r="F2194" s="31">
        <v>55995</v>
      </c>
      <c r="G2194" s="32">
        <v>9524</v>
      </c>
      <c r="H2194" s="32">
        <v>14405.52</v>
      </c>
      <c r="I2194" s="32">
        <f t="shared" si="35"/>
        <v>23929.52</v>
      </c>
      <c r="J2194" s="33" t="s">
        <v>1085</v>
      </c>
      <c r="K2194" s="33"/>
      <c r="L2194" s="33"/>
      <c r="M2194" s="33"/>
      <c r="N2194" s="30"/>
      <c r="O2194" s="33"/>
      <c r="P2194" s="33"/>
      <c r="Q2194" s="30" t="str" cm="1">
        <f t="array" ref="Q2194">_xlfn.IFS(
A2194="","",
AND(A2194&lt;&gt;"",B2194=""),"FALTA LANÇAMENTO",
AND(B2194&lt;&gt;"",M2194=""),"FALTA O PEDIDO",
AND(M2194&lt;&gt;"",O2194=""),"FALTA NF",
O2194&lt;&gt;"","CONCLUÍDO")</f>
        <v>FALTA LANÇAMENTO</v>
      </c>
      <c r="R2194" s="33"/>
    </row>
    <row r="2195" spans="1:18" hidden="1">
      <c r="A2195" s="30">
        <v>46213</v>
      </c>
      <c r="B2195" s="30"/>
      <c r="C2195" s="31">
        <v>61521080</v>
      </c>
      <c r="D2195" s="30" t="str">
        <f>IFERROR(VLOOKUP(Tabela5[[#This Row],[PREFIXO ]],Tabela4[#All],2,0),"CENTRO DE CUSTO")</f>
        <v>CAV MEC EXT PES VOLVO FH 540</v>
      </c>
      <c r="E2195" s="33" t="s">
        <v>29</v>
      </c>
      <c r="F2195" s="31">
        <v>55979</v>
      </c>
      <c r="G2195" s="32">
        <v>5705</v>
      </c>
      <c r="H2195" s="32">
        <v>485.62</v>
      </c>
      <c r="I2195" s="32">
        <f t="shared" si="35"/>
        <v>6190.62</v>
      </c>
      <c r="J2195" s="33" t="s">
        <v>1085</v>
      </c>
      <c r="K2195" s="33"/>
      <c r="L2195" s="33"/>
      <c r="M2195" s="33"/>
      <c r="N2195" s="30"/>
      <c r="O2195" s="33"/>
      <c r="P2195" s="33"/>
      <c r="Q2195" s="30" t="str" cm="1">
        <f t="array" ref="Q2195">_xlfn.IFS(
A2195="","",
AND(A2195&lt;&gt;"",B2195=""),"FALTA LANÇAMENTO",
AND(B2195&lt;&gt;"",M2195=""),"FALTA O PEDIDO",
AND(M2195&lt;&gt;"",O2195=""),"FALTA NF",
O2195&lt;&gt;"","CONCLUÍDO")</f>
        <v>FALTA LANÇAMENTO</v>
      </c>
      <c r="R2195" s="33"/>
    </row>
    <row r="2196" spans="1:18" hidden="1">
      <c r="A2196" s="30">
        <v>46213</v>
      </c>
      <c r="B2196" s="30">
        <v>46220</v>
      </c>
      <c r="C2196" s="31">
        <v>81521205</v>
      </c>
      <c r="D2196" s="30" t="str">
        <f>IFERROR(VLOOKUP(Tabela5[[#This Row],[PREFIXO ]],Tabela4[#All],2,0),"CENTRO DE CUSTO")</f>
        <v>SEMI REBOQUE PRANCHA FACCHINI SRCT 4E</v>
      </c>
      <c r="E2196" s="33" t="s">
        <v>29</v>
      </c>
      <c r="F2196" s="31">
        <v>55957</v>
      </c>
      <c r="G2196" s="32">
        <v>8306</v>
      </c>
      <c r="H2196" s="32">
        <v>16092.4</v>
      </c>
      <c r="I2196" s="32">
        <f t="shared" si="35"/>
        <v>24398.400000000001</v>
      </c>
      <c r="J2196" s="33" t="s">
        <v>1085</v>
      </c>
      <c r="K2196" s="33" t="s">
        <v>5199</v>
      </c>
      <c r="L2196" s="33" t="s">
        <v>5200</v>
      </c>
      <c r="M2196" s="33"/>
      <c r="N2196" s="30"/>
      <c r="O2196" s="33"/>
      <c r="P2196" s="33"/>
      <c r="Q2196" s="30" t="str" cm="1">
        <f t="array" ref="Q2196">_xlfn.IFS(
A2196="","",
AND(A2196&lt;&gt;"",B2196=""),"FALTA LANÇAMENTO",
AND(B2196&lt;&gt;"",M2196=""),"FALTA O PEDIDO",
AND(M2196&lt;&gt;"",O2196=""),"FALTA NF",
O2196&lt;&gt;"","CONCLUÍDO")</f>
        <v>FALTA O PEDIDO</v>
      </c>
      <c r="R2196" s="33"/>
    </row>
    <row r="2197" spans="1:18" hidden="1">
      <c r="A2197" s="30">
        <v>46213</v>
      </c>
      <c r="B2197" s="30">
        <v>46220</v>
      </c>
      <c r="C2197" s="31">
        <v>61521054</v>
      </c>
      <c r="D2197" s="30" t="str">
        <f>IFERROR(VLOOKUP(Tabela5[[#This Row],[PREFIXO ]],Tabela4[#All],2,0),"CENTRO DE CUSTO")</f>
        <v>CAM CARGA SECA MERC BENZ ATEGO 1719</v>
      </c>
      <c r="E2197" s="33" t="s">
        <v>29</v>
      </c>
      <c r="F2197" s="31">
        <v>55873</v>
      </c>
      <c r="G2197" s="32">
        <v>320</v>
      </c>
      <c r="H2197" s="32">
        <v>286.7</v>
      </c>
      <c r="I2197" s="32">
        <f t="shared" si="35"/>
        <v>606.70000000000005</v>
      </c>
      <c r="J2197" s="33" t="s">
        <v>1085</v>
      </c>
      <c r="K2197" s="33" t="s">
        <v>5201</v>
      </c>
      <c r="L2197" s="33" t="s">
        <v>5202</v>
      </c>
      <c r="M2197" s="33"/>
      <c r="N2197" s="30"/>
      <c r="O2197" s="33"/>
      <c r="P2197" s="33"/>
      <c r="Q2197" s="30" t="str" cm="1">
        <f t="array" ref="Q2197">_xlfn.IFS(
A2197="","",
AND(A2197&lt;&gt;"",B2197=""),"FALTA LANÇAMENTO",
AND(B2197&lt;&gt;"",M2197=""),"FALTA O PEDIDO",
AND(M2197&lt;&gt;"",O2197=""),"FALTA NF",
O2197&lt;&gt;"","CONCLUÍDO")</f>
        <v>FALTA O PEDIDO</v>
      </c>
      <c r="R2197" s="33"/>
    </row>
    <row r="2198" spans="1:18" hidden="1">
      <c r="A2198" s="30">
        <v>46213</v>
      </c>
      <c r="B2198" s="30">
        <v>46220</v>
      </c>
      <c r="C2198" s="31">
        <v>12060001</v>
      </c>
      <c r="D2198" s="30" t="str">
        <f>IFERROR(VLOOKUP(Tabela5[[#This Row],[PREFIXO ]],Tabela4[#All],2,0),"CENTRO DE CUSTO")</f>
        <v>ONIB RODOVIÁRIO MARCOPOLO NEOBUS MEGA</v>
      </c>
      <c r="E2198" s="33" t="s">
        <v>29</v>
      </c>
      <c r="F2198" s="31">
        <v>56028</v>
      </c>
      <c r="G2198" s="32">
        <v>10368</v>
      </c>
      <c r="H2198" s="32">
        <v>27179.14</v>
      </c>
      <c r="I2198" s="32">
        <f t="shared" si="35"/>
        <v>37547.14</v>
      </c>
      <c r="J2198" s="33" t="s">
        <v>1085</v>
      </c>
      <c r="K2198" s="33" t="s">
        <v>5203</v>
      </c>
      <c r="L2198" s="33" t="s">
        <v>5204</v>
      </c>
      <c r="M2198" s="33"/>
      <c r="N2198" s="30"/>
      <c r="O2198" s="33"/>
      <c r="P2198" s="33"/>
      <c r="Q2198" s="30" t="str" cm="1">
        <f t="array" ref="Q2198">_xlfn.IFS(
A2198="","",
AND(A2198&lt;&gt;"",B2198=""),"FALTA LANÇAMENTO",
AND(B2198&lt;&gt;"",M2198=""),"FALTA O PEDIDO",
AND(M2198&lt;&gt;"",O2198=""),"FALTA NF",
O2198&lt;&gt;"","CONCLUÍDO")</f>
        <v>FALTA O PEDIDO</v>
      </c>
      <c r="R2198" s="33"/>
    </row>
    <row r="2199" spans="1:18" hidden="1">
      <c r="A2199" s="30">
        <v>46213</v>
      </c>
      <c r="B2199" s="30">
        <v>46218</v>
      </c>
      <c r="C2199" s="31">
        <v>5173116</v>
      </c>
      <c r="D2199" s="30" t="str">
        <f>IFERROR(VLOOKUP(Tabela5[[#This Row],[PREFIXO ]],Tabela4[#All],2,0),"CENTRO DE CUSTO")</f>
        <v>COLHED ALGODÃO JOHN DEERE 7760</v>
      </c>
      <c r="E2199" s="33" t="s">
        <v>17</v>
      </c>
      <c r="F2199" s="31">
        <v>44825</v>
      </c>
      <c r="G2199" s="32">
        <v>8107.31</v>
      </c>
      <c r="H2199" s="32">
        <v>1364.15</v>
      </c>
      <c r="I2199" s="32">
        <f t="shared" si="35"/>
        <v>9471.4600000000009</v>
      </c>
      <c r="J2199" s="33" t="s">
        <v>1123</v>
      </c>
      <c r="K2199" s="33" t="s">
        <v>5205</v>
      </c>
      <c r="L2199" s="33" t="s">
        <v>5206</v>
      </c>
      <c r="M2199" s="33"/>
      <c r="N2199" s="30"/>
      <c r="O2199" s="33"/>
      <c r="P2199" s="33"/>
      <c r="Q2199" s="30" t="str" cm="1">
        <f t="array" ref="Q2199">_xlfn.IFS(
A2199="","",
AND(A2199&lt;&gt;"",B2199=""),"FALTA LANÇAMENTO",
AND(B2199&lt;&gt;"",M2199=""),"FALTA O PEDIDO",
AND(M2199&lt;&gt;"",O2199=""),"FALTA NF",
O2199&lt;&gt;"","CONCLUÍDO")</f>
        <v>FALTA O PEDIDO</v>
      </c>
      <c r="R2199" s="33"/>
    </row>
    <row r="2200" spans="1:18" hidden="1">
      <c r="A2200" s="30">
        <v>46217</v>
      </c>
      <c r="B2200" s="30"/>
      <c r="C2200" s="31">
        <v>5173118</v>
      </c>
      <c r="D2200" s="30" t="str">
        <f>IFERROR(VLOOKUP(Tabela5[[#This Row],[PREFIXO ]],Tabela4[#All],2,0),"CENTRO DE CUSTO")</f>
        <v>COLHED ALGODÃO JOHN DEERE 7760</v>
      </c>
      <c r="E2200" s="33" t="s">
        <v>173</v>
      </c>
      <c r="F2200" s="31">
        <v>1052</v>
      </c>
      <c r="G2200" s="32">
        <v>210</v>
      </c>
      <c r="H2200" s="32">
        <v>128.9</v>
      </c>
      <c r="I2200" s="32">
        <f t="shared" si="35"/>
        <v>338.9</v>
      </c>
      <c r="J2200" s="33" t="s">
        <v>1123</v>
      </c>
      <c r="K2200" s="33"/>
      <c r="L2200" s="33"/>
      <c r="M2200" s="33"/>
      <c r="N2200" s="30"/>
      <c r="O2200" s="33"/>
      <c r="P2200" s="33"/>
      <c r="Q2200" s="30" t="str" cm="1">
        <f t="array" ref="Q2200">_xlfn.IFS(
A2200="","",
AND(A2200&lt;&gt;"",B2200=""),"FALTA LANÇAMENTO",
AND(B2200&lt;&gt;"",M2200=""),"FALTA O PEDIDO",
AND(M2200&lt;&gt;"",O2200=""),"FALTA NF",
O2200&lt;&gt;"","CONCLUÍDO")</f>
        <v>FALTA LANÇAMENTO</v>
      </c>
      <c r="R2200" s="33"/>
    </row>
    <row r="2201" spans="1:18" hidden="1">
      <c r="A2201" s="30">
        <v>46217</v>
      </c>
      <c r="B2201" s="30"/>
      <c r="C2201" s="31">
        <v>15770032</v>
      </c>
      <c r="D2201" s="30" t="str">
        <f>IFERROR(VLOOKUP(Tabela5[[#This Row],[PREFIXO ]],Tabela4[#All],2,0),"CENTRO DE CUSTO")</f>
        <v>PLATAF ROÇAGEM WATANABE MAVERICK</v>
      </c>
      <c r="E2201" s="33" t="s">
        <v>173</v>
      </c>
      <c r="F2201" s="31">
        <v>1065</v>
      </c>
      <c r="G2201" s="32">
        <v>390</v>
      </c>
      <c r="H2201" s="32">
        <v>2662.5</v>
      </c>
      <c r="I2201" s="32">
        <f t="shared" si="35"/>
        <v>3052.5</v>
      </c>
      <c r="J2201" s="33" t="s">
        <v>1123</v>
      </c>
      <c r="K2201" s="33" t="s">
        <v>5207</v>
      </c>
      <c r="L2201" s="33" t="s">
        <v>5208</v>
      </c>
      <c r="M2201" s="33"/>
      <c r="N2201" s="30"/>
      <c r="O2201" s="33"/>
      <c r="P2201" s="33"/>
      <c r="Q2201" s="30" t="str" cm="1">
        <f t="array" ref="Q2201">_xlfn.IFS(
A2201="","",
AND(A2201&lt;&gt;"",B2201=""),"FALTA LANÇAMENTO",
AND(B2201&lt;&gt;"",M2201=""),"FALTA O PEDIDO",
AND(M2201&lt;&gt;"",O2201=""),"FALTA NF",
O2201&lt;&gt;"","CONCLUÍDO")</f>
        <v>FALTA LANÇAMENTO</v>
      </c>
      <c r="R2201" s="33"/>
    </row>
    <row r="2202" spans="1:18" hidden="1">
      <c r="A2202" s="30">
        <v>46217</v>
      </c>
      <c r="B2202" s="30">
        <v>46226</v>
      </c>
      <c r="C2202" s="31">
        <v>15770023</v>
      </c>
      <c r="D2202" s="30" t="str">
        <f>IFERROR(VLOOKUP(Tabela5[[#This Row],[PREFIXO ]],Tabela4[#All],2,0),"CENTRO DE CUSTO")</f>
        <v>PLATAF ROÇAGEM WATANABE MAVERICK</v>
      </c>
      <c r="E2202" s="33" t="s">
        <v>173</v>
      </c>
      <c r="F2202" s="31">
        <v>1169</v>
      </c>
      <c r="G2202" s="32"/>
      <c r="H2202" s="32">
        <v>1370.09</v>
      </c>
      <c r="I2202" s="32">
        <f t="shared" si="35"/>
        <v>1370.09</v>
      </c>
      <c r="J2202" s="33" t="s">
        <v>1123</v>
      </c>
      <c r="K2202" s="33" t="s">
        <v>5209</v>
      </c>
      <c r="L2202" s="33" t="s">
        <v>5210</v>
      </c>
      <c r="M2202" s="33"/>
      <c r="N2202" s="30"/>
      <c r="O2202" s="33"/>
      <c r="P2202" s="33"/>
      <c r="Q2202" s="30" t="str" cm="1">
        <f t="array" ref="Q2202">_xlfn.IFS(
A2202="","",
AND(A2202&lt;&gt;"",B2202=""),"FALTA LANÇAMENTO",
AND(B2202&lt;&gt;"",M2202=""),"FALTA O PEDIDO",
AND(M2202&lt;&gt;"",O2202=""),"FALTA NF",
O2202&lt;&gt;"","CONCLUÍDO")</f>
        <v>FALTA O PEDIDO</v>
      </c>
      <c r="R2202" s="33"/>
    </row>
    <row r="2203" spans="1:18" hidden="1">
      <c r="A2203" s="30">
        <v>46217</v>
      </c>
      <c r="B2203" s="30"/>
      <c r="C2203" s="31">
        <v>15770012</v>
      </c>
      <c r="D2203" s="30" t="str">
        <f>IFERROR(VLOOKUP(Tabela5[[#This Row],[PREFIXO ]],Tabela4[#All],2,0),"CENTRO DE CUSTO")</f>
        <v>CENTRO DE CUSTO</v>
      </c>
      <c r="E2203" s="33" t="s">
        <v>173</v>
      </c>
      <c r="F2203" s="31">
        <v>1171</v>
      </c>
      <c r="G2203" s="32"/>
      <c r="H2203" s="32">
        <v>5979.72</v>
      </c>
      <c r="I2203" s="32">
        <f t="shared" si="35"/>
        <v>5979.72</v>
      </c>
      <c r="J2203" s="33" t="s">
        <v>1123</v>
      </c>
      <c r="K2203" s="33"/>
      <c r="L2203" s="33"/>
      <c r="M2203" s="33"/>
      <c r="N2203" s="30"/>
      <c r="O2203" s="33"/>
      <c r="P2203" s="33"/>
      <c r="Q2203" s="30" t="str" cm="1">
        <f t="array" ref="Q2203">_xlfn.IFS(
A2203="","",
AND(A2203&lt;&gt;"",B2203=""),"FALTA LANÇAMENTO",
AND(B2203&lt;&gt;"",M2203=""),"FALTA O PEDIDO",
AND(M2203&lt;&gt;"",O2203=""),"FALTA NF",
O2203&lt;&gt;"","CONCLUÍDO")</f>
        <v>FALTA LANÇAMENTO</v>
      </c>
      <c r="R2203" s="33"/>
    </row>
    <row r="2204" spans="1:18" hidden="1">
      <c r="A2204" s="30">
        <v>46217</v>
      </c>
      <c r="B2204" s="30">
        <v>46223</v>
      </c>
      <c r="C2204" s="31">
        <v>61521009</v>
      </c>
      <c r="D2204" s="30" t="str">
        <f>IFERROR(VLOOKUP(Tabela5[[#This Row],[PREFIXO ]],Tabela4[#All],2,0),"CENTRO DE CUSTO")</f>
        <v>CAV MEC PES MERC BENZ AXOR 2644</v>
      </c>
      <c r="E2204" s="33" t="s">
        <v>121</v>
      </c>
      <c r="F2204" s="31">
        <v>95</v>
      </c>
      <c r="G2204" s="32">
        <v>530</v>
      </c>
      <c r="H2204" s="32">
        <v>1964.3</v>
      </c>
      <c r="I2204" s="32">
        <f t="shared" si="35"/>
        <v>2494.3000000000002</v>
      </c>
      <c r="J2204" s="33" t="s">
        <v>1085</v>
      </c>
      <c r="K2204" s="33" t="s">
        <v>5211</v>
      </c>
      <c r="L2204" s="33" t="s">
        <v>5212</v>
      </c>
      <c r="M2204" s="33"/>
      <c r="N2204" s="30"/>
      <c r="O2204" s="33"/>
      <c r="P2204" s="33"/>
      <c r="Q2204" s="30" t="str" cm="1">
        <f t="array" ref="Q2204">_xlfn.IFS(
A2204="","",
AND(A2204&lt;&gt;"",B2204=""),"FALTA LANÇAMENTO",
AND(B2204&lt;&gt;"",M2204=""),"FALTA O PEDIDO",
AND(M2204&lt;&gt;"",O2204=""),"FALTA NF",
O2204&lt;&gt;"","CONCLUÍDO")</f>
        <v>FALTA O PEDIDO</v>
      </c>
      <c r="R2204" s="33"/>
    </row>
    <row r="2205" spans="1:18" hidden="1">
      <c r="A2205" s="30">
        <v>46217</v>
      </c>
      <c r="B2205" s="30">
        <v>46223</v>
      </c>
      <c r="C2205" s="31">
        <v>61521040</v>
      </c>
      <c r="D2205" s="30" t="str">
        <f>IFERROR(VLOOKUP(Tabela5[[#This Row],[PREFIXO ]],Tabela4[#All],2,0),"CENTRO DE CUSTO")</f>
        <v>CAM COMBOIO FORD F-4000</v>
      </c>
      <c r="E2205" s="33" t="s">
        <v>121</v>
      </c>
      <c r="F2205" s="31">
        <v>96</v>
      </c>
      <c r="G2205" s="32">
        <v>560</v>
      </c>
      <c r="H2205" s="32">
        <v>2815.35</v>
      </c>
      <c r="I2205" s="32">
        <f t="shared" si="35"/>
        <v>3375.35</v>
      </c>
      <c r="J2205" s="33" t="s">
        <v>1085</v>
      </c>
      <c r="K2205" s="33" t="s">
        <v>5213</v>
      </c>
      <c r="L2205" s="33" t="s">
        <v>5214</v>
      </c>
      <c r="M2205" s="33"/>
      <c r="N2205" s="30"/>
      <c r="O2205" s="33"/>
      <c r="P2205" s="33"/>
      <c r="Q2205" s="30" t="str" cm="1">
        <f t="array" ref="Q2205">_xlfn.IFS(
A2205="","",
AND(A2205&lt;&gt;"",B2205=""),"FALTA LANÇAMENTO",
AND(B2205&lt;&gt;"",M2205=""),"FALTA O PEDIDO",
AND(M2205&lt;&gt;"",O2205=""),"FALTA NF",
O2205&lt;&gt;"","CONCLUÍDO")</f>
        <v>FALTA O PEDIDO</v>
      </c>
      <c r="R2205" s="33"/>
    </row>
    <row r="2206" spans="1:18" hidden="1">
      <c r="A2206" s="30">
        <v>46217</v>
      </c>
      <c r="B2206" s="30">
        <v>46223</v>
      </c>
      <c r="C2206" s="31">
        <v>22030323</v>
      </c>
      <c r="D2206" s="30" t="str">
        <f>IFERROR(VLOOKUP(Tabela5[[#This Row],[PREFIXO ]],Tabela4[#All],2,0),"CENTRO DE CUSTO")</f>
        <v>CENTRO DE CUSTO</v>
      </c>
      <c r="E2206" s="33" t="s">
        <v>328</v>
      </c>
      <c r="F2206" s="31">
        <v>8010</v>
      </c>
      <c r="G2206" s="32">
        <v>100</v>
      </c>
      <c r="H2206" s="32">
        <v>5035.66</v>
      </c>
      <c r="I2206" s="32">
        <f t="shared" si="35"/>
        <v>5135.66</v>
      </c>
      <c r="J2206" s="33" t="s">
        <v>1085</v>
      </c>
      <c r="K2206" s="33" t="s">
        <v>5215</v>
      </c>
      <c r="L2206" s="33" t="s">
        <v>5216</v>
      </c>
      <c r="M2206" s="33"/>
      <c r="N2206" s="30"/>
      <c r="O2206" s="33"/>
      <c r="P2206" s="33"/>
      <c r="Q2206" s="30" t="str" cm="1">
        <f t="array" ref="Q2206">_xlfn.IFS(
A2206="","",
AND(A2206&lt;&gt;"",B2206=""),"FALTA LANÇAMENTO",
AND(B2206&lt;&gt;"",M2206=""),"FALTA O PEDIDO",
AND(M2206&lt;&gt;"",O2206=""),"FALTA NF",
O2206&lt;&gt;"","CONCLUÍDO")</f>
        <v>FALTA O PEDIDO</v>
      </c>
      <c r="R2206" s="33"/>
    </row>
    <row r="2207" spans="1:18" hidden="1">
      <c r="A2207" s="30">
        <v>46217</v>
      </c>
      <c r="B2207" s="30">
        <v>46220</v>
      </c>
      <c r="C2207" s="31">
        <v>61521002</v>
      </c>
      <c r="D2207" s="30" t="str">
        <f>IFERROR(VLOOKUP(Tabela5[[#This Row],[PREFIXO ]],Tabela4[#All],2,0),"CENTRO DE CUSTO")</f>
        <v>ONIB COLETIVO VW 17230 CAIO APACH</v>
      </c>
      <c r="E2207" s="33" t="s">
        <v>372</v>
      </c>
      <c r="F2207" s="31">
        <v>3</v>
      </c>
      <c r="G2207" s="32">
        <v>2800</v>
      </c>
      <c r="H2207" s="32"/>
      <c r="I2207" s="32">
        <f t="shared" si="35"/>
        <v>2800</v>
      </c>
      <c r="J2207" s="33" t="s">
        <v>1085</v>
      </c>
      <c r="K2207" s="33" t="s">
        <v>5217</v>
      </c>
      <c r="L2207" s="33" t="s">
        <v>5218</v>
      </c>
      <c r="M2207" s="33"/>
      <c r="N2207" s="30"/>
      <c r="O2207" s="33"/>
      <c r="P2207" s="33"/>
      <c r="Q2207" s="30" t="str" cm="1">
        <f t="array" ref="Q2207">_xlfn.IFS(
A2207="","",
AND(A2207&lt;&gt;"",B2207=""),"FALTA LANÇAMENTO",
AND(B2207&lt;&gt;"",M2207=""),"FALTA O PEDIDO",
AND(M2207&lt;&gt;"",O2207=""),"FALTA NF",
O2207&lt;&gt;"","CONCLUÍDO")</f>
        <v>FALTA O PEDIDO</v>
      </c>
      <c r="R2207" s="33"/>
    </row>
    <row r="2208" spans="1:18" hidden="1">
      <c r="A2208" s="30">
        <v>46217</v>
      </c>
      <c r="B2208" s="30">
        <v>46224</v>
      </c>
      <c r="C2208" s="31">
        <v>15048014</v>
      </c>
      <c r="D2208" s="30" t="str">
        <f>IFERROR(VLOOKUP(Tabela5[[#This Row],[PREFIXO ]],Tabela4[#All],2,0),"CENTRO DE CUSTO")</f>
        <v>CENTRO DE CUSTO</v>
      </c>
      <c r="E2208" s="33" t="s">
        <v>259</v>
      </c>
      <c r="F2208" s="31">
        <v>63331458</v>
      </c>
      <c r="G2208" s="32">
        <v>3995.05</v>
      </c>
      <c r="H2208" s="32"/>
      <c r="I2208" s="32">
        <f t="shared" si="35"/>
        <v>3995.05</v>
      </c>
      <c r="J2208" s="33" t="s">
        <v>1199</v>
      </c>
      <c r="K2208" s="33" t="s">
        <v>5219</v>
      </c>
      <c r="L2208" s="33" t="s">
        <v>5220</v>
      </c>
      <c r="M2208" s="33"/>
      <c r="N2208" s="30"/>
      <c r="O2208" s="33"/>
      <c r="P2208" s="33"/>
      <c r="Q2208" s="30" t="str" cm="1">
        <f t="array" ref="Q2208">_xlfn.IFS(
A2208="","",
AND(A2208&lt;&gt;"",B2208=""),"FALTA LANÇAMENTO",
AND(B2208&lt;&gt;"",M2208=""),"FALTA O PEDIDO",
AND(M2208&lt;&gt;"",O2208=""),"FALTA NF",
O2208&lt;&gt;"","CONCLUÍDO")</f>
        <v>FALTA O PEDIDO</v>
      </c>
      <c r="R2208" s="33"/>
    </row>
    <row r="2209" spans="1:18" hidden="1">
      <c r="A2209" s="30">
        <v>46217</v>
      </c>
      <c r="B2209" s="30">
        <v>46220</v>
      </c>
      <c r="C2209" s="31">
        <v>22080164</v>
      </c>
      <c r="D2209" s="30" t="str">
        <f>IFERROR(VLOOKUP(Tabela5[[#This Row],[PREFIXO ]],Tabela4[#All],2,0),"CENTRO DE CUSTO")</f>
        <v>CENTRO DE CUSTO</v>
      </c>
      <c r="E2209" s="33" t="s">
        <v>227</v>
      </c>
      <c r="F2209" s="31">
        <v>220730</v>
      </c>
      <c r="G2209" s="32">
        <v>780</v>
      </c>
      <c r="H2209" s="32"/>
      <c r="I2209" s="32">
        <f t="shared" si="35"/>
        <v>780</v>
      </c>
      <c r="J2209" s="33" t="s">
        <v>1085</v>
      </c>
      <c r="K2209" s="33" t="s">
        <v>5221</v>
      </c>
      <c r="L2209" s="33" t="s">
        <v>5222</v>
      </c>
      <c r="M2209" s="33" t="s">
        <v>5223</v>
      </c>
      <c r="N2209" s="30">
        <v>46220</v>
      </c>
      <c r="O2209" s="33"/>
      <c r="P2209" s="33"/>
      <c r="Q2209" s="30" t="str" cm="1">
        <f t="array" ref="Q2209">_xlfn.IFS(
A2209="","",
AND(A2209&lt;&gt;"",B2209=""),"FALTA LANÇAMENTO",
AND(B2209&lt;&gt;"",M2209=""),"FALTA O PEDIDO",
AND(M2209&lt;&gt;"",O2209=""),"FALTA NF",
O2209&lt;&gt;"","CONCLUÍDO")</f>
        <v>FALTA NF</v>
      </c>
      <c r="R2209" s="33"/>
    </row>
    <row r="2210" spans="1:18" hidden="1">
      <c r="A2210" s="30">
        <v>46217</v>
      </c>
      <c r="B2210" s="30">
        <v>46218</v>
      </c>
      <c r="C2210" s="31" t="s">
        <v>5224</v>
      </c>
      <c r="D2210" s="30" t="str">
        <f>IFERROR(VLOOKUP(Tabela5[[#This Row],[PREFIXO ]],Tabela4[#All],2,0),"CENTRO DE CUSTO")</f>
        <v>CENTRO DE CUSTO</v>
      </c>
      <c r="E2210" s="33" t="s">
        <v>62</v>
      </c>
      <c r="F2210" s="31">
        <v>1479</v>
      </c>
      <c r="G2210" s="32">
        <v>34000</v>
      </c>
      <c r="H2210" s="32"/>
      <c r="I2210" s="32">
        <f t="shared" si="35"/>
        <v>34000</v>
      </c>
      <c r="J2210" s="33" t="s">
        <v>5225</v>
      </c>
      <c r="K2210" s="33" t="s">
        <v>5226</v>
      </c>
      <c r="L2210" s="33" t="s">
        <v>5227</v>
      </c>
      <c r="M2210" s="33"/>
      <c r="N2210" s="30"/>
      <c r="O2210" s="33"/>
      <c r="P2210" s="33"/>
      <c r="Q2210" s="30" t="str" cm="1">
        <f t="array" ref="Q2210">_xlfn.IFS(
A2210="","",
AND(A2210&lt;&gt;"",B2210=""),"FALTA LANÇAMENTO",
AND(B2210&lt;&gt;"",M2210=""),"FALTA O PEDIDO",
AND(M2210&lt;&gt;"",O2210=""),"FALTA NF",
O2210&lt;&gt;"","CONCLUÍDO")</f>
        <v>FALTA O PEDIDO</v>
      </c>
      <c r="R2210" s="33"/>
    </row>
    <row r="2211" spans="1:18" hidden="1">
      <c r="A2211" s="30">
        <v>46217</v>
      </c>
      <c r="B2211" s="30">
        <v>46218</v>
      </c>
      <c r="C2211" s="31">
        <v>51521061</v>
      </c>
      <c r="D2211" s="30" t="str">
        <f>IFERROR(VLOOKUP(Tabela5[[#This Row],[PREFIXO ]],Tabela4[#All],2,0),"CENTRO DE CUSTO")</f>
        <v>COLHED ALGODÃO JOHN DEERE CP 690</v>
      </c>
      <c r="E2211" s="33" t="s">
        <v>173</v>
      </c>
      <c r="F2211" s="31">
        <v>1170</v>
      </c>
      <c r="G2211" s="32">
        <v>2425.1999999999998</v>
      </c>
      <c r="H2211" s="32">
        <v>11684.4</v>
      </c>
      <c r="I2211" s="32">
        <f t="shared" si="35"/>
        <v>14109.599999999999</v>
      </c>
      <c r="J2211" s="33" t="s">
        <v>1123</v>
      </c>
      <c r="K2211" s="33" t="s">
        <v>5228</v>
      </c>
      <c r="L2211" s="33" t="s">
        <v>5229</v>
      </c>
      <c r="M2211" s="33"/>
      <c r="N2211" s="30"/>
      <c r="O2211" s="33"/>
      <c r="P2211" s="33"/>
      <c r="Q2211" s="30" t="str" cm="1">
        <f t="array" ref="Q2211">_xlfn.IFS(
A2211="","",
AND(A2211&lt;&gt;"",B2211=""),"FALTA LANÇAMENTO",
AND(B2211&lt;&gt;"",M2211=""),"FALTA O PEDIDO",
AND(M2211&lt;&gt;"",O2211=""),"FALTA NF",
O2211&lt;&gt;"","CONCLUÍDO")</f>
        <v>FALTA O PEDIDO</v>
      </c>
      <c r="R2211" s="33"/>
    </row>
    <row r="2212" spans="1:18" hidden="1">
      <c r="A2212" s="30">
        <v>46217</v>
      </c>
      <c r="B2212" s="30">
        <v>46223</v>
      </c>
      <c r="C2212" s="31">
        <v>61521081</v>
      </c>
      <c r="D2212" s="30" t="str">
        <f>IFERROR(VLOOKUP(Tabela5[[#This Row],[PREFIXO ]],Tabela4[#All],2,0),"CENTRO DE CUSTO")</f>
        <v>CAV MEC EXT PES VOLVO FH 540</v>
      </c>
      <c r="E2212" s="33" t="s">
        <v>347</v>
      </c>
      <c r="F2212" s="31">
        <v>1313</v>
      </c>
      <c r="G2212" s="32">
        <v>280</v>
      </c>
      <c r="H2212" s="32">
        <v>92</v>
      </c>
      <c r="I2212" s="32">
        <f t="shared" si="35"/>
        <v>372</v>
      </c>
      <c r="J2212" s="33" t="s">
        <v>1085</v>
      </c>
      <c r="K2212" s="33" t="s">
        <v>5230</v>
      </c>
      <c r="L2212" s="33" t="s">
        <v>5231</v>
      </c>
      <c r="M2212" s="33"/>
      <c r="N2212" s="30"/>
      <c r="O2212" s="33"/>
      <c r="P2212" s="33"/>
      <c r="Q2212" s="30" t="str" cm="1">
        <f t="array" ref="Q2212">_xlfn.IFS(
A2212="","",
AND(A2212&lt;&gt;"",B2212=""),"FALTA LANÇAMENTO",
AND(B2212&lt;&gt;"",M2212=""),"FALTA O PEDIDO",
AND(M2212&lt;&gt;"",O2212=""),"FALTA NF",
O2212&lt;&gt;"","CONCLUÍDO")</f>
        <v>FALTA O PEDIDO</v>
      </c>
      <c r="R2212" s="33"/>
    </row>
    <row r="2213" spans="1:18" hidden="1">
      <c r="A2213" s="30">
        <v>46217</v>
      </c>
      <c r="B2213" s="30">
        <v>46217</v>
      </c>
      <c r="C2213" s="31" t="s">
        <v>5232</v>
      </c>
      <c r="D2213" s="30" t="str">
        <f>IFERROR(VLOOKUP(Tabela5[[#This Row],[PREFIXO ]],Tabela4[#All],2,0),"CENTRO DE CUSTO")</f>
        <v>CENTRO DE CUSTO</v>
      </c>
      <c r="E2213" s="33" t="s">
        <v>122</v>
      </c>
      <c r="F2213" s="31">
        <v>1421</v>
      </c>
      <c r="G2213" s="32">
        <v>32000</v>
      </c>
      <c r="H2213" s="32"/>
      <c r="I2213" s="32">
        <f t="shared" si="35"/>
        <v>32000</v>
      </c>
      <c r="J2213" s="33" t="s">
        <v>1251</v>
      </c>
      <c r="K2213" s="33" t="s">
        <v>5233</v>
      </c>
      <c r="L2213" s="33" t="s">
        <v>5234</v>
      </c>
      <c r="M2213" s="33"/>
      <c r="N2213" s="30"/>
      <c r="O2213" s="33"/>
      <c r="P2213" s="33"/>
      <c r="Q2213" s="30" t="str" cm="1">
        <f t="array" ref="Q2213">_xlfn.IFS(
A2213="","",
AND(A2213&lt;&gt;"",B2213=""),"FALTA LANÇAMENTO",
AND(B2213&lt;&gt;"",M2213=""),"FALTA O PEDIDO",
AND(M2213&lt;&gt;"",O2213=""),"FALTA NF",
O2213&lt;&gt;"","CONCLUÍDO")</f>
        <v>FALTA O PEDIDO</v>
      </c>
      <c r="R2213" s="33"/>
    </row>
    <row r="2214" spans="1:18" hidden="1">
      <c r="A2214" s="30">
        <v>46218</v>
      </c>
      <c r="B2214" s="30">
        <v>46218</v>
      </c>
      <c r="C2214" s="31">
        <v>500580069</v>
      </c>
      <c r="D2214" s="30" t="str">
        <f>IFERROR(VLOOKUP(Tabela5[[#This Row],[PREFIXO ]],Tabela4[#All],2,0),"CENTRO DE CUSTO")</f>
        <v>Oficina Mecânica</v>
      </c>
      <c r="E2214" s="33" t="s">
        <v>282</v>
      </c>
      <c r="F2214" s="31" t="s">
        <v>5235</v>
      </c>
      <c r="G2214" s="32">
        <v>550</v>
      </c>
      <c r="H2214" s="32"/>
      <c r="I2214" s="32">
        <f t="shared" si="35"/>
        <v>550</v>
      </c>
      <c r="J2214" s="33" t="s">
        <v>1113</v>
      </c>
      <c r="K2214" s="33"/>
      <c r="L2214" s="33" t="s">
        <v>5236</v>
      </c>
      <c r="M2214" s="33" t="s">
        <v>5237</v>
      </c>
      <c r="N2214" s="30">
        <v>46218</v>
      </c>
      <c r="O2214" s="33"/>
      <c r="P2214" s="33"/>
      <c r="Q2214" s="30" t="str" cm="1">
        <f t="array" ref="Q2214">_xlfn.IFS(
A2214="","",
AND(A2214&lt;&gt;"",B2214=""),"FALTA LANÇAMENTO",
AND(B2214&lt;&gt;"",M2214=""),"FALTA O PEDIDO",
AND(M2214&lt;&gt;"",O2214=""),"FALTA NF",
O2214&lt;&gt;"","CONCLUÍDO")</f>
        <v>FALTA NF</v>
      </c>
      <c r="R2214" s="33"/>
    </row>
    <row r="2215" spans="1:18" hidden="1">
      <c r="A2215" s="30">
        <v>46218</v>
      </c>
      <c r="B2215" s="30">
        <v>46220</v>
      </c>
      <c r="C2215" s="31">
        <v>61521088</v>
      </c>
      <c r="D2215" s="30" t="str">
        <f>IFERROR(VLOOKUP(Tabela5[[#This Row],[PREFIXO ]],Tabela4[#All],2,0),"CENTRO DE CUSTO")</f>
        <v>PA CARREGADEIRA JOHN DEERE 524 K II</v>
      </c>
      <c r="E2215" s="33" t="s">
        <v>323</v>
      </c>
      <c r="F2215" s="31">
        <v>10</v>
      </c>
      <c r="G2215" s="32">
        <v>2490</v>
      </c>
      <c r="H2215" s="32"/>
      <c r="I2215" s="32">
        <f t="shared" si="35"/>
        <v>2490</v>
      </c>
      <c r="J2215" s="33" t="s">
        <v>1080</v>
      </c>
      <c r="K2215" s="33" t="s">
        <v>5238</v>
      </c>
      <c r="L2215" s="33" t="s">
        <v>5239</v>
      </c>
      <c r="M2215" s="33"/>
      <c r="N2215" s="30"/>
      <c r="O2215" s="33"/>
      <c r="P2215" s="33"/>
      <c r="Q2215" s="30" t="str" cm="1">
        <f t="array" ref="Q2215">_xlfn.IFS(
A2215="","",
AND(A2215&lt;&gt;"",B2215=""),"FALTA LANÇAMENTO",
AND(B2215&lt;&gt;"",M2215=""),"FALTA O PEDIDO",
AND(M2215&lt;&gt;"",O2215=""),"FALTA NF",
O2215&lt;&gt;"","CONCLUÍDO")</f>
        <v>FALTA O PEDIDO</v>
      </c>
      <c r="R2215" s="33"/>
    </row>
    <row r="2216" spans="1:18" hidden="1">
      <c r="A2216" s="30">
        <v>46218</v>
      </c>
      <c r="B2216" s="30">
        <v>46220</v>
      </c>
      <c r="C2216" s="31">
        <v>51521043</v>
      </c>
      <c r="D2216" s="30" t="str">
        <f>IFERROR(VLOOKUP(Tabela5[[#This Row],[PREFIXO ]],Tabela4[#All],2,0),"CENTRO DE CUSTO")</f>
        <v>COLHED ALGODÃO JOHN DEERE CP 690</v>
      </c>
      <c r="E2216" s="33" t="s">
        <v>67</v>
      </c>
      <c r="F2216" s="31">
        <v>222</v>
      </c>
      <c r="G2216" s="32">
        <v>2082.88</v>
      </c>
      <c r="H2216" s="32"/>
      <c r="I2216" s="32">
        <f t="shared" si="35"/>
        <v>2082.88</v>
      </c>
      <c r="J2216" s="33" t="s">
        <v>1123</v>
      </c>
      <c r="K2216" s="33" t="s">
        <v>5240</v>
      </c>
      <c r="L2216" s="33" t="s">
        <v>5241</v>
      </c>
      <c r="M2216" s="33"/>
      <c r="N2216" s="30"/>
      <c r="O2216" s="33"/>
      <c r="P2216" s="33"/>
      <c r="Q2216" s="30" t="str" cm="1">
        <f t="array" ref="Q2216">_xlfn.IFS(
A2216="","",
AND(A2216&lt;&gt;"",B2216=""),"FALTA LANÇAMENTO",
AND(B2216&lt;&gt;"",M2216=""),"FALTA O PEDIDO",
AND(M2216&lt;&gt;"",O2216=""),"FALTA NF",
O2216&lt;&gt;"","CONCLUÍDO")</f>
        <v>FALTA O PEDIDO</v>
      </c>
      <c r="R2216" s="33"/>
    </row>
    <row r="2217" spans="1:18" hidden="1">
      <c r="A2217" s="30">
        <v>46218</v>
      </c>
      <c r="B2217" s="30">
        <v>46220</v>
      </c>
      <c r="C2217" s="31">
        <v>51519061</v>
      </c>
      <c r="D2217" s="30" t="str">
        <f>IFERROR(VLOOKUP(Tabela5[[#This Row],[PREFIXO ]],Tabela4[#All],2,0),"CENTRO DE CUSTO")</f>
        <v>CENTRO DE CUSTO</v>
      </c>
      <c r="E2217" s="33" t="s">
        <v>67</v>
      </c>
      <c r="F2217" s="31">
        <v>221</v>
      </c>
      <c r="G2217" s="32">
        <v>1622.88</v>
      </c>
      <c r="H2217" s="32"/>
      <c r="I2217" s="32">
        <f t="shared" si="35"/>
        <v>1622.88</v>
      </c>
      <c r="J2217" s="33" t="s">
        <v>1123</v>
      </c>
      <c r="K2217" s="33" t="s">
        <v>5242</v>
      </c>
      <c r="L2217" s="33" t="s">
        <v>5241</v>
      </c>
      <c r="M2217" s="33"/>
      <c r="N2217" s="30"/>
      <c r="O2217" s="33"/>
      <c r="P2217" s="33"/>
      <c r="Q2217" s="30" t="str" cm="1">
        <f t="array" ref="Q2217">_xlfn.IFS(
A2217="","",
AND(A2217&lt;&gt;"",B2217=""),"FALTA LANÇAMENTO",
AND(B2217&lt;&gt;"",M2217=""),"FALTA O PEDIDO",
AND(M2217&lt;&gt;"",O2217=""),"FALTA NF",
O2217&lt;&gt;"","CONCLUÍDO")</f>
        <v>FALTA O PEDIDO</v>
      </c>
      <c r="R2217" s="33"/>
    </row>
    <row r="2218" spans="1:18" hidden="1">
      <c r="A2218" s="30">
        <v>46218</v>
      </c>
      <c r="B2218" s="30">
        <v>46220</v>
      </c>
      <c r="C2218" s="31">
        <v>51521054</v>
      </c>
      <c r="D2218" s="30" t="str">
        <f>IFERROR(VLOOKUP(Tabela5[[#This Row],[PREFIXO ]],Tabela4[#All],2,0),"CENTRO DE CUSTO")</f>
        <v>COLHED ALGODÃO JOHN DEERE CP 690</v>
      </c>
      <c r="E2218" s="33" t="s">
        <v>67</v>
      </c>
      <c r="F2218" s="31">
        <v>220</v>
      </c>
      <c r="G2218" s="32">
        <v>2760</v>
      </c>
      <c r="H2218" s="32"/>
      <c r="I2218" s="32">
        <f t="shared" si="35"/>
        <v>2760</v>
      </c>
      <c r="J2218" s="33" t="s">
        <v>1123</v>
      </c>
      <c r="K2218" s="33" t="s">
        <v>5243</v>
      </c>
      <c r="L2218" s="33" t="s">
        <v>5241</v>
      </c>
      <c r="M2218" s="33"/>
      <c r="N2218" s="30"/>
      <c r="O2218" s="33"/>
      <c r="P2218" s="33"/>
      <c r="Q2218" s="30" t="str" cm="1">
        <f t="array" ref="Q2218">_xlfn.IFS(
A2218="","",
AND(A2218&lt;&gt;"",B2218=""),"FALTA LANÇAMENTO",
AND(B2218&lt;&gt;"",M2218=""),"FALTA O PEDIDO",
AND(M2218&lt;&gt;"",O2218=""),"FALTA NF",
O2218&lt;&gt;"","CONCLUÍDO")</f>
        <v>FALTA O PEDIDO</v>
      </c>
      <c r="R2218" s="33"/>
    </row>
    <row r="2219" spans="1:18" hidden="1">
      <c r="A2219" s="30">
        <v>46218</v>
      </c>
      <c r="B2219" s="30">
        <v>46220</v>
      </c>
      <c r="C2219" s="31">
        <v>500580325</v>
      </c>
      <c r="D2219" s="30" t="str">
        <f>IFERROR(VLOOKUP(Tabela5[[#This Row],[PREFIXO ]],Tabela4[#All],2,0),"CENTRO DE CUSTO")</f>
        <v>Colheitad. Alg Auto</v>
      </c>
      <c r="E2219" s="33" t="s">
        <v>67</v>
      </c>
      <c r="F2219" s="31">
        <v>217</v>
      </c>
      <c r="G2219" s="32">
        <v>4500</v>
      </c>
      <c r="H2219" s="32"/>
      <c r="I2219" s="32">
        <f t="shared" si="35"/>
        <v>4500</v>
      </c>
      <c r="J2219" s="33" t="s">
        <v>1123</v>
      </c>
      <c r="K2219" s="33" t="s">
        <v>5244</v>
      </c>
      <c r="L2219" s="33" t="s">
        <v>5241</v>
      </c>
      <c r="M2219" s="33"/>
      <c r="N2219" s="30"/>
      <c r="O2219" s="33"/>
      <c r="P2219" s="33"/>
      <c r="Q2219" s="30" t="str" cm="1">
        <f t="array" ref="Q2219">_xlfn.IFS(
A2219="","",
AND(A2219&lt;&gt;"",B2219=""),"FALTA LANÇAMENTO",
AND(B2219&lt;&gt;"",M2219=""),"FALTA O PEDIDO",
AND(M2219&lt;&gt;"",O2219=""),"FALTA NF",
O2219&lt;&gt;"","CONCLUÍDO")</f>
        <v>FALTA O PEDIDO</v>
      </c>
      <c r="R2219" s="33"/>
    </row>
    <row r="2220" spans="1:18" hidden="1">
      <c r="A2220" s="30">
        <v>46218</v>
      </c>
      <c r="B2220" s="30">
        <v>46220</v>
      </c>
      <c r="C2220" s="31">
        <v>51521054</v>
      </c>
      <c r="D2220" s="30" t="str">
        <f>IFERROR(VLOOKUP(Tabela5[[#This Row],[PREFIXO ]],Tabela4[#All],2,0),"CENTRO DE CUSTO")</f>
        <v>COLHED ALGODÃO JOHN DEERE CP 690</v>
      </c>
      <c r="E2220" s="33" t="s">
        <v>67</v>
      </c>
      <c r="F2220" s="31">
        <v>219</v>
      </c>
      <c r="G2220" s="32">
        <v>4275</v>
      </c>
      <c r="H2220" s="32"/>
      <c r="I2220" s="32">
        <f t="shared" si="35"/>
        <v>4275</v>
      </c>
      <c r="J2220" s="33" t="s">
        <v>1123</v>
      </c>
      <c r="K2220" s="33" t="s">
        <v>5245</v>
      </c>
      <c r="L2220" s="33" t="s">
        <v>5241</v>
      </c>
      <c r="M2220" s="33"/>
      <c r="N2220" s="30"/>
      <c r="O2220" s="33"/>
      <c r="P2220" s="33"/>
      <c r="Q2220" s="30" t="str" cm="1">
        <f t="array" ref="Q2220">_xlfn.IFS(
A2220="","",
AND(A2220&lt;&gt;"",B2220=""),"FALTA LANÇAMENTO",
AND(B2220&lt;&gt;"",M2220=""),"FALTA O PEDIDO",
AND(M2220&lt;&gt;"",O2220=""),"FALTA NF",
O2220&lt;&gt;"","CONCLUÍDO")</f>
        <v>FALTA O PEDIDO</v>
      </c>
      <c r="R2220" s="33"/>
    </row>
    <row r="2221" spans="1:18" hidden="1">
      <c r="A2221" s="30">
        <v>46218</v>
      </c>
      <c r="B2221" s="30">
        <v>46220</v>
      </c>
      <c r="C2221" s="31">
        <v>51521054</v>
      </c>
      <c r="D2221" s="30" t="str">
        <f>IFERROR(VLOOKUP(Tabela5[[#This Row],[PREFIXO ]],Tabela4[#All],2,0),"CENTRO DE CUSTO")</f>
        <v>COLHED ALGODÃO JOHN DEERE CP 690</v>
      </c>
      <c r="E2221" s="33" t="s">
        <v>67</v>
      </c>
      <c r="F2221" s="31">
        <v>218</v>
      </c>
      <c r="G2221" s="32">
        <v>1610</v>
      </c>
      <c r="H2221" s="32"/>
      <c r="I2221" s="32">
        <f t="shared" si="35"/>
        <v>1610</v>
      </c>
      <c r="J2221" s="33" t="s">
        <v>1123</v>
      </c>
      <c r="K2221" s="33" t="s">
        <v>5246</v>
      </c>
      <c r="L2221" s="33" t="s">
        <v>5241</v>
      </c>
      <c r="M2221" s="33"/>
      <c r="N2221" s="30"/>
      <c r="O2221" s="33"/>
      <c r="P2221" s="33"/>
      <c r="Q2221" s="30" t="str" cm="1">
        <f t="array" ref="Q2221">_xlfn.IFS(
A2221="","",
AND(A2221&lt;&gt;"",B2221=""),"FALTA LANÇAMENTO",
AND(B2221&lt;&gt;"",M2221=""),"FALTA O PEDIDO",
AND(M2221&lt;&gt;"",O2221=""),"FALTA NF",
O2221&lt;&gt;"","CONCLUÍDO")</f>
        <v>FALTA O PEDIDO</v>
      </c>
      <c r="R2221" s="33"/>
    </row>
    <row r="2222" spans="1:18" hidden="1">
      <c r="A2222" s="30">
        <v>46218</v>
      </c>
      <c r="B2222" s="30">
        <v>46220</v>
      </c>
      <c r="C2222" s="31">
        <v>13130033</v>
      </c>
      <c r="D2222" s="30" t="str">
        <f>IFERROR(VLOOKUP(Tabela5[[#This Row],[PREFIXO ]],Tabela4[#All],2,0),"CENTRO DE CUSTO")</f>
        <v>PULV AUTOPROP JOHN DEERE M4030</v>
      </c>
      <c r="E2222" s="33" t="s">
        <v>67</v>
      </c>
      <c r="F2222" s="31">
        <v>212</v>
      </c>
      <c r="G2222" s="32">
        <v>1125</v>
      </c>
      <c r="H2222" s="32"/>
      <c r="I2222" s="32">
        <f t="shared" si="35"/>
        <v>1125</v>
      </c>
      <c r="J2222" s="33" t="s">
        <v>1123</v>
      </c>
      <c r="K2222" s="33" t="s">
        <v>5247</v>
      </c>
      <c r="L2222" s="33" t="s">
        <v>5248</v>
      </c>
      <c r="M2222" s="33"/>
      <c r="N2222" s="30"/>
      <c r="O2222" s="33"/>
      <c r="P2222" s="33"/>
      <c r="Q2222" s="30" t="str" cm="1">
        <f t="array" ref="Q2222">_xlfn.IFS(
A2222="","",
AND(A2222&lt;&gt;"",B2222=""),"FALTA LANÇAMENTO",
AND(B2222&lt;&gt;"",M2222=""),"FALTA O PEDIDO",
AND(M2222&lt;&gt;"",O2222=""),"FALTA NF",
O2222&lt;&gt;"","CONCLUÍDO")</f>
        <v>FALTA O PEDIDO</v>
      </c>
      <c r="R2222" s="33"/>
    </row>
    <row r="2223" spans="1:18" hidden="1">
      <c r="A2223" s="30">
        <v>46218</v>
      </c>
      <c r="B2223" s="30">
        <v>46220</v>
      </c>
      <c r="C2223" s="31">
        <v>13130044</v>
      </c>
      <c r="D2223" s="30" t="str">
        <f>IFERROR(VLOOKUP(Tabela5[[#This Row],[PREFIXO ]],Tabela4[#All],2,0),"CENTRO DE CUSTO")</f>
        <v>PULV AUTOPROP JOHN DEERE M4030</v>
      </c>
      <c r="E2223" s="33" t="s">
        <v>67</v>
      </c>
      <c r="F2223" s="31">
        <v>213</v>
      </c>
      <c r="G2223" s="32">
        <v>1934.64</v>
      </c>
      <c r="H2223" s="32"/>
      <c r="I2223" s="32">
        <f t="shared" si="35"/>
        <v>1934.64</v>
      </c>
      <c r="J2223" s="33" t="s">
        <v>1123</v>
      </c>
      <c r="K2223" s="33" t="s">
        <v>5249</v>
      </c>
      <c r="L2223" s="33" t="s">
        <v>5248</v>
      </c>
      <c r="M2223" s="33"/>
      <c r="N2223" s="30"/>
      <c r="O2223" s="33"/>
      <c r="P2223" s="33"/>
      <c r="Q2223" s="30" t="str" cm="1">
        <f t="array" ref="Q2223">_xlfn.IFS(
A2223="","",
AND(A2223&lt;&gt;"",B2223=""),"FALTA LANÇAMENTO",
AND(B2223&lt;&gt;"",M2223=""),"FALTA O PEDIDO",
AND(M2223&lt;&gt;"",O2223=""),"FALTA NF",
O2223&lt;&gt;"","CONCLUÍDO")</f>
        <v>FALTA O PEDIDO</v>
      </c>
      <c r="R2223" s="33"/>
    </row>
    <row r="2224" spans="1:18" hidden="1">
      <c r="A2224" s="30">
        <v>46218</v>
      </c>
      <c r="B2224" s="30">
        <v>46220</v>
      </c>
      <c r="C2224" s="31">
        <v>13130044</v>
      </c>
      <c r="D2224" s="30" t="str">
        <f>IFERROR(VLOOKUP(Tabela5[[#This Row],[PREFIXO ]],Tabela4[#All],2,0),"CENTRO DE CUSTO")</f>
        <v>PULV AUTOPROP JOHN DEERE M4030</v>
      </c>
      <c r="E2224" s="33" t="s">
        <v>67</v>
      </c>
      <c r="F2224" s="31">
        <v>214</v>
      </c>
      <c r="G2224" s="32">
        <v>989.1</v>
      </c>
      <c r="H2224" s="32"/>
      <c r="I2224" s="32">
        <f t="shared" si="35"/>
        <v>989.1</v>
      </c>
      <c r="J2224" s="33" t="s">
        <v>1123</v>
      </c>
      <c r="K2224" s="33" t="s">
        <v>5250</v>
      </c>
      <c r="L2224" s="33" t="s">
        <v>5248</v>
      </c>
      <c r="M2224" s="33"/>
      <c r="N2224" s="30"/>
      <c r="O2224" s="33"/>
      <c r="P2224" s="33"/>
      <c r="Q2224" s="30" t="str" cm="1">
        <f t="array" ref="Q2224">_xlfn.IFS(
A2224="","",
AND(A2224&lt;&gt;"",B2224=""),"FALTA LANÇAMENTO",
AND(B2224&lt;&gt;"",M2224=""),"FALTA O PEDIDO",
AND(M2224&lt;&gt;"",O2224=""),"FALTA NF",
O2224&lt;&gt;"","CONCLUÍDO")</f>
        <v>FALTA O PEDIDO</v>
      </c>
      <c r="R2224" s="33"/>
    </row>
    <row r="2225" spans="1:18" hidden="1">
      <c r="A2225" s="30">
        <v>46218</v>
      </c>
      <c r="B2225" s="30">
        <v>46220</v>
      </c>
      <c r="C2225" s="31">
        <v>13130035</v>
      </c>
      <c r="D2225" s="30" t="str">
        <f>IFERROR(VLOOKUP(Tabela5[[#This Row],[PREFIXO ]],Tabela4[#All],2,0),"CENTRO DE CUSTO")</f>
        <v>PULV AUTOPROP JOHN DEERE M4030</v>
      </c>
      <c r="E2225" s="33" t="s">
        <v>67</v>
      </c>
      <c r="F2225" s="31">
        <v>215</v>
      </c>
      <c r="G2225" s="32">
        <v>3600</v>
      </c>
      <c r="H2225" s="32"/>
      <c r="I2225" s="32">
        <f t="shared" si="35"/>
        <v>3600</v>
      </c>
      <c r="J2225" s="33" t="s">
        <v>1123</v>
      </c>
      <c r="K2225" s="33" t="s">
        <v>5251</v>
      </c>
      <c r="L2225" s="33" t="s">
        <v>5248</v>
      </c>
      <c r="M2225" s="33"/>
      <c r="N2225" s="30"/>
      <c r="O2225" s="33"/>
      <c r="P2225" s="33"/>
      <c r="Q2225" s="30" t="str" cm="1">
        <f t="array" ref="Q2225">_xlfn.IFS(
A2225="","",
AND(A2225&lt;&gt;"",B2225=""),"FALTA LANÇAMENTO",
AND(B2225&lt;&gt;"",M2225=""),"FALTA O PEDIDO",
AND(M2225&lt;&gt;"",O2225=""),"FALTA NF",
O2225&lt;&gt;"","CONCLUÍDO")</f>
        <v>FALTA O PEDIDO</v>
      </c>
      <c r="R2225" s="33"/>
    </row>
    <row r="2226" spans="1:18" hidden="1">
      <c r="A2226" s="30">
        <v>46218</v>
      </c>
      <c r="B2226" s="30">
        <v>46220</v>
      </c>
      <c r="C2226" s="31">
        <v>81521310</v>
      </c>
      <c r="D2226" s="30" t="str">
        <f>IFERROR(VLOOKUP(Tabela5[[#This Row],[PREFIXO ]],Tabela4[#All],2,0),"CENTRO DE CUSTO")</f>
        <v>DISTRIBUIDOR ADUBO JACTO TELLUS 10.000</v>
      </c>
      <c r="E2226" s="33" t="s">
        <v>67</v>
      </c>
      <c r="F2226" s="31">
        <v>216</v>
      </c>
      <c r="G2226" s="32">
        <v>1516.32</v>
      </c>
      <c r="H2226" s="32"/>
      <c r="I2226" s="32">
        <f t="shared" si="35"/>
        <v>1516.32</v>
      </c>
      <c r="J2226" s="33" t="s">
        <v>1123</v>
      </c>
      <c r="K2226" s="33" t="s">
        <v>5252</v>
      </c>
      <c r="L2226" s="33" t="s">
        <v>5248</v>
      </c>
      <c r="M2226" s="33"/>
      <c r="N2226" s="30"/>
      <c r="O2226" s="33"/>
      <c r="P2226" s="33"/>
      <c r="Q2226" s="30" t="str" cm="1">
        <f t="array" ref="Q2226">_xlfn.IFS(
A2226="","",
AND(A2226&lt;&gt;"",B2226=""),"FALTA LANÇAMENTO",
AND(B2226&lt;&gt;"",M2226=""),"FALTA O PEDIDO",
AND(M2226&lt;&gt;"",O2226=""),"FALTA NF",
O2226&lt;&gt;"","CONCLUÍDO")</f>
        <v>FALTA O PEDIDO</v>
      </c>
      <c r="R2226" s="33"/>
    </row>
    <row r="2227" spans="1:18" hidden="1">
      <c r="A2227" s="30">
        <v>46218</v>
      </c>
      <c r="B2227" s="30">
        <v>46220</v>
      </c>
      <c r="C2227" s="31">
        <v>81521310</v>
      </c>
      <c r="D2227" s="30" t="str">
        <f>IFERROR(VLOOKUP(Tabela5[[#This Row],[PREFIXO ]],Tabela4[#All],2,0),"CENTRO DE CUSTO")</f>
        <v>DISTRIBUIDOR ADUBO JACTO TELLUS 10.000</v>
      </c>
      <c r="E2227" s="33" t="s">
        <v>67</v>
      </c>
      <c r="F2227" s="31">
        <v>223</v>
      </c>
      <c r="G2227" s="32">
        <v>3562.5</v>
      </c>
      <c r="H2227" s="32"/>
      <c r="I2227" s="32">
        <f t="shared" si="35"/>
        <v>3562.5</v>
      </c>
      <c r="J2227" s="33" t="s">
        <v>1123</v>
      </c>
      <c r="K2227" s="33" t="s">
        <v>5253</v>
      </c>
      <c r="L2227" s="33" t="s">
        <v>5248</v>
      </c>
      <c r="M2227" s="33"/>
      <c r="N2227" s="30"/>
      <c r="O2227" s="33"/>
      <c r="P2227" s="33"/>
      <c r="Q2227" s="30" t="str" cm="1">
        <f t="array" ref="Q2227">_xlfn.IFS(
A2227="","",
AND(A2227&lt;&gt;"",B2227=""),"FALTA LANÇAMENTO",
AND(B2227&lt;&gt;"",M2227=""),"FALTA O PEDIDO",
AND(M2227&lt;&gt;"",O2227=""),"FALTA NF",
O2227&lt;&gt;"","CONCLUÍDO")</f>
        <v>FALTA O PEDIDO</v>
      </c>
      <c r="R2227" s="33"/>
    </row>
    <row r="2228" spans="1:18" hidden="1">
      <c r="A2228" s="30">
        <v>46220</v>
      </c>
      <c r="B2228" s="30">
        <v>46220</v>
      </c>
      <c r="C2228" s="31">
        <v>11040015</v>
      </c>
      <c r="D2228" s="30" t="str">
        <f>IFERROR(VLOOKUP(Tabela5[[#This Row],[PREFIXO ]],Tabela4[#All],2,0),"CENTRO DE CUSTO")</f>
        <v>CAV MEC EXT PES SCANIA R500</v>
      </c>
      <c r="E2228" s="33" t="s">
        <v>366</v>
      </c>
      <c r="F2228" s="31">
        <v>196620</v>
      </c>
      <c r="G2228" s="32">
        <v>215</v>
      </c>
      <c r="H2228" s="32">
        <v>2700</v>
      </c>
      <c r="I2228" s="32">
        <f t="shared" si="35"/>
        <v>2915</v>
      </c>
      <c r="J2228" s="33" t="s">
        <v>1085</v>
      </c>
      <c r="K2228" s="33" t="s">
        <v>5254</v>
      </c>
      <c r="L2228" s="33" t="s">
        <v>5255</v>
      </c>
      <c r="M2228" s="33" t="s">
        <v>5256</v>
      </c>
      <c r="N2228" s="30">
        <v>46223</v>
      </c>
      <c r="O2228" s="33"/>
      <c r="P2228" s="33"/>
      <c r="Q2228" s="30" t="str" cm="1">
        <f t="array" ref="Q2228">_xlfn.IFS(
A2228="","",
AND(A2228&lt;&gt;"",B2228=""),"FALTA LANÇAMENTO",
AND(B2228&lt;&gt;"",M2228=""),"FALTA O PEDIDO",
AND(M2228&lt;&gt;"",O2228=""),"FALTA NF",
O2228&lt;&gt;"","CONCLUÍDO")</f>
        <v>FALTA NF</v>
      </c>
      <c r="R2228" s="33"/>
    </row>
    <row r="2229" spans="1:18" hidden="1">
      <c r="A2229" s="30">
        <v>46220</v>
      </c>
      <c r="B2229" s="30">
        <v>46220</v>
      </c>
      <c r="C2229" s="31">
        <v>22030442</v>
      </c>
      <c r="D2229" s="30" t="str">
        <f>IFERROR(VLOOKUP(Tabela5[[#This Row],[PREFIXO ]],Tabela4[#All],2,0),"CENTRO DE CUSTO")</f>
        <v>CENTRO DE CUSTO</v>
      </c>
      <c r="E2229" s="33" t="s">
        <v>39</v>
      </c>
      <c r="F2229" s="31">
        <v>220303442</v>
      </c>
      <c r="G2229" s="32">
        <v>1950</v>
      </c>
      <c r="H2229" s="32"/>
      <c r="I2229" s="32">
        <f t="shared" si="35"/>
        <v>1950</v>
      </c>
      <c r="J2229" s="33" t="s">
        <v>1085</v>
      </c>
      <c r="K2229" s="33" t="s">
        <v>5257</v>
      </c>
      <c r="L2229" s="33"/>
      <c r="M2229" s="33"/>
      <c r="N2229" s="30"/>
      <c r="O2229" s="33"/>
      <c r="P2229" s="33"/>
      <c r="Q2229" s="30" t="str" cm="1">
        <f t="array" ref="Q2229">_xlfn.IFS(
A2229="","",
AND(A2229&lt;&gt;"",B2229=""),"FALTA LANÇAMENTO",
AND(B2229&lt;&gt;"",M2229=""),"FALTA O PEDIDO",
AND(M2229&lt;&gt;"",O2229=""),"FALTA NF",
O2229&lt;&gt;"","CONCLUÍDO")</f>
        <v>FALTA O PEDIDO</v>
      </c>
      <c r="R2229" s="33"/>
    </row>
    <row r="2230" spans="1:18" hidden="1">
      <c r="A2230" s="30">
        <v>46220</v>
      </c>
      <c r="B2230" s="30"/>
      <c r="C2230" s="31">
        <v>31521025</v>
      </c>
      <c r="D2230" s="30" t="str">
        <f>IFERROR(VLOOKUP(Tabela5[[#This Row],[PREFIXO ]],Tabela4[#All],2,0),"CENTRO DE CUSTO")</f>
        <v>PULV AUTOPROP JACTO UNIPORT 3030</v>
      </c>
      <c r="E2230" s="33" t="s">
        <v>66</v>
      </c>
      <c r="F2230" s="31">
        <v>10134</v>
      </c>
      <c r="G2230" s="32">
        <v>1800</v>
      </c>
      <c r="H2230" s="32">
        <v>19155.939999999999</v>
      </c>
      <c r="I2230" s="32">
        <f t="shared" si="35"/>
        <v>20955.939999999999</v>
      </c>
      <c r="J2230" s="33" t="s">
        <v>1080</v>
      </c>
      <c r="K2230" s="33" t="s">
        <v>5258</v>
      </c>
      <c r="L2230" s="33"/>
      <c r="M2230" s="33"/>
      <c r="N2230" s="30"/>
      <c r="O2230" s="33"/>
      <c r="P2230" s="33"/>
      <c r="Q2230" s="30" t="str" cm="1">
        <f t="array" ref="Q2230">_xlfn.IFS(
A2230="","",
AND(A2230&lt;&gt;"",B2230=""),"FALTA LANÇAMENTO",
AND(B2230&lt;&gt;"",M2230=""),"FALTA O PEDIDO",
AND(M2230&lt;&gt;"",O2230=""),"FALTA NF",
O2230&lt;&gt;"","CONCLUÍDO")</f>
        <v>FALTA LANÇAMENTO</v>
      </c>
      <c r="R2230" s="33"/>
    </row>
    <row r="2231" spans="1:18" hidden="1">
      <c r="A2231" s="30">
        <v>46220</v>
      </c>
      <c r="B2231" s="30"/>
      <c r="C2231" s="31">
        <v>81521445</v>
      </c>
      <c r="D2231" s="30" t="str">
        <f>IFERROR(VLOOKUP(Tabela5[[#This Row],[PREFIXO ]],Tabela4[#All],2,0),"CENTRO DE CUSTO")</f>
        <v>SUBSOLADOR TC-01 13ST</v>
      </c>
      <c r="E2231" s="33" t="s">
        <v>96</v>
      </c>
      <c r="F2231" s="31" t="s">
        <v>5259</v>
      </c>
      <c r="G2231" s="32">
        <v>100</v>
      </c>
      <c r="H2231" s="32">
        <v>988.2</v>
      </c>
      <c r="I2231" s="32">
        <f t="shared" si="35"/>
        <v>1088.2</v>
      </c>
      <c r="J2231" s="33" t="s">
        <v>1085</v>
      </c>
      <c r="K2231" s="33" t="s">
        <v>5260</v>
      </c>
      <c r="L2231" s="33"/>
      <c r="M2231" s="33"/>
      <c r="N2231" s="30"/>
      <c r="O2231" s="33"/>
      <c r="P2231" s="33"/>
      <c r="Q2231" s="30" t="str" cm="1">
        <f t="array" ref="Q2231">_xlfn.IFS(
A2231="","",
AND(A2231&lt;&gt;"",B2231=""),"FALTA LANÇAMENTO",
AND(B2231&lt;&gt;"",M2231=""),"FALTA O PEDIDO",
AND(M2231&lt;&gt;"",O2231=""),"FALTA NF",
O2231&lt;&gt;"","CONCLUÍDO")</f>
        <v>FALTA LANÇAMENTO</v>
      </c>
      <c r="R2231" s="33"/>
    </row>
    <row r="2232" spans="1:18" hidden="1">
      <c r="A2232" s="30">
        <v>46220</v>
      </c>
      <c r="B2232" s="30">
        <v>46223</v>
      </c>
      <c r="C2232" s="31">
        <v>500580325</v>
      </c>
      <c r="D2232" s="30" t="str">
        <f>IFERROR(VLOOKUP(Tabela5[[#This Row],[PREFIXO ]],Tabela4[#All],2,0),"CENTRO DE CUSTO")</f>
        <v>Colheitad. Alg Auto</v>
      </c>
      <c r="E2232" s="33" t="s">
        <v>246</v>
      </c>
      <c r="F2232" s="31" t="s">
        <v>5261</v>
      </c>
      <c r="G2232" s="32">
        <v>2000</v>
      </c>
      <c r="H2232" s="32"/>
      <c r="I2232" s="32">
        <f t="shared" si="35"/>
        <v>2000</v>
      </c>
      <c r="J2232" s="33" t="s">
        <v>1113</v>
      </c>
      <c r="K2232" s="33" t="s">
        <v>5262</v>
      </c>
      <c r="L2232" s="33" t="s">
        <v>4119</v>
      </c>
      <c r="M2232" s="33"/>
      <c r="N2232" s="30"/>
      <c r="O2232" s="33"/>
      <c r="P2232" s="33"/>
      <c r="Q2232" s="30" t="str" cm="1">
        <f t="array" ref="Q2232">_xlfn.IFS(
A2232="","",
AND(A2232&lt;&gt;"",B2232=""),"FALTA LANÇAMENTO",
AND(B2232&lt;&gt;"",M2232=""),"FALTA O PEDIDO",
AND(M2232&lt;&gt;"",O2232=""),"FALTA NF",
O2232&lt;&gt;"","CONCLUÍDO")</f>
        <v>FALTA O PEDIDO</v>
      </c>
      <c r="R2232" s="33"/>
    </row>
    <row r="2233" spans="1:18" hidden="1">
      <c r="A2233" s="30">
        <v>46220</v>
      </c>
      <c r="B2233" s="30">
        <v>46223</v>
      </c>
      <c r="C2233" s="31">
        <v>500580325</v>
      </c>
      <c r="D2233" s="30" t="str">
        <f>IFERROR(VLOOKUP(Tabela5[[#This Row],[PREFIXO ]],Tabela4[#All],2,0),"CENTRO DE CUSTO")</f>
        <v>Colheitad. Alg Auto</v>
      </c>
      <c r="E2233" s="33" t="s">
        <v>246</v>
      </c>
      <c r="F2233" s="31" t="s">
        <v>5261</v>
      </c>
      <c r="G2233" s="32">
        <v>4400</v>
      </c>
      <c r="H2233" s="32"/>
      <c r="I2233" s="32">
        <f t="shared" si="35"/>
        <v>4400</v>
      </c>
      <c r="J2233" s="33" t="s">
        <v>1113</v>
      </c>
      <c r="K2233" s="33" t="s">
        <v>5263</v>
      </c>
      <c r="L2233" s="33" t="s">
        <v>4119</v>
      </c>
      <c r="M2233" s="33"/>
      <c r="N2233" s="30"/>
      <c r="O2233" s="33"/>
      <c r="P2233" s="33"/>
      <c r="Q2233" s="30" t="str" cm="1">
        <f t="array" ref="Q2233">_xlfn.IFS(
A2233="","",
AND(A2233&lt;&gt;"",B2233=""),"FALTA LANÇAMENTO",
AND(B2233&lt;&gt;"",M2233=""),"FALTA O PEDIDO",
AND(M2233&lt;&gt;"",O2233=""),"FALTA NF",
O2233&lt;&gt;"","CONCLUÍDO")</f>
        <v>FALTA O PEDIDO</v>
      </c>
      <c r="R2233" s="33"/>
    </row>
    <row r="2234" spans="1:18" hidden="1">
      <c r="A2234" s="30">
        <v>46220</v>
      </c>
      <c r="B2234" s="30">
        <v>46225</v>
      </c>
      <c r="C2234" s="31">
        <v>81521205</v>
      </c>
      <c r="D2234" s="30" t="str">
        <f>IFERROR(VLOOKUP(Tabela5[[#This Row],[PREFIXO ]],Tabela4[#All],2,0),"CENTRO DE CUSTO")</f>
        <v>SEMI REBOQUE PRANCHA FACCHINI SRCT 4E</v>
      </c>
      <c r="E2234" s="33" t="s">
        <v>366</v>
      </c>
      <c r="F2234" s="31">
        <v>987</v>
      </c>
      <c r="G2234" s="32">
        <v>180</v>
      </c>
      <c r="H2234" s="32">
        <v>327</v>
      </c>
      <c r="I2234" s="32">
        <f t="shared" si="35"/>
        <v>507</v>
      </c>
      <c r="J2234" s="33" t="s">
        <v>1085</v>
      </c>
      <c r="K2234" s="33" t="s">
        <v>5264</v>
      </c>
      <c r="L2234" s="33" t="s">
        <v>5265</v>
      </c>
      <c r="M2234" s="33"/>
      <c r="N2234" s="30"/>
      <c r="O2234" s="33"/>
      <c r="P2234" s="33"/>
      <c r="Q2234" s="30" t="str" cm="1">
        <f t="array" ref="Q2234">_xlfn.IFS(
A2234="","",
AND(A2234&lt;&gt;"",B2234=""),"FALTA LANÇAMENTO",
AND(B2234&lt;&gt;"",M2234=""),"FALTA O PEDIDO",
AND(M2234&lt;&gt;"",O2234=""),"FALTA NF",
O2234&lt;&gt;"","CONCLUÍDO")</f>
        <v>FALTA O PEDIDO</v>
      </c>
      <c r="R2234" s="33"/>
    </row>
    <row r="2235" spans="1:18" hidden="1">
      <c r="A2235" s="30">
        <v>46220</v>
      </c>
      <c r="B2235" s="30">
        <v>46225</v>
      </c>
      <c r="C2235" s="31">
        <v>61521080</v>
      </c>
      <c r="D2235" s="30" t="str">
        <f>IFERROR(VLOOKUP(Tabela5[[#This Row],[PREFIXO ]],Tabela4[#All],2,0),"CENTRO DE CUSTO")</f>
        <v>CAV MEC EXT PES VOLVO FH 540</v>
      </c>
      <c r="E2235" s="33" t="s">
        <v>366</v>
      </c>
      <c r="F2235" s="31">
        <v>986</v>
      </c>
      <c r="G2235" s="32">
        <v>350</v>
      </c>
      <c r="H2235" s="32">
        <v>959</v>
      </c>
      <c r="I2235" s="32">
        <f t="shared" si="35"/>
        <v>1309</v>
      </c>
      <c r="J2235" s="33" t="s">
        <v>1085</v>
      </c>
      <c r="K2235" s="33" t="s">
        <v>5266</v>
      </c>
      <c r="L2235" s="33" t="s">
        <v>5267</v>
      </c>
      <c r="M2235" s="33"/>
      <c r="N2235" s="30"/>
      <c r="O2235" s="33"/>
      <c r="P2235" s="33"/>
      <c r="Q2235" s="30" t="str" cm="1">
        <f t="array" ref="Q2235">_xlfn.IFS(
A2235="","",
AND(A2235&lt;&gt;"",B2235=""),"FALTA LANÇAMENTO",
AND(B2235&lt;&gt;"",M2235=""),"FALTA O PEDIDO",
AND(M2235&lt;&gt;"",O2235=""),"FALTA NF",
O2235&lt;&gt;"","CONCLUÍDO")</f>
        <v>FALTA O PEDIDO</v>
      </c>
      <c r="R2235" s="33"/>
    </row>
    <row r="2236" spans="1:18" hidden="1">
      <c r="A2236" s="30">
        <v>46220</v>
      </c>
      <c r="B2236" s="30">
        <v>46226</v>
      </c>
      <c r="C2236" s="31">
        <v>500580579</v>
      </c>
      <c r="D2236" s="30" t="str">
        <f>IFERROR(VLOOKUP(Tabela5[[#This Row],[PREFIXO ]],Tabela4[#All],2,0),"CENTRO DE CUSTO")</f>
        <v>Pátio de Vendas</v>
      </c>
      <c r="E2236" s="33" t="s">
        <v>49</v>
      </c>
      <c r="F2236" s="31" t="s">
        <v>4636</v>
      </c>
      <c r="G2236" s="32">
        <v>6000</v>
      </c>
      <c r="H2236" s="32"/>
      <c r="I2236" s="32">
        <f t="shared" ref="I2236:I2244" si="36">G2236+H2236</f>
        <v>6000</v>
      </c>
      <c r="J2236" s="33" t="s">
        <v>3654</v>
      </c>
      <c r="K2236" s="33" t="s">
        <v>5268</v>
      </c>
      <c r="L2236" s="33" t="s">
        <v>5269</v>
      </c>
      <c r="M2236" s="33"/>
      <c r="N2236" s="30"/>
      <c r="O2236" s="33"/>
      <c r="P2236" s="33"/>
      <c r="Q2236" s="30" t="str" cm="1">
        <f t="array" ref="Q2236">_xlfn.IFS(
A2236="","",
AND(A2236&lt;&gt;"",B2236=""),"FALTA LANÇAMENTO",
AND(B2236&lt;&gt;"",M2236=""),"FALTA O PEDIDO",
AND(M2236&lt;&gt;"",O2236=""),"FALTA NF",
O2236&lt;&gt;"","CONCLUÍDO")</f>
        <v>FALTA O PEDIDO</v>
      </c>
      <c r="R2236" s="33"/>
    </row>
    <row r="2237" spans="1:18" hidden="1">
      <c r="A2237" s="30">
        <v>46220</v>
      </c>
      <c r="B2237" s="30">
        <v>46226</v>
      </c>
      <c r="C2237" s="31">
        <v>31521014</v>
      </c>
      <c r="D2237" s="30" t="str">
        <f>IFERROR(VLOOKUP(Tabela5[[#This Row],[PREFIXO ]],Tabela4[#All],2,0),"CENTRO DE CUSTO")</f>
        <v>PULV AUTOPROP JACTO UNIPORT 3030</v>
      </c>
      <c r="E2237" s="33" t="s">
        <v>49</v>
      </c>
      <c r="F2237" s="31" t="s">
        <v>5270</v>
      </c>
      <c r="G2237" s="32">
        <v>1600</v>
      </c>
      <c r="H2237" s="32"/>
      <c r="I2237" s="32">
        <f t="shared" si="36"/>
        <v>1600</v>
      </c>
      <c r="J2237" s="33" t="s">
        <v>1080</v>
      </c>
      <c r="K2237" s="33" t="s">
        <v>5271</v>
      </c>
      <c r="L2237" s="33" t="s">
        <v>5269</v>
      </c>
      <c r="M2237" s="33"/>
      <c r="N2237" s="30"/>
      <c r="O2237" s="33"/>
      <c r="P2237" s="33"/>
      <c r="Q2237" s="30" t="str" cm="1">
        <f t="array" ref="Q2237">_xlfn.IFS(
A2237="","",
AND(A2237&lt;&gt;"",B2237=""),"FALTA LANÇAMENTO",
AND(B2237&lt;&gt;"",M2237=""),"FALTA O PEDIDO",
AND(M2237&lt;&gt;"",O2237=""),"FALTA NF",
O2237&lt;&gt;"","CONCLUÍDO")</f>
        <v>FALTA O PEDIDO</v>
      </c>
      <c r="R2237" s="33"/>
    </row>
    <row r="2238" spans="1:18" hidden="1">
      <c r="A2238" s="30">
        <v>46220</v>
      </c>
      <c r="B2238" s="30">
        <v>46226</v>
      </c>
      <c r="C2238" s="31">
        <v>31521045</v>
      </c>
      <c r="D2238" s="30" t="str">
        <f>IFERROR(VLOOKUP(Tabela5[[#This Row],[PREFIXO ]],Tabela4[#All],2,0),"CENTRO DE CUSTO")</f>
        <v>PULV AUTOPROP JACTO UNIPORT 3030</v>
      </c>
      <c r="E2238" s="33" t="s">
        <v>49</v>
      </c>
      <c r="F2238" s="31" t="s">
        <v>5272</v>
      </c>
      <c r="G2238" s="32">
        <v>1614.06</v>
      </c>
      <c r="H2238" s="32"/>
      <c r="I2238" s="32">
        <f t="shared" si="36"/>
        <v>1614.06</v>
      </c>
      <c r="J2238" s="33" t="s">
        <v>1080</v>
      </c>
      <c r="K2238" s="33" t="s">
        <v>5273</v>
      </c>
      <c r="L2238" s="33" t="s">
        <v>5269</v>
      </c>
      <c r="M2238" s="33"/>
      <c r="N2238" s="30"/>
      <c r="O2238" s="33"/>
      <c r="P2238" s="33"/>
      <c r="Q2238" s="30" t="str" cm="1">
        <f t="array" ref="Q2238">_xlfn.IFS(
A2238="","",
AND(A2238&lt;&gt;"",B2238=""),"FALTA LANÇAMENTO",
AND(B2238&lt;&gt;"",M2238=""),"FALTA O PEDIDO",
AND(M2238&lt;&gt;"",O2238=""),"FALTA NF",
O2238&lt;&gt;"","CONCLUÍDO")</f>
        <v>FALTA O PEDIDO</v>
      </c>
      <c r="R2238" s="33"/>
    </row>
    <row r="2239" spans="1:18" hidden="1">
      <c r="A2239" s="30">
        <v>46220</v>
      </c>
      <c r="B2239" s="30">
        <v>46226</v>
      </c>
      <c r="C2239" s="31">
        <v>31521045</v>
      </c>
      <c r="D2239" s="30" t="str">
        <f>IFERROR(VLOOKUP(Tabela5[[#This Row],[PREFIXO ]],Tabela4[#All],2,0),"CENTRO DE CUSTO")</f>
        <v>PULV AUTOPROP JACTO UNIPORT 3030</v>
      </c>
      <c r="E2239" s="33" t="s">
        <v>49</v>
      </c>
      <c r="F2239" s="31" t="s">
        <v>4761</v>
      </c>
      <c r="G2239" s="32">
        <v>5800</v>
      </c>
      <c r="H2239" s="32"/>
      <c r="I2239" s="32">
        <f t="shared" si="36"/>
        <v>5800</v>
      </c>
      <c r="J2239" s="33" t="s">
        <v>1080</v>
      </c>
      <c r="K2239" s="33" t="s">
        <v>5274</v>
      </c>
      <c r="L2239" s="33" t="s">
        <v>5275</v>
      </c>
      <c r="M2239" s="33"/>
      <c r="N2239" s="30"/>
      <c r="O2239" s="33"/>
      <c r="P2239" s="33"/>
      <c r="Q2239" s="30" t="str" cm="1">
        <f t="array" ref="Q2239">_xlfn.IFS(
A2239="","",
AND(A2239&lt;&gt;"",B2239=""),"FALTA LANÇAMENTO",
AND(B2239&lt;&gt;"",M2239=""),"FALTA O PEDIDO",
AND(M2239&lt;&gt;"",O2239=""),"FALTA NF",
O2239&lt;&gt;"","CONCLUÍDO")</f>
        <v>FALTA O PEDIDO</v>
      </c>
      <c r="R2239" s="33"/>
    </row>
    <row r="2240" spans="1:18" hidden="1">
      <c r="A2240" s="30">
        <v>46220</v>
      </c>
      <c r="B2240" s="30">
        <v>46226</v>
      </c>
      <c r="C2240" s="31">
        <v>500580100</v>
      </c>
      <c r="D2240" s="30" t="str">
        <f>IFERROR(VLOOKUP(Tabela5[[#This Row],[PREFIXO ]],Tabela4[#All],2,0),"CENTRO DE CUSTO")</f>
        <v>Autopropelidos</v>
      </c>
      <c r="E2240" s="33" t="s">
        <v>49</v>
      </c>
      <c r="F2240" s="31" t="s">
        <v>4653</v>
      </c>
      <c r="G2240" s="32">
        <v>4400</v>
      </c>
      <c r="H2240" s="32"/>
      <c r="I2240" s="32">
        <f t="shared" si="36"/>
        <v>4400</v>
      </c>
      <c r="J2240" s="33" t="s">
        <v>1080</v>
      </c>
      <c r="K2240" s="33" t="s">
        <v>5276</v>
      </c>
      <c r="L2240" s="33" t="s">
        <v>5269</v>
      </c>
      <c r="M2240" s="33"/>
      <c r="N2240" s="30"/>
      <c r="O2240" s="33"/>
      <c r="P2240" s="33"/>
      <c r="Q2240" s="30" t="str" cm="1">
        <f t="array" ref="Q2240">_xlfn.IFS(
A2240="","",
AND(A2240&lt;&gt;"",B2240=""),"FALTA LANÇAMENTO",
AND(B2240&lt;&gt;"",M2240=""),"FALTA O PEDIDO",
AND(M2240&lt;&gt;"",O2240=""),"FALTA NF",
O2240&lt;&gt;"","CONCLUÍDO")</f>
        <v>FALTA O PEDIDO</v>
      </c>
      <c r="R2240" s="33"/>
    </row>
    <row r="2241" spans="1:18" hidden="1">
      <c r="A2241" s="30">
        <v>46220</v>
      </c>
      <c r="B2241" s="30">
        <v>46226</v>
      </c>
      <c r="C2241" s="31">
        <v>51521053</v>
      </c>
      <c r="D2241" s="30" t="str">
        <f>IFERROR(VLOOKUP(Tabela5[[#This Row],[PREFIXO ]],Tabela4[#All],2,0),"CENTRO DE CUSTO")</f>
        <v>COLHED ALGODÃO JOHN DEERE CP 690</v>
      </c>
      <c r="E2241" s="33" t="s">
        <v>49</v>
      </c>
      <c r="F2241" s="31" t="s">
        <v>5277</v>
      </c>
      <c r="G2241" s="32">
        <v>3123</v>
      </c>
      <c r="H2241" s="32"/>
      <c r="I2241" s="32">
        <f t="shared" si="36"/>
        <v>3123</v>
      </c>
      <c r="J2241" s="33" t="s">
        <v>1113</v>
      </c>
      <c r="K2241" s="33" t="s">
        <v>5278</v>
      </c>
      <c r="L2241" s="33" t="s">
        <v>5275</v>
      </c>
      <c r="M2241" s="33"/>
      <c r="N2241" s="30"/>
      <c r="O2241" s="33"/>
      <c r="P2241" s="33"/>
      <c r="Q2241" s="30" t="str" cm="1">
        <f t="array" ref="Q2241">_xlfn.IFS(
A2241="","",
AND(A2241&lt;&gt;"",B2241=""),"FALTA LANÇAMENTO",
AND(B2241&lt;&gt;"",M2241=""),"FALTA O PEDIDO",
AND(M2241&lt;&gt;"",O2241=""),"FALTA NF",
O2241&lt;&gt;"","CONCLUÍDO")</f>
        <v>FALTA O PEDIDO</v>
      </c>
      <c r="R2241" s="33"/>
    </row>
    <row r="2242" spans="1:18" hidden="1">
      <c r="A2242" s="30">
        <v>46220</v>
      </c>
      <c r="B2242" s="30">
        <v>46226</v>
      </c>
      <c r="C2242" s="31">
        <v>51521072</v>
      </c>
      <c r="D2242" s="30" t="str">
        <f>IFERROR(VLOOKUP(Tabela5[[#This Row],[PREFIXO ]],Tabela4[#All],2,0),"CENTRO DE CUSTO")</f>
        <v>COLHED ALGODÃO JOHN DEERE CP 690</v>
      </c>
      <c r="E2242" s="33" t="s">
        <v>49</v>
      </c>
      <c r="F2242" s="31" t="s">
        <v>5279</v>
      </c>
      <c r="G2242" s="32">
        <v>8806.24</v>
      </c>
      <c r="H2242" s="32"/>
      <c r="I2242" s="32">
        <f t="shared" si="36"/>
        <v>8806.24</v>
      </c>
      <c r="J2242" s="33" t="s">
        <v>1113</v>
      </c>
      <c r="K2242" s="33" t="s">
        <v>5280</v>
      </c>
      <c r="L2242" s="33" t="s">
        <v>5275</v>
      </c>
      <c r="M2242" s="33"/>
      <c r="N2242" s="30"/>
      <c r="O2242" s="33"/>
      <c r="P2242" s="33"/>
      <c r="Q2242" s="30" t="str" cm="1">
        <f t="array" ref="Q2242">_xlfn.IFS(
A2242="","",
AND(A2242&lt;&gt;"",B2242=""),"FALTA LANÇAMENTO",
AND(B2242&lt;&gt;"",M2242=""),"FALTA O PEDIDO",
AND(M2242&lt;&gt;"",O2242=""),"FALTA NF",
O2242&lt;&gt;"","CONCLUÍDO")</f>
        <v>FALTA O PEDIDO</v>
      </c>
      <c r="R2242" s="33"/>
    </row>
    <row r="2243" spans="1:18" hidden="1">
      <c r="A2243" s="30">
        <v>46220</v>
      </c>
      <c r="B2243" s="30"/>
      <c r="C2243" s="31">
        <v>8173364</v>
      </c>
      <c r="D2243" s="30" t="str">
        <f>IFERROR(VLOOKUP(Tabela5[[#This Row],[PREFIXO ]],Tabela4[#All],2,0),"CENTRO DE CUSTO")</f>
        <v>SEMI REBOQUE PRANCHA FACCHINI SRF CT</v>
      </c>
      <c r="E2243" s="33" t="s">
        <v>375</v>
      </c>
      <c r="F2243" s="31">
        <v>1951</v>
      </c>
      <c r="G2243" s="32">
        <v>1200</v>
      </c>
      <c r="H2243" s="32">
        <v>92</v>
      </c>
      <c r="I2243" s="32">
        <f t="shared" si="36"/>
        <v>1292</v>
      </c>
      <c r="J2243" s="33" t="s">
        <v>1085</v>
      </c>
      <c r="K2243" s="33" t="s">
        <v>5281</v>
      </c>
      <c r="L2243" s="33"/>
      <c r="M2243" s="33"/>
      <c r="N2243" s="30"/>
      <c r="O2243" s="33"/>
      <c r="P2243" s="33"/>
      <c r="Q2243" s="30" t="str" cm="1">
        <f t="array" ref="Q2243">_xlfn.IFS(
A2243="","",
AND(A2243&lt;&gt;"",B2243=""),"FALTA LANÇAMENTO",
AND(B2243&lt;&gt;"",M2243=""),"FALTA O PEDIDO",
AND(M2243&lt;&gt;"",O2243=""),"FALTA NF",
O2243&lt;&gt;"","CONCLUÍDO")</f>
        <v>FALTA LANÇAMENTO</v>
      </c>
      <c r="R2243" s="33"/>
    </row>
    <row r="2244" spans="1:18">
      <c r="A2244" s="30">
        <v>46220</v>
      </c>
      <c r="B2244" s="30"/>
      <c r="C2244" s="31">
        <v>11040015</v>
      </c>
      <c r="D2244" s="30" t="str">
        <f>IFERROR(VLOOKUP(Tabela5[[#This Row],[PREFIXO ]],Tabela4[#All],2,0),"CENTRO DE CUSTO")</f>
        <v>CAV MEC EXT PES SCANIA R500</v>
      </c>
      <c r="E2244" s="33" t="s">
        <v>243</v>
      </c>
      <c r="F2244" s="31">
        <v>7278</v>
      </c>
      <c r="G2244" s="32">
        <v>2177.25</v>
      </c>
      <c r="H2244" s="32">
        <v>225.57</v>
      </c>
      <c r="I2244" s="32">
        <f t="shared" si="36"/>
        <v>2402.8200000000002</v>
      </c>
      <c r="J2244" s="33" t="s">
        <v>1085</v>
      </c>
      <c r="K2244" s="33" t="s">
        <v>5282</v>
      </c>
      <c r="L2244" s="33"/>
      <c r="M2244" s="33"/>
      <c r="N2244" s="30"/>
      <c r="O2244" s="33"/>
      <c r="P2244" s="33"/>
      <c r="Q2244" s="30" t="str" cm="1">
        <f t="array" ref="Q2244">_xlfn.IFS(
A2244="","",
AND(A2244&lt;&gt;"",B2244=""),"FALTA LANÇAMENTO",
AND(B2244&lt;&gt;"",M2244=""),"FALTA O PEDIDO",
AND(M2244&lt;&gt;"",O2244=""),"FALTA NF",
O2244&lt;&gt;"","CONCLUÍDO")</f>
        <v>FALTA LANÇAMENTO</v>
      </c>
      <c r="R2244" s="33"/>
    </row>
    <row r="2245" spans="1:18" hidden="1">
      <c r="A2245" s="30">
        <v>46218</v>
      </c>
      <c r="B2245" s="30">
        <v>46220</v>
      </c>
      <c r="C2245" s="31">
        <v>61521101</v>
      </c>
      <c r="D2245" s="30" t="str">
        <f>IFERROR(VLOOKUP(Tabela5[[#This Row],[PREFIXO ]],Tabela4[#All],2,0),"CENTRO DE CUSTO")</f>
        <v>CAM ROLL ON/OFF VOLVO VM 330</v>
      </c>
      <c r="E2245" s="33" t="s">
        <v>124</v>
      </c>
      <c r="F2245" s="31">
        <v>17</v>
      </c>
      <c r="G2245" s="32">
        <v>2985</v>
      </c>
      <c r="H2245" s="32">
        <v>525</v>
      </c>
      <c r="I2245" s="32">
        <v>2865.6</v>
      </c>
      <c r="J2245" s="33" t="s">
        <v>1085</v>
      </c>
      <c r="K2245" s="33" t="s">
        <v>5283</v>
      </c>
      <c r="L2245" s="33" t="s">
        <v>5284</v>
      </c>
      <c r="M2245" s="33"/>
      <c r="N2245" s="30"/>
      <c r="O2245" s="33"/>
      <c r="P2245" s="33"/>
      <c r="Q2245" s="30" t="str" cm="1">
        <f t="array" ref="Q2245">_xlfn.IFS(
A2245="","",
AND(A2245&lt;&gt;"",B2245=""),"FALTA LANÇAMENTO",
AND(B2245&lt;&gt;"",M2245=""),"FALTA O PEDIDO",
AND(M2245&lt;&gt;"",O2245=""),"FALTA NF",
O2245&lt;&gt;"","CONCLUÍDO")</f>
        <v>FALTA O PEDIDO</v>
      </c>
      <c r="R2245" s="33"/>
    </row>
    <row r="2246" spans="1:18" hidden="1">
      <c r="A2246" s="30">
        <v>46224</v>
      </c>
      <c r="B2246" s="30"/>
      <c r="C2246" s="31">
        <v>13090010</v>
      </c>
      <c r="D2246" s="30" t="str">
        <f>IFERROR(VLOOKUP(Tabela5[[#This Row],[PREFIXO ]],Tabela4[#All],2,0),"CENTRO DE CUSTO")</f>
        <v>CENTRO DE CUSTO</v>
      </c>
      <c r="E2246" s="33" t="s">
        <v>71</v>
      </c>
      <c r="F2246" s="31">
        <v>7830</v>
      </c>
      <c r="G2246" s="32">
        <v>150</v>
      </c>
      <c r="H2246" s="32">
        <v>205.36</v>
      </c>
      <c r="I2246" s="32">
        <f>G2246+H2246</f>
        <v>355.36</v>
      </c>
      <c r="J2246" s="33" t="s">
        <v>1123</v>
      </c>
      <c r="K2246" s="33"/>
      <c r="L2246" s="33"/>
      <c r="M2246" s="33"/>
      <c r="N2246" s="30"/>
      <c r="O2246" s="33"/>
      <c r="P2246" s="33"/>
      <c r="Q2246" s="30" t="str" cm="1">
        <f t="array" ref="Q2246">_xlfn.IFS(
A2246="","",
AND(A2246&lt;&gt;"",B2246=""),"FALTA LANÇAMENTO",
AND(B2246&lt;&gt;"",M2246=""),"FALTA O PEDIDO",
AND(M2246&lt;&gt;"",O2246=""),"FALTA NF",
O2246&lt;&gt;"","CONCLUÍDO")</f>
        <v>FALTA LANÇAMENTO</v>
      </c>
      <c r="R2246" s="33"/>
    </row>
    <row r="2247" spans="1:18" hidden="1">
      <c r="A2247" s="30">
        <v>46224</v>
      </c>
      <c r="B2247" s="16"/>
      <c r="C2247" s="21">
        <v>1732414</v>
      </c>
      <c r="D2247" s="16" t="str">
        <f>IFERROR(VLOOKUP(Tabela5[[#This Row],[PREFIXO ]],Tabela4[#All],2,0),"CENTRO DE CUSTO")</f>
        <v>MOTONIVELADORA JOHN DEERE 770 G</v>
      </c>
      <c r="E2247" s="18" t="s">
        <v>71</v>
      </c>
      <c r="F2247" s="21">
        <v>7831</v>
      </c>
      <c r="G2247" s="22">
        <v>150</v>
      </c>
      <c r="H2247" s="22">
        <v>639.16999999999996</v>
      </c>
      <c r="I2247" s="22">
        <f t="shared" ref="I2247:I2264" si="37">G2247+H2247</f>
        <v>789.17</v>
      </c>
      <c r="J2247" s="18" t="s">
        <v>1123</v>
      </c>
      <c r="K2247" s="18"/>
      <c r="L2247" s="18"/>
      <c r="M2247" s="18"/>
      <c r="N2247" s="30"/>
      <c r="O2247" s="18"/>
      <c r="P2247" s="18"/>
      <c r="Q2247" s="16" t="str" cm="1">
        <f t="array" ref="Q2247">_xlfn.IFS(
A2247="","",
AND(A2247&lt;&gt;"",B2247=""),"FALTA LANÇAMENTO",
AND(B2247&lt;&gt;"",M2247=""),"FALTA O PEDIDO",
AND(M2247&lt;&gt;"",O2247=""),"FALTA NF",
O2247&lt;&gt;"","CONCLUÍDO")</f>
        <v>FALTA LANÇAMENTO</v>
      </c>
      <c r="R2247" s="18"/>
    </row>
    <row r="2248" spans="1:18" hidden="1">
      <c r="A2248" s="30">
        <v>46224</v>
      </c>
      <c r="B2248" s="16"/>
      <c r="C2248" s="21">
        <v>1173014</v>
      </c>
      <c r="D2248" s="16" t="str">
        <f>IFERROR(VLOOKUP(Tabela5[[#This Row],[PREFIXO ]],Tabela4[#All],2,0),"CENTRO DE CUSTO")</f>
        <v>TRAT PN MED N.HOLLAND 7630</v>
      </c>
      <c r="E2248" s="18" t="s">
        <v>71</v>
      </c>
      <c r="F2248" s="21">
        <v>7820</v>
      </c>
      <c r="G2248" s="22">
        <v>382</v>
      </c>
      <c r="H2248" s="22">
        <v>600</v>
      </c>
      <c r="I2248" s="22">
        <f t="shared" si="37"/>
        <v>982</v>
      </c>
      <c r="J2248" s="18" t="s">
        <v>1123</v>
      </c>
      <c r="K2248" s="18"/>
      <c r="L2248" s="18"/>
      <c r="M2248" s="18"/>
      <c r="N2248" s="30"/>
      <c r="O2248" s="18"/>
      <c r="P2248" s="18"/>
      <c r="Q2248" s="16" t="str" cm="1">
        <f t="array" ref="Q2248">_xlfn.IFS(
A2248="","",
AND(A2248&lt;&gt;"",B2248=""),"FALTA LANÇAMENTO",
AND(B2248&lt;&gt;"",M2248=""),"FALTA O PEDIDO",
AND(M2248&lt;&gt;"",O2248=""),"FALTA NF",
O2248&lt;&gt;"","CONCLUÍDO")</f>
        <v>FALTA LANÇAMENTO</v>
      </c>
      <c r="R2248" s="18"/>
    </row>
    <row r="2249" spans="1:18" hidden="1">
      <c r="A2249" s="30">
        <v>46224</v>
      </c>
      <c r="B2249" s="16"/>
      <c r="C2249" s="21">
        <v>51521103</v>
      </c>
      <c r="D2249" s="16" t="str">
        <f>IFERROR(VLOOKUP(Tabela5[[#This Row],[PREFIXO ]],Tabela4[#All],2,0),"CENTRO DE CUSTO")</f>
        <v>COLHEIT DE GRÃOS N.HOLLAND CR 8.90</v>
      </c>
      <c r="E2249" s="18" t="s">
        <v>71</v>
      </c>
      <c r="F2249" s="21">
        <v>7828</v>
      </c>
      <c r="G2249" s="22">
        <v>1095</v>
      </c>
      <c r="H2249" s="22"/>
      <c r="I2249" s="22">
        <f t="shared" si="37"/>
        <v>1095</v>
      </c>
      <c r="J2249" s="18" t="s">
        <v>1123</v>
      </c>
      <c r="K2249" s="18"/>
      <c r="L2249" s="18"/>
      <c r="M2249" s="18"/>
      <c r="N2249" s="30"/>
      <c r="O2249" s="18"/>
      <c r="P2249" s="18"/>
      <c r="Q2249" s="16" t="str" cm="1">
        <f t="array" ref="Q2249">_xlfn.IFS(
A2249="","",
AND(A2249&lt;&gt;"",B2249=""),"FALTA LANÇAMENTO",
AND(B2249&lt;&gt;"",M2249=""),"FALTA O PEDIDO",
AND(M2249&lt;&gt;"",O2249=""),"FALTA NF",
O2249&lt;&gt;"","CONCLUÍDO")</f>
        <v>FALTA LANÇAMENTO</v>
      </c>
      <c r="R2249" s="18"/>
    </row>
    <row r="2250" spans="1:18" hidden="1">
      <c r="A2250" s="30">
        <v>46224</v>
      </c>
      <c r="B2250" s="16"/>
      <c r="C2250" s="21">
        <v>51521065</v>
      </c>
      <c r="D2250" s="16" t="str">
        <f>IFERROR(VLOOKUP(Tabela5[[#This Row],[PREFIXO ]],Tabela4[#All],2,0),"CENTRO DE CUSTO")</f>
        <v>COLHED ALGODÃO JOHN DEERE CP 690</v>
      </c>
      <c r="E2250" s="18" t="s">
        <v>71</v>
      </c>
      <c r="F2250" s="21">
        <v>7821</v>
      </c>
      <c r="G2250" s="22">
        <v>1702.5</v>
      </c>
      <c r="H2250" s="22">
        <v>67.209999999999994</v>
      </c>
      <c r="I2250" s="22">
        <f t="shared" si="37"/>
        <v>1769.71</v>
      </c>
      <c r="J2250" s="18" t="s">
        <v>1123</v>
      </c>
      <c r="K2250" s="18"/>
      <c r="L2250" s="18"/>
      <c r="M2250" s="18"/>
      <c r="N2250" s="30"/>
      <c r="O2250" s="18"/>
      <c r="P2250" s="18"/>
      <c r="Q2250" s="16" t="str" cm="1">
        <f t="array" ref="Q2250">_xlfn.IFS(
A2250="","",
AND(A2250&lt;&gt;"",B2250=""),"FALTA LANÇAMENTO",
AND(B2250&lt;&gt;"",M2250=""),"FALTA O PEDIDO",
AND(M2250&lt;&gt;"",O2250=""),"FALTA NF",
O2250&lt;&gt;"","CONCLUÍDO")</f>
        <v>FALTA LANÇAMENTO</v>
      </c>
      <c r="R2250" s="18"/>
    </row>
    <row r="2251" spans="1:18" hidden="1">
      <c r="A2251" s="30">
        <v>46224</v>
      </c>
      <c r="B2251" s="16"/>
      <c r="C2251" s="21">
        <v>51519060</v>
      </c>
      <c r="D2251" s="16" t="str">
        <f>IFERROR(VLOOKUP(Tabela5[[#This Row],[PREFIXO ]],Tabela4[#All],2,0),"CENTRO DE CUSTO")</f>
        <v>CENTRO DE CUSTO</v>
      </c>
      <c r="E2251" s="18" t="s">
        <v>17</v>
      </c>
      <c r="F2251" s="21">
        <v>45023</v>
      </c>
      <c r="G2251" s="22">
        <v>5740.04</v>
      </c>
      <c r="H2251" s="22">
        <v>22888.65</v>
      </c>
      <c r="I2251" s="22">
        <f t="shared" si="37"/>
        <v>28628.690000000002</v>
      </c>
      <c r="J2251" s="18" t="s">
        <v>1123</v>
      </c>
      <c r="K2251" s="18"/>
      <c r="L2251" s="18"/>
      <c r="M2251" s="18"/>
      <c r="N2251" s="30"/>
      <c r="O2251" s="18"/>
      <c r="P2251" s="18"/>
      <c r="Q2251" s="16" t="str" cm="1">
        <f t="array" ref="Q2251">_xlfn.IFS(
A2251="","",
AND(A2251&lt;&gt;"",B2251=""),"FALTA LANÇAMENTO",
AND(B2251&lt;&gt;"",M2251=""),"FALTA O PEDIDO",
AND(M2251&lt;&gt;"",O2251=""),"FALTA NF",
O2251&lt;&gt;"","CONCLUÍDO")</f>
        <v>FALTA LANÇAMENTO</v>
      </c>
      <c r="R2251" s="18"/>
    </row>
    <row r="2252" spans="1:18" hidden="1">
      <c r="A2252" s="30">
        <v>46224</v>
      </c>
      <c r="B2252" s="16"/>
      <c r="C2252" s="21">
        <v>51521068</v>
      </c>
      <c r="D2252" s="16" t="str">
        <f>IFERROR(VLOOKUP(Tabela5[[#This Row],[PREFIXO ]],Tabela4[#All],2,0),"CENTRO DE CUSTO")</f>
        <v>COLHED ALGODÃO JOHN DEERE CP 690</v>
      </c>
      <c r="E2252" s="18" t="s">
        <v>17</v>
      </c>
      <c r="F2252" s="21">
        <v>45094</v>
      </c>
      <c r="G2252" s="22">
        <v>8090</v>
      </c>
      <c r="H2252" s="22">
        <v>5705.26</v>
      </c>
      <c r="I2252" s="22">
        <f t="shared" si="37"/>
        <v>13795.26</v>
      </c>
      <c r="J2252" s="18" t="s">
        <v>1123</v>
      </c>
      <c r="K2252" s="18"/>
      <c r="L2252" s="18"/>
      <c r="M2252" s="18"/>
      <c r="N2252" s="30"/>
      <c r="O2252" s="18"/>
      <c r="P2252" s="18"/>
      <c r="Q2252" s="16" t="str" cm="1">
        <f t="array" ref="Q2252">_xlfn.IFS(
A2252="","",
AND(A2252&lt;&gt;"",B2252=""),"FALTA LANÇAMENTO",
AND(B2252&lt;&gt;"",M2252=""),"FALTA O PEDIDO",
AND(M2252&lt;&gt;"",O2252=""),"FALTA NF",
O2252&lt;&gt;"","CONCLUÍDO")</f>
        <v>FALTA LANÇAMENTO</v>
      </c>
      <c r="R2252" s="18"/>
    </row>
    <row r="2253" spans="1:18" hidden="1">
      <c r="A2253" s="30">
        <v>46224</v>
      </c>
      <c r="B2253" s="16"/>
      <c r="C2253" s="21">
        <v>51521071</v>
      </c>
      <c r="D2253" s="16" t="str">
        <f>IFERROR(VLOOKUP(Tabela5[[#This Row],[PREFIXO ]],Tabela4[#All],2,0),"CENTRO DE CUSTO")</f>
        <v>COLHED ALGODÃO JOHN DEERE CP 690</v>
      </c>
      <c r="E2253" s="18" t="s">
        <v>17</v>
      </c>
      <c r="F2253" s="21">
        <v>45092</v>
      </c>
      <c r="G2253" s="22">
        <v>13303.05</v>
      </c>
      <c r="H2253" s="22">
        <v>88989.26</v>
      </c>
      <c r="I2253" s="22">
        <f t="shared" si="37"/>
        <v>102292.31</v>
      </c>
      <c r="J2253" s="18" t="s">
        <v>1123</v>
      </c>
      <c r="K2253" s="18"/>
      <c r="L2253" s="18"/>
      <c r="M2253" s="18"/>
      <c r="N2253" s="30"/>
      <c r="O2253" s="18"/>
      <c r="P2253" s="18"/>
      <c r="Q2253" s="16" t="str" cm="1">
        <f t="array" ref="Q2253">_xlfn.IFS(
A2253="","",
AND(A2253&lt;&gt;"",B2253=""),"FALTA LANÇAMENTO",
AND(B2253&lt;&gt;"",M2253=""),"FALTA O PEDIDO",
AND(M2253&lt;&gt;"",O2253=""),"FALTA NF",
O2253&lt;&gt;"","CONCLUÍDO")</f>
        <v>FALTA LANÇAMENTO</v>
      </c>
      <c r="R2253" s="18"/>
    </row>
    <row r="2254" spans="1:18" hidden="1">
      <c r="A2254" s="30">
        <v>46224</v>
      </c>
      <c r="B2254" s="16"/>
      <c r="C2254" s="21">
        <v>51521059</v>
      </c>
      <c r="D2254" s="16" t="str">
        <f>IFERROR(VLOOKUP(Tabela5[[#This Row],[PREFIXO ]],Tabela4[#All],2,0),"CENTRO DE CUSTO")</f>
        <v>COLHED ALGODÃO JOHN DEERE CP 690</v>
      </c>
      <c r="E2254" s="18" t="s">
        <v>17</v>
      </c>
      <c r="F2254" s="21">
        <v>45093</v>
      </c>
      <c r="G2254" s="22">
        <v>10020.969999999999</v>
      </c>
      <c r="H2254" s="22">
        <v>8620</v>
      </c>
      <c r="I2254" s="22">
        <f t="shared" si="37"/>
        <v>18640.97</v>
      </c>
      <c r="J2254" s="18" t="s">
        <v>1123</v>
      </c>
      <c r="K2254" s="18"/>
      <c r="L2254" s="18"/>
      <c r="M2254" s="18"/>
      <c r="N2254" s="30"/>
      <c r="O2254" s="18"/>
      <c r="P2254" s="18"/>
      <c r="Q2254" s="16" t="str" cm="1">
        <f t="array" ref="Q2254">_xlfn.IFS(
A2254="","",
AND(A2254&lt;&gt;"",B2254=""),"FALTA LANÇAMENTO",
AND(B2254&lt;&gt;"",M2254=""),"FALTA O PEDIDO",
AND(M2254&lt;&gt;"",O2254=""),"FALTA NF",
O2254&lt;&gt;"","CONCLUÍDO")</f>
        <v>FALTA LANÇAMENTO</v>
      </c>
      <c r="R2254" s="18"/>
    </row>
    <row r="2255" spans="1:18" hidden="1">
      <c r="A2255" s="30">
        <v>46224</v>
      </c>
      <c r="B2255" s="16"/>
      <c r="C2255" s="21">
        <v>51519061</v>
      </c>
      <c r="D2255" s="16" t="str">
        <f>IFERROR(VLOOKUP(Tabela5[[#This Row],[PREFIXO ]],Tabela4[#All],2,0),"CENTRO DE CUSTO")</f>
        <v>CENTRO DE CUSTO</v>
      </c>
      <c r="E2255" s="18" t="s">
        <v>17</v>
      </c>
      <c r="F2255" s="21">
        <v>45115</v>
      </c>
      <c r="G2255" s="22">
        <v>3209.21</v>
      </c>
      <c r="H2255" s="22"/>
      <c r="I2255" s="22">
        <f t="shared" si="37"/>
        <v>3209.21</v>
      </c>
      <c r="J2255" s="18" t="s">
        <v>1123</v>
      </c>
      <c r="K2255" s="18"/>
      <c r="L2255" s="18"/>
      <c r="M2255" s="18"/>
      <c r="N2255" s="30"/>
      <c r="O2255" s="18"/>
      <c r="P2255" s="18"/>
      <c r="Q2255" s="16" t="str" cm="1">
        <f t="array" ref="Q2255">_xlfn.IFS(
A2255="","",
AND(A2255&lt;&gt;"",B2255=""),"FALTA LANÇAMENTO",
AND(B2255&lt;&gt;"",M2255=""),"FALTA O PEDIDO",
AND(M2255&lt;&gt;"",O2255=""),"FALTA NF",
O2255&lt;&gt;"","CONCLUÍDO")</f>
        <v>FALTA LANÇAMENTO</v>
      </c>
      <c r="R2255" s="18"/>
    </row>
    <row r="2256" spans="1:18" hidden="1">
      <c r="A2256" s="30">
        <v>46224</v>
      </c>
      <c r="B2256" s="16"/>
      <c r="C2256" s="21">
        <v>31521030</v>
      </c>
      <c r="D2256" s="16" t="str">
        <f>IFERROR(VLOOKUP(Tabela5[[#This Row],[PREFIXO ]],Tabela4[#All],2,0),"CENTRO DE CUSTO")</f>
        <v>PULV AUTOPROP JACTO UNIPORT 3030</v>
      </c>
      <c r="E2256" s="18" t="s">
        <v>66</v>
      </c>
      <c r="F2256" s="21">
        <v>9937</v>
      </c>
      <c r="G2256" s="22">
        <v>400</v>
      </c>
      <c r="H2256" s="22"/>
      <c r="I2256" s="22">
        <f t="shared" si="37"/>
        <v>400</v>
      </c>
      <c r="J2256" s="18" t="s">
        <v>1080</v>
      </c>
      <c r="K2256" s="18"/>
      <c r="L2256" s="18"/>
      <c r="M2256" s="18"/>
      <c r="N2256" s="30"/>
      <c r="O2256" s="18"/>
      <c r="P2256" s="18"/>
      <c r="Q2256" s="16" t="str" cm="1">
        <f t="array" ref="Q2256">_xlfn.IFS(
A2256="","",
AND(A2256&lt;&gt;"",B2256=""),"FALTA LANÇAMENTO",
AND(B2256&lt;&gt;"",M2256=""),"FALTA O PEDIDO",
AND(M2256&lt;&gt;"",O2256=""),"FALTA NF",
O2256&lt;&gt;"","CONCLUÍDO")</f>
        <v>FALTA LANÇAMENTO</v>
      </c>
      <c r="R2256" s="18"/>
    </row>
    <row r="2257" spans="1:18" hidden="1">
      <c r="A2257" s="30">
        <v>46224</v>
      </c>
      <c r="B2257" s="16">
        <v>46226</v>
      </c>
      <c r="C2257" s="21">
        <v>500580263</v>
      </c>
      <c r="D2257" s="16" t="str">
        <f>IFERROR(VLOOKUP(Tabela5[[#This Row],[PREFIXO ]],Tabela4[#All],2,0),"CENTRO DE CUSTO")</f>
        <v>Colheit. Grãos-Axial</v>
      </c>
      <c r="E2257" s="18" t="s">
        <v>293</v>
      </c>
      <c r="F2257" s="21"/>
      <c r="G2257" s="22">
        <v>54610</v>
      </c>
      <c r="H2257" s="22"/>
      <c r="I2257" s="22">
        <f t="shared" si="37"/>
        <v>54610</v>
      </c>
      <c r="J2257" s="18" t="s">
        <v>1123</v>
      </c>
      <c r="K2257" s="18" t="s">
        <v>5285</v>
      </c>
      <c r="L2257" s="18" t="s">
        <v>5286</v>
      </c>
      <c r="M2257" s="18"/>
      <c r="N2257" s="30"/>
      <c r="O2257" s="18"/>
      <c r="P2257" s="18"/>
      <c r="Q2257" s="16" t="str" cm="1">
        <f t="array" ref="Q2257">_xlfn.IFS(
A2257="","",
AND(A2257&lt;&gt;"",B2257=""),"FALTA LANÇAMENTO",
AND(B2257&lt;&gt;"",M2257=""),"FALTA O PEDIDO",
AND(M2257&lt;&gt;"",O2257=""),"FALTA NF",
O2257&lt;&gt;"","CONCLUÍDO")</f>
        <v>FALTA O PEDIDO</v>
      </c>
      <c r="R2257" s="18"/>
    </row>
    <row r="2258" spans="1:18" hidden="1">
      <c r="A2258" s="30">
        <v>46224</v>
      </c>
      <c r="B2258" s="16"/>
      <c r="C2258" s="21">
        <v>13100003</v>
      </c>
      <c r="D2258" s="16" t="str">
        <f>IFERROR(VLOOKUP(Tabela5[[#This Row],[PREFIXO ]],Tabela4[#All],2,0),"CENTRO DE CUSTO")</f>
        <v>TRAT PN PES JOHN DEERE 8400R</v>
      </c>
      <c r="E2258" s="18" t="s">
        <v>17</v>
      </c>
      <c r="F2258" s="21">
        <v>44443</v>
      </c>
      <c r="G2258" s="22">
        <v>2079.3000000000002</v>
      </c>
      <c r="H2258" s="22"/>
      <c r="I2258" s="22">
        <f t="shared" si="37"/>
        <v>2079.3000000000002</v>
      </c>
      <c r="J2258" s="18" t="s">
        <v>1199</v>
      </c>
      <c r="K2258" s="18"/>
      <c r="L2258" s="18"/>
      <c r="M2258" s="18"/>
      <c r="N2258" s="30"/>
      <c r="O2258" s="18"/>
      <c r="P2258" s="18"/>
      <c r="Q2258" s="16" t="str" cm="1">
        <f t="array" ref="Q2258">_xlfn.IFS(
A2258="","",
AND(A2258&lt;&gt;"",B2258=""),"FALTA LANÇAMENTO",
AND(B2258&lt;&gt;"",M2258=""),"FALTA O PEDIDO",
AND(M2258&lt;&gt;"",O2258=""),"FALTA NF",
O2258&lt;&gt;"","CONCLUÍDO")</f>
        <v>FALTA LANÇAMENTO</v>
      </c>
      <c r="R2258" s="18"/>
    </row>
    <row r="2259" spans="1:18" hidden="1">
      <c r="A2259" s="30">
        <v>46224</v>
      </c>
      <c r="B2259" s="16"/>
      <c r="C2259" s="21">
        <v>81521332</v>
      </c>
      <c r="D2259" s="16" t="str">
        <f>IFERROR(VLOOKUP(Tabela5[[#This Row],[PREFIXO ]],Tabela4[#All],2,0),"CENTRO DE CUSTO")</f>
        <v>PLANT GRÃOS N.HOLLAND PL7000 60 LINHAS</v>
      </c>
      <c r="E2259" s="18" t="s">
        <v>218</v>
      </c>
      <c r="F2259" s="21">
        <v>26928</v>
      </c>
      <c r="G2259" s="22">
        <v>7970</v>
      </c>
      <c r="H2259" s="22">
        <v>2158.3209999999999</v>
      </c>
      <c r="I2259" s="22">
        <f t="shared" si="37"/>
        <v>10128.321</v>
      </c>
      <c r="J2259" s="18" t="s">
        <v>1199</v>
      </c>
      <c r="K2259" s="18"/>
      <c r="L2259" s="18"/>
      <c r="M2259" s="18"/>
      <c r="N2259" s="30"/>
      <c r="O2259" s="18"/>
      <c r="P2259" s="18"/>
      <c r="Q2259" s="16" t="str" cm="1">
        <f t="array" ref="Q2259">_xlfn.IFS(
A2259="","",
AND(A2259&lt;&gt;"",B2259=""),"FALTA LANÇAMENTO",
AND(B2259&lt;&gt;"",M2259=""),"FALTA O PEDIDO",
AND(M2259&lt;&gt;"",O2259=""),"FALTA NF",
O2259&lt;&gt;"","CONCLUÍDO")</f>
        <v>FALTA LANÇAMENTO</v>
      </c>
      <c r="R2259" s="18"/>
    </row>
    <row r="2260" spans="1:18" hidden="1">
      <c r="A2260" s="30">
        <v>46224</v>
      </c>
      <c r="B2260" s="16">
        <v>46226</v>
      </c>
      <c r="C2260" s="21">
        <v>11521031</v>
      </c>
      <c r="D2260" s="16" t="str">
        <f>IFERROR(VLOOKUP(Tabela5[[#This Row],[PREFIXO ]],Tabela4[#All],2,0),"CENTRO DE CUSTO")</f>
        <v>TRAT PN EXT PES FENDT 1046 VARIO</v>
      </c>
      <c r="E2260" s="18" t="s">
        <v>259</v>
      </c>
      <c r="F2260" s="21">
        <v>63292244</v>
      </c>
      <c r="G2260" s="22">
        <v>49.28</v>
      </c>
      <c r="H2260" s="22">
        <v>47825.02</v>
      </c>
      <c r="I2260" s="22">
        <f t="shared" si="37"/>
        <v>47874.299999999996</v>
      </c>
      <c r="J2260" s="18" t="s">
        <v>1199</v>
      </c>
      <c r="K2260" s="18" t="s">
        <v>5287</v>
      </c>
      <c r="L2260" s="18" t="s">
        <v>5288</v>
      </c>
      <c r="M2260" s="18"/>
      <c r="N2260" s="30"/>
      <c r="O2260" s="18"/>
      <c r="P2260" s="18"/>
      <c r="Q2260" s="16" t="str" cm="1">
        <f t="array" ref="Q2260">_xlfn.IFS(
A2260="","",
AND(A2260&lt;&gt;"",B2260=""),"FALTA LANÇAMENTO",
AND(B2260&lt;&gt;"",M2260=""),"FALTA O PEDIDO",
AND(M2260&lt;&gt;"",O2260=""),"FALTA NF",
O2260&lt;&gt;"","CONCLUÍDO")</f>
        <v>FALTA O PEDIDO</v>
      </c>
      <c r="R2260" s="18"/>
    </row>
    <row r="2261" spans="1:18" hidden="1">
      <c r="A2261" s="30">
        <v>46224</v>
      </c>
      <c r="B2261" s="16"/>
      <c r="C2261" s="21">
        <v>81521294</v>
      </c>
      <c r="D2261" s="16" t="str">
        <f>IFERROR(VLOOKUP(Tabela5[[#This Row],[PREFIXO ]],Tabela4[#All],2,0),"CENTRO DE CUSTO")</f>
        <v>PLANT GRÃOS N.HOLLAND PL7000 60 LINHAS</v>
      </c>
      <c r="E2261" s="18" t="s">
        <v>96</v>
      </c>
      <c r="F2261" s="21" t="s">
        <v>5289</v>
      </c>
      <c r="G2261" s="22">
        <v>100</v>
      </c>
      <c r="H2261" s="22">
        <v>1307.8399999999999</v>
      </c>
      <c r="I2261" s="22">
        <f t="shared" si="37"/>
        <v>1407.84</v>
      </c>
      <c r="J2261" s="18" t="s">
        <v>1199</v>
      </c>
      <c r="K2261" s="18"/>
      <c r="L2261" s="18"/>
      <c r="M2261" s="18"/>
      <c r="N2261" s="30"/>
      <c r="O2261" s="18"/>
      <c r="P2261" s="18"/>
      <c r="Q2261" s="16" t="str" cm="1">
        <f t="array" ref="Q2261">_xlfn.IFS(
A2261="","",
AND(A2261&lt;&gt;"",B2261=""),"FALTA LANÇAMENTO",
AND(B2261&lt;&gt;"",M2261=""),"FALTA O PEDIDO",
AND(M2261&lt;&gt;"",O2261=""),"FALTA NF",
O2261&lt;&gt;"","CONCLUÍDO")</f>
        <v>FALTA LANÇAMENTO</v>
      </c>
      <c r="R2261" s="18"/>
    </row>
    <row r="2262" spans="1:18" hidden="1">
      <c r="A2262" s="30">
        <v>46224</v>
      </c>
      <c r="B2262" s="16">
        <v>46226</v>
      </c>
      <c r="C2262" s="21">
        <v>500580097</v>
      </c>
      <c r="D2262" s="16" t="str">
        <f>IFERROR(VLOOKUP(Tabela5[[#This Row],[PREFIXO ]],Tabela4[#All],2,0),"CENTRO DE CUSTO")</f>
        <v>Subsoladores</v>
      </c>
      <c r="E2262" s="18" t="s">
        <v>359</v>
      </c>
      <c r="F2262" s="21" t="s">
        <v>5277</v>
      </c>
      <c r="G2262" s="22">
        <v>28652</v>
      </c>
      <c r="H2262" s="22"/>
      <c r="I2262" s="22">
        <f t="shared" si="37"/>
        <v>28652</v>
      </c>
      <c r="J2262" s="18" t="s">
        <v>1199</v>
      </c>
      <c r="K2262" s="18" t="s">
        <v>5290</v>
      </c>
      <c r="L2262" s="18" t="s">
        <v>5291</v>
      </c>
      <c r="M2262" s="18"/>
      <c r="N2262" s="30"/>
      <c r="O2262" s="18"/>
      <c r="P2262" s="18"/>
      <c r="Q2262" s="16" t="str" cm="1">
        <f t="array" ref="Q2262">_xlfn.IFS(
A2262="","",
AND(A2262&lt;&gt;"",B2262=""),"FALTA LANÇAMENTO",
AND(B2262&lt;&gt;"",M2262=""),"FALTA O PEDIDO",
AND(M2262&lt;&gt;"",O2262=""),"FALTA NF",
O2262&lt;&gt;"","CONCLUÍDO")</f>
        <v>FALTA O PEDIDO</v>
      </c>
      <c r="R2262" s="18"/>
    </row>
    <row r="2263" spans="1:18" hidden="1">
      <c r="A2263" s="30">
        <v>46224</v>
      </c>
      <c r="B2263" s="16">
        <v>46226</v>
      </c>
      <c r="C2263" s="21">
        <v>500580073</v>
      </c>
      <c r="D2263" s="16" t="str">
        <f>IFERROR(VLOOKUP(Tabela5[[#This Row],[PREFIXO ]],Tabela4[#All],2,0),"CENTRO DE CUSTO")</f>
        <v>Tratores Pesados</v>
      </c>
      <c r="E2263" s="18" t="s">
        <v>312</v>
      </c>
      <c r="F2263" s="21" t="s">
        <v>1314</v>
      </c>
      <c r="G2263" s="22">
        <v>15651</v>
      </c>
      <c r="H2263" s="22"/>
      <c r="I2263" s="22">
        <f t="shared" si="37"/>
        <v>15651</v>
      </c>
      <c r="J2263" s="18" t="s">
        <v>1199</v>
      </c>
      <c r="K2263" s="18" t="s">
        <v>5292</v>
      </c>
      <c r="L2263" s="18" t="s">
        <v>5293</v>
      </c>
      <c r="M2263" s="18"/>
      <c r="N2263" s="30"/>
      <c r="O2263" s="18"/>
      <c r="P2263" s="18"/>
      <c r="Q2263" s="16" t="str" cm="1">
        <f t="array" ref="Q2263">_xlfn.IFS(
A2263="","",
AND(A2263&lt;&gt;"",B2263=""),"FALTA LANÇAMENTO",
AND(B2263&lt;&gt;"",M2263=""),"FALTA O PEDIDO",
AND(M2263&lt;&gt;"",O2263=""),"FALTA NF",
O2263&lt;&gt;"","CONCLUÍDO")</f>
        <v>FALTA O PEDIDO</v>
      </c>
      <c r="R2263" s="18"/>
    </row>
    <row r="2264" spans="1:18" hidden="1">
      <c r="A2264" s="30">
        <v>46224</v>
      </c>
      <c r="B2264" s="16"/>
      <c r="C2264" s="21">
        <v>900289</v>
      </c>
      <c r="D2264" s="16" t="str">
        <f>IFERROR(VLOOKUP(Tabela5[[#This Row],[PREFIXO ]],Tabela4[#All],2,0),"CENTRO DE CUSTO")</f>
        <v>SOPRADOR COSTAL BR600</v>
      </c>
      <c r="E2264" s="18" t="s">
        <v>40</v>
      </c>
      <c r="F2264" s="21">
        <v>141886</v>
      </c>
      <c r="G2264" s="22">
        <v>286</v>
      </c>
      <c r="H2264" s="22">
        <v>528.66</v>
      </c>
      <c r="I2264" s="22">
        <f t="shared" si="37"/>
        <v>814.66</v>
      </c>
      <c r="J2264" s="18" t="s">
        <v>1085</v>
      </c>
      <c r="K2264" s="18"/>
      <c r="L2264" s="18"/>
      <c r="M2264" s="18"/>
      <c r="N2264" s="30"/>
      <c r="O2264" s="18"/>
      <c r="P2264" s="18"/>
      <c r="Q2264" s="16" t="str" cm="1">
        <f t="array" ref="Q2264">_xlfn.IFS(
A2264="","",
AND(A2264&lt;&gt;"",B2264=""),"FALTA LANÇAMENTO",
AND(B2264&lt;&gt;"",M2264=""),"FALTA O PEDIDO",
AND(M2264&lt;&gt;"",O2264=""),"FALTA NF",
O2264&lt;&gt;"","CONCLUÍDO")</f>
        <v>FALTA LANÇAMENTO</v>
      </c>
      <c r="R2264" s="18"/>
    </row>
    <row r="2265" spans="1:18" hidden="1">
      <c r="A2265" s="30">
        <v>46224</v>
      </c>
      <c r="B2265" s="16"/>
      <c r="C2265" s="21">
        <v>17020034</v>
      </c>
      <c r="D2265" s="16" t="str">
        <f>IFERROR(VLOOKUP(Tabela5[[#This Row],[PREFIXO ]],Tabela4[#All],2,0),"CENTRO DE CUSTO")</f>
        <v>CENTRO DE CUSTO</v>
      </c>
      <c r="E2265" s="18" t="s">
        <v>40</v>
      </c>
      <c r="F2265" s="21">
        <v>141887</v>
      </c>
      <c r="G2265" s="22">
        <v>316</v>
      </c>
      <c r="H2265" s="22">
        <v>854.13</v>
      </c>
      <c r="I2265" s="22">
        <f>G2265+H2265</f>
        <v>1170.1300000000001</v>
      </c>
      <c r="J2265" s="18" t="s">
        <v>1085</v>
      </c>
      <c r="K2265" s="18"/>
      <c r="L2265" s="18"/>
      <c r="M2265" s="18"/>
      <c r="N2265" s="30"/>
      <c r="O2265" s="18"/>
      <c r="P2265" s="18"/>
      <c r="Q2265" s="16" t="str" cm="1">
        <f t="array" ref="Q2265">_xlfn.IFS(
A2265="","",
AND(A2265&lt;&gt;"",B2265=""),"FALTA LANÇAMENTO",
AND(B2265&lt;&gt;"",M2265=""),"FALTA O PEDIDO",
AND(M2265&lt;&gt;"",O2265=""),"FALTA NF",
O2265&lt;&gt;"","CONCLUÍDO")</f>
        <v>FALTA LANÇAMENTO</v>
      </c>
      <c r="R2265" s="18"/>
    </row>
    <row r="2266" spans="1:18" hidden="1">
      <c r="A2266" s="30">
        <v>46223</v>
      </c>
      <c r="B2266" s="16">
        <v>46224</v>
      </c>
      <c r="C2266" s="21">
        <v>61521009</v>
      </c>
      <c r="D2266" s="16" t="str">
        <f>IFERROR(VLOOKUP(Tabela5[[#This Row],[PREFIXO ]],Tabela4[#All],2,0),"CENTRO DE CUSTO")</f>
        <v>CAV MEC PES MERC BENZ AXOR 2644</v>
      </c>
      <c r="E2266" s="18" t="s">
        <v>124</v>
      </c>
      <c r="F2266" s="21">
        <v>18</v>
      </c>
      <c r="G2266" s="22">
        <v>2188.8000000000002</v>
      </c>
      <c r="H2266" s="22"/>
      <c r="I2266" s="22">
        <f t="shared" ref="I2266:I2267" si="38">G2266+H2266</f>
        <v>2188.8000000000002</v>
      </c>
      <c r="J2266" s="18" t="s">
        <v>1085</v>
      </c>
      <c r="K2266" s="18"/>
      <c r="L2266" s="18"/>
      <c r="M2266" s="18"/>
      <c r="N2266" s="30"/>
      <c r="O2266" s="18"/>
      <c r="P2266" s="18"/>
      <c r="Q2266" s="16" t="str" cm="1">
        <f t="array" ref="Q2266">_xlfn.IFS(
A2266="","",
AND(A2266&lt;&gt;"",B2266=""),"FALTA LANÇAMENTO",
AND(B2266&lt;&gt;"",M2266=""),"FALTA O PEDIDO",
AND(M2266&lt;&gt;"",O2266=""),"FALTA NF",
O2266&lt;&gt;"","CONCLUÍDO")</f>
        <v>FALTA O PEDIDO</v>
      </c>
      <c r="R2266" s="18"/>
    </row>
    <row r="2267" spans="1:18" hidden="1">
      <c r="A2267" s="30">
        <v>46223</v>
      </c>
      <c r="B2267" s="16">
        <v>46224</v>
      </c>
      <c r="C2267" s="21">
        <v>500580346</v>
      </c>
      <c r="D2267" s="16" t="str">
        <f>IFERROR(VLOOKUP(Tabela5[[#This Row],[PREFIXO ]],Tabela4[#All],2,0),"CENTRO DE CUSTO")</f>
        <v>Trat Extra Pesados</v>
      </c>
      <c r="E2267" s="18" t="s">
        <v>259</v>
      </c>
      <c r="F2267" s="21">
        <v>63317639</v>
      </c>
      <c r="G2267" s="22">
        <v>48000</v>
      </c>
      <c r="H2267" s="22"/>
      <c r="I2267" s="22">
        <f t="shared" si="38"/>
        <v>48000</v>
      </c>
      <c r="J2267" s="18" t="s">
        <v>1085</v>
      </c>
      <c r="K2267" s="18" t="s">
        <v>5294</v>
      </c>
      <c r="L2267" s="18" t="s">
        <v>5295</v>
      </c>
      <c r="M2267" s="18"/>
      <c r="N2267" s="30"/>
      <c r="O2267" s="18"/>
      <c r="P2267" s="18"/>
      <c r="Q2267" s="16" t="str" cm="1">
        <f t="array" ref="Q2267">_xlfn.IFS(
A2267="","",
AND(A2267&lt;&gt;"",B2267=""),"FALTA LANÇAMENTO",
AND(B2267&lt;&gt;"",M2267=""),"FALTA O PEDIDO",
AND(M2267&lt;&gt;"",O2267=""),"FALTA NF",
O2267&lt;&gt;"","CONCLUÍDO")</f>
        <v>FALTA O PEDIDO</v>
      </c>
      <c r="R2267" s="18"/>
    </row>
    <row r="2268" spans="1:18" hidden="1">
      <c r="A2268" s="30">
        <v>46224</v>
      </c>
      <c r="B2268" s="30"/>
      <c r="C2268" s="31">
        <v>15048014</v>
      </c>
      <c r="D2268" s="30" t="str">
        <f>IFERROR(VLOOKUP(Tabela5[[#This Row],[PREFIXO ]],Tabela4[#All],2,0),"CENTRO DE CUSTO")</f>
        <v>CENTRO DE CUSTO</v>
      </c>
      <c r="E2268" s="33" t="s">
        <v>259</v>
      </c>
      <c r="F2268" s="31">
        <v>63326073</v>
      </c>
      <c r="G2268" s="32">
        <v>50.43</v>
      </c>
      <c r="H2268" s="32">
        <v>26195.69</v>
      </c>
      <c r="I2268" s="32">
        <f>G2268+H2268</f>
        <v>26246.12</v>
      </c>
      <c r="J2268" s="33" t="s">
        <v>1199</v>
      </c>
      <c r="K2268" s="33"/>
      <c r="L2268" s="33"/>
      <c r="M2268" s="33"/>
      <c r="N2268" s="30"/>
      <c r="O2268" s="33"/>
      <c r="P2268" s="33"/>
      <c r="Q2268" s="30" t="str" cm="1">
        <f t="array" ref="Q2268">_xlfn.IFS(
A2268="","",
AND(A2268&lt;&gt;"",B2268=""),"FALTA LANÇAMENTO",
AND(B2268&lt;&gt;"",M2268=""),"FALTA O PEDIDO",
AND(M2268&lt;&gt;"",O2268=""),"FALTA NF",
O2268&lt;&gt;"","CONCLUÍDO")</f>
        <v>FALTA LANÇAMENTO</v>
      </c>
      <c r="R2268" s="33"/>
    </row>
    <row r="2269" spans="1:18" hidden="1">
      <c r="A2269" s="30">
        <v>46224</v>
      </c>
      <c r="B2269" s="16"/>
      <c r="C2269" s="21">
        <v>15048017</v>
      </c>
      <c r="D2269" s="16" t="str">
        <f>IFERROR(VLOOKUP(Tabela5[[#This Row],[PREFIXO ]],Tabela4[#All],2,0),"CENTRO DE CUSTO")</f>
        <v>CENTRO DE CUSTO</v>
      </c>
      <c r="E2269" s="18" t="s">
        <v>259</v>
      </c>
      <c r="F2269" s="21">
        <v>63301962</v>
      </c>
      <c r="G2269" s="22">
        <v>51</v>
      </c>
      <c r="H2269" s="22">
        <v>16379.47</v>
      </c>
      <c r="I2269" s="22">
        <f t="shared" ref="I2269:I2270" si="39">G2269+H2269</f>
        <v>16430.47</v>
      </c>
      <c r="J2269" s="18" t="s">
        <v>1199</v>
      </c>
      <c r="K2269" s="18"/>
      <c r="L2269" s="18"/>
      <c r="M2269" s="18"/>
      <c r="N2269" s="30"/>
      <c r="O2269" s="18"/>
      <c r="P2269" s="18"/>
      <c r="Q2269" s="16" t="str" cm="1">
        <f t="array" ref="Q2269">_xlfn.IFS(
A2269="","",
AND(A2269&lt;&gt;"",B2269=""),"FALTA LANÇAMENTO",
AND(B2269&lt;&gt;"",M2269=""),"FALTA O PEDIDO",
AND(M2269&lt;&gt;"",O2269=""),"FALTA NF",
O2269&lt;&gt;"","CONCLUÍDO")</f>
        <v>FALTA LANÇAMENTO</v>
      </c>
      <c r="R2269" s="18"/>
    </row>
    <row r="2270" spans="1:18" hidden="1">
      <c r="A2270" s="30">
        <v>46224</v>
      </c>
      <c r="B2270" s="16"/>
      <c r="C2270" s="21">
        <v>15048015</v>
      </c>
      <c r="D2270" s="16" t="str">
        <f>IFERROR(VLOOKUP(Tabela5[[#This Row],[PREFIXO ]],Tabela4[#All],2,0),"CENTRO DE CUSTO")</f>
        <v>TRAT PN EXT PES FENDT VARIO 1050</v>
      </c>
      <c r="E2270" s="18" t="s">
        <v>259</v>
      </c>
      <c r="F2270" s="21">
        <v>63295146</v>
      </c>
      <c r="G2270" s="22">
        <v>49.29</v>
      </c>
      <c r="H2270" s="22">
        <v>19782.97</v>
      </c>
      <c r="I2270" s="22">
        <f t="shared" si="39"/>
        <v>19832.260000000002</v>
      </c>
      <c r="J2270" s="18" t="s">
        <v>1199</v>
      </c>
      <c r="K2270" s="18"/>
      <c r="L2270" s="18"/>
      <c r="M2270" s="18"/>
      <c r="N2270" s="30"/>
      <c r="O2270" s="18"/>
      <c r="P2270" s="18"/>
      <c r="Q2270" s="16" t="str" cm="1">
        <f t="array" ref="Q2270">_xlfn.IFS(
A2270="","",
AND(A2270&lt;&gt;"",B2270=""),"FALTA LANÇAMENTO",
AND(B2270&lt;&gt;"",M2270=""),"FALTA O PEDIDO",
AND(M2270&lt;&gt;"",O2270=""),"FALTA NF",
O2270&lt;&gt;"","CONCLUÍDO")</f>
        <v>FALTA LANÇAMENTO</v>
      </c>
      <c r="R2270" s="18"/>
    </row>
    <row r="2271" spans="1:18" hidden="1">
      <c r="A2271" s="30">
        <v>46205</v>
      </c>
      <c r="B2271" s="30">
        <v>46226</v>
      </c>
      <c r="C2271" s="31">
        <v>13150007</v>
      </c>
      <c r="D2271" s="30" t="str">
        <f>IFERROR(VLOOKUP(Tabela5[[#This Row],[PREFIXO ]],Tabela4[#All],2,0),"CENTRO DE CUSTO")</f>
        <v>CENTRO DE CUSTO</v>
      </c>
      <c r="E2271" s="18" t="s">
        <v>66</v>
      </c>
      <c r="F2271" s="31" t="s">
        <v>5296</v>
      </c>
      <c r="G2271" s="32">
        <v>4800</v>
      </c>
      <c r="H2271" s="32">
        <v>61857.07</v>
      </c>
      <c r="I2271" s="32">
        <f t="shared" ref="I2271:I2295" si="40">G2271+H2271</f>
        <v>66657.070000000007</v>
      </c>
      <c r="J2271" s="18" t="s">
        <v>1080</v>
      </c>
      <c r="K2271" s="33" t="s">
        <v>5297</v>
      </c>
      <c r="L2271" s="33" t="s">
        <v>5298</v>
      </c>
      <c r="M2271" s="33"/>
      <c r="N2271" s="30"/>
      <c r="O2271" s="33"/>
      <c r="P2271" s="33"/>
      <c r="Q2271" s="30" t="str" cm="1">
        <f t="array" ref="Q2271">_xlfn.IFS(
A2271="","",
AND(A2271&lt;&gt;"",B2271=""),"FALTA LANÇAMENTO",
AND(B2271&lt;&gt;"",M2271=""),"FALTA O PEDIDO",
AND(M2271&lt;&gt;"",O2271=""),"FALTA NF",
O2271&lt;&gt;"","CONCLUÍDO")</f>
        <v>FALTA O PEDIDO</v>
      </c>
      <c r="R2271" s="33"/>
    </row>
    <row r="2272" spans="1:18" hidden="1">
      <c r="A2272" s="30">
        <v>46225</v>
      </c>
      <c r="B2272" s="30"/>
      <c r="C2272" s="31">
        <v>61521070</v>
      </c>
      <c r="D2272" s="30" t="str">
        <f>IFERROR(VLOOKUP(Tabela5[[#This Row],[PREFIXO ]],Tabela4[#All],2,0),"CENTRO DE CUSTO")</f>
        <v>PA CARREGADEIRA CAT 920 K</v>
      </c>
      <c r="E2272" s="33" t="s">
        <v>376</v>
      </c>
      <c r="F2272" s="31">
        <v>61521070</v>
      </c>
      <c r="G2272" s="32">
        <v>1100</v>
      </c>
      <c r="H2272" s="32"/>
      <c r="I2272" s="32">
        <f t="shared" si="40"/>
        <v>1100</v>
      </c>
      <c r="J2272" s="18" t="s">
        <v>1080</v>
      </c>
      <c r="K2272" s="33" t="s">
        <v>5299</v>
      </c>
      <c r="L2272" s="33" t="s">
        <v>5300</v>
      </c>
      <c r="M2272" s="33"/>
      <c r="N2272" s="30"/>
      <c r="O2272" s="33"/>
      <c r="P2272" s="33"/>
      <c r="Q2272" s="30" t="str" cm="1">
        <f t="array" ref="Q2272">_xlfn.IFS(
A2272="","",
AND(A2272&lt;&gt;"",B2272=""),"FALTA LANÇAMENTO",
AND(B2272&lt;&gt;"",M2272=""),"FALTA O PEDIDO",
AND(M2272&lt;&gt;"",O2272=""),"FALTA NF",
O2272&lt;&gt;"","CONCLUÍDO")</f>
        <v>FALTA LANÇAMENTO</v>
      </c>
      <c r="R2272" s="33"/>
    </row>
    <row r="2273" spans="1:18" hidden="1">
      <c r="A2273" s="30">
        <v>46224</v>
      </c>
      <c r="B2273" s="30"/>
      <c r="C2273" s="31">
        <v>61520015</v>
      </c>
      <c r="D2273" s="30" t="str">
        <f>IFERROR(VLOOKUP(Tabela5[[#This Row],[PREFIXO ]],Tabela4[#All],2,0),"CENTRO DE CUSTO")</f>
        <v>CENTRO DE CUSTO</v>
      </c>
      <c r="E2273" s="33" t="s">
        <v>366</v>
      </c>
      <c r="F2273" s="31">
        <v>195648</v>
      </c>
      <c r="G2273" s="32">
        <v>680</v>
      </c>
      <c r="H2273" s="32">
        <v>1657.5</v>
      </c>
      <c r="I2273" s="32">
        <f t="shared" si="40"/>
        <v>2337.5</v>
      </c>
      <c r="J2273" s="33" t="s">
        <v>1085</v>
      </c>
      <c r="K2273" s="33"/>
      <c r="L2273" s="33"/>
      <c r="M2273" s="33"/>
      <c r="N2273" s="30"/>
      <c r="O2273" s="33"/>
      <c r="P2273" s="33"/>
      <c r="Q2273" s="30" t="str" cm="1">
        <f t="array" ref="Q2273">_xlfn.IFS(
A2273="","",
AND(A2273&lt;&gt;"",B2273=""),"FALTA LANÇAMENTO",
AND(B2273&lt;&gt;"",M2273=""),"FALTA O PEDIDO",
AND(M2273&lt;&gt;"",O2273=""),"FALTA NF",
O2273&lt;&gt;"","CONCLUÍDO")</f>
        <v>FALTA LANÇAMENTO</v>
      </c>
      <c r="R2273" s="33"/>
    </row>
    <row r="2274" spans="1:18" hidden="1">
      <c r="A2274" s="30">
        <v>46224</v>
      </c>
      <c r="B2274" s="30"/>
      <c r="C2274" s="31">
        <v>61521076</v>
      </c>
      <c r="D2274" s="30" t="str">
        <f>IFERROR(VLOOKUP(Tabela5[[#This Row],[PREFIXO ]],Tabela4[#All],2,0),"CENTRO DE CUSTO")</f>
        <v>CAM CARGA SECA MERC BENZ ACCELO 815</v>
      </c>
      <c r="E2274" s="33" t="s">
        <v>121</v>
      </c>
      <c r="F2274" s="31">
        <v>99</v>
      </c>
      <c r="G2274" s="32">
        <v>200</v>
      </c>
      <c r="H2274" s="32">
        <v>876.29</v>
      </c>
      <c r="I2274" s="32">
        <f t="shared" si="40"/>
        <v>1076.29</v>
      </c>
      <c r="J2274" s="33" t="s">
        <v>1085</v>
      </c>
      <c r="K2274" s="33"/>
      <c r="L2274" s="33"/>
      <c r="M2274" s="33"/>
      <c r="N2274" s="30"/>
      <c r="O2274" s="33"/>
      <c r="P2274" s="33"/>
      <c r="Q2274" s="30" t="str" cm="1">
        <f t="array" ref="Q2274">_xlfn.IFS(
A2274="","",
AND(A2274&lt;&gt;"",B2274=""),"FALTA LANÇAMENTO",
AND(B2274&lt;&gt;"",M2274=""),"FALTA O PEDIDO",
AND(M2274&lt;&gt;"",O2274=""),"FALTA NF",
O2274&lt;&gt;"","CONCLUÍDO")</f>
        <v>FALTA LANÇAMENTO</v>
      </c>
      <c r="R2274" s="33"/>
    </row>
    <row r="2275" spans="1:18" hidden="1">
      <c r="A2275" s="30">
        <v>46224</v>
      </c>
      <c r="B2275" s="30"/>
      <c r="C2275" s="31">
        <v>8173202</v>
      </c>
      <c r="D2275" s="30" t="str">
        <f>IFERROR(VLOOKUP(Tabela5[[#This Row],[PREFIXO ]],Tabela4[#All],2,0),"CENTRO DE CUSTO")</f>
        <v>SEMI REBOQUE BASCULANTE RANDON</v>
      </c>
      <c r="E2275" s="33" t="s">
        <v>366</v>
      </c>
      <c r="F2275" s="31">
        <v>1399</v>
      </c>
      <c r="G2275" s="32">
        <v>0.1</v>
      </c>
      <c r="H2275" s="32">
        <v>570</v>
      </c>
      <c r="I2275" s="32">
        <f t="shared" si="40"/>
        <v>570.1</v>
      </c>
      <c r="J2275" s="33" t="s">
        <v>1085</v>
      </c>
      <c r="K2275" s="33"/>
      <c r="L2275" s="33"/>
      <c r="M2275" s="33"/>
      <c r="N2275" s="30"/>
      <c r="O2275" s="33"/>
      <c r="P2275" s="33"/>
      <c r="Q2275" s="30" t="str" cm="1">
        <f t="array" ref="Q2275">_xlfn.IFS(
A2275="","",
AND(A2275&lt;&gt;"",B2275=""),"FALTA LANÇAMENTO",
AND(B2275&lt;&gt;"",M2275=""),"FALTA O PEDIDO",
AND(M2275&lt;&gt;"",O2275=""),"FALTA NF",
O2275&lt;&gt;"","CONCLUÍDO")</f>
        <v>FALTA LANÇAMENTO</v>
      </c>
      <c r="R2275" s="33"/>
    </row>
    <row r="2276" spans="1:18" hidden="1">
      <c r="A2276" s="30">
        <v>46224</v>
      </c>
      <c r="B2276" s="30"/>
      <c r="C2276" s="31">
        <v>22030321</v>
      </c>
      <c r="D2276" s="30" t="str">
        <f>IFERROR(VLOOKUP(Tabela5[[#This Row],[PREFIXO ]],Tabela4[#All],2,0),"CENTRO DE CUSTO")</f>
        <v>CENTRO DE CUSTO</v>
      </c>
      <c r="E2276" s="33" t="s">
        <v>209</v>
      </c>
      <c r="F2276" s="31">
        <v>449</v>
      </c>
      <c r="G2276" s="32">
        <v>640</v>
      </c>
      <c r="H2276" s="32"/>
      <c r="I2276" s="32">
        <f t="shared" si="40"/>
        <v>640</v>
      </c>
      <c r="J2276" s="33" t="s">
        <v>1085</v>
      </c>
      <c r="K2276" s="33"/>
      <c r="L2276" s="33"/>
      <c r="M2276" s="33"/>
      <c r="N2276" s="30"/>
      <c r="O2276" s="33"/>
      <c r="P2276" s="33"/>
      <c r="Q2276" s="30" t="str" cm="1">
        <f t="array" ref="Q2276">_xlfn.IFS(
A2276="","",
AND(A2276&lt;&gt;"",B2276=""),"FALTA LANÇAMENTO",
AND(B2276&lt;&gt;"",M2276=""),"FALTA O PEDIDO",
AND(M2276&lt;&gt;"",O2276=""),"FALTA NF",
O2276&lt;&gt;"","CONCLUÍDO")</f>
        <v>FALTA LANÇAMENTO</v>
      </c>
      <c r="R2276" s="33"/>
    </row>
    <row r="2277" spans="1:18" hidden="1">
      <c r="A2277" s="30">
        <v>46224</v>
      </c>
      <c r="B2277" s="30"/>
      <c r="C2277" s="31">
        <v>61524006</v>
      </c>
      <c r="D2277" s="30" t="str">
        <f>IFERROR(VLOOKUP(Tabela5[[#This Row],[PREFIXO ]],Tabela4[#All],2,0),"CENTRO DE CUSTO")</f>
        <v>PA CARREGADEIRA JOHN DEERE 524 K II</v>
      </c>
      <c r="E2277" s="33" t="s">
        <v>68</v>
      </c>
      <c r="F2277" s="31">
        <v>2445</v>
      </c>
      <c r="G2277" s="32">
        <v>2380</v>
      </c>
      <c r="H2277" s="32">
        <v>2215.08</v>
      </c>
      <c r="I2277" s="32">
        <f t="shared" si="40"/>
        <v>4595.08</v>
      </c>
      <c r="J2277" s="33" t="s">
        <v>1080</v>
      </c>
      <c r="K2277" s="33"/>
      <c r="L2277" s="33"/>
      <c r="M2277" s="33"/>
      <c r="N2277" s="30"/>
      <c r="O2277" s="33"/>
      <c r="P2277" s="33"/>
      <c r="Q2277" s="30" t="str" cm="1">
        <f t="array" ref="Q2277">_xlfn.IFS(
A2277="","",
AND(A2277&lt;&gt;"",B2277=""),"FALTA LANÇAMENTO",
AND(B2277&lt;&gt;"",M2277=""),"FALTA O PEDIDO",
AND(M2277&lt;&gt;"",O2277=""),"FALTA NF",
O2277&lt;&gt;"","CONCLUÍDO")</f>
        <v>FALTA LANÇAMENTO</v>
      </c>
      <c r="R2277" s="33"/>
    </row>
    <row r="2278" spans="1:18" hidden="1">
      <c r="A2278" s="30">
        <v>46224</v>
      </c>
      <c r="B2278" s="30"/>
      <c r="C2278" s="31">
        <v>61521049</v>
      </c>
      <c r="D2278" s="30" t="str">
        <f>IFERROR(VLOOKUP(Tabela5[[#This Row],[PREFIXO ]],Tabela4[#All],2,0),"CENTRO DE CUSTO")</f>
        <v>PA CARREGADEIRA JOHN DEERE 524 K II</v>
      </c>
      <c r="E2278" s="33" t="s">
        <v>68</v>
      </c>
      <c r="F2278" s="31">
        <v>2589</v>
      </c>
      <c r="G2278" s="32">
        <v>4000</v>
      </c>
      <c r="H2278" s="32"/>
      <c r="I2278" s="32">
        <f t="shared" si="40"/>
        <v>4000</v>
      </c>
      <c r="J2278" s="33" t="s">
        <v>1080</v>
      </c>
      <c r="K2278" s="33"/>
      <c r="L2278" s="33"/>
      <c r="M2278" s="33"/>
      <c r="N2278" s="30"/>
      <c r="O2278" s="33"/>
      <c r="P2278" s="33"/>
      <c r="Q2278" s="30" t="str" cm="1">
        <f t="array" ref="Q2278">_xlfn.IFS(
A2278="","",
AND(A2278&lt;&gt;"",B2278=""),"FALTA LANÇAMENTO",
AND(B2278&lt;&gt;"",M2278=""),"FALTA O PEDIDO",
AND(M2278&lt;&gt;"",O2278=""),"FALTA NF",
O2278&lt;&gt;"","CONCLUÍDO")</f>
        <v>FALTA LANÇAMENTO</v>
      </c>
      <c r="R2278" s="33"/>
    </row>
    <row r="2279" spans="1:18" hidden="1">
      <c r="A2279" s="30">
        <v>46224</v>
      </c>
      <c r="B2279" s="30"/>
      <c r="C2279" s="31">
        <v>13090010</v>
      </c>
      <c r="D2279" s="30" t="str">
        <f>IFERROR(VLOOKUP(Tabela5[[#This Row],[PREFIXO ]],Tabela4[#All],2,0),"CENTRO DE CUSTO")</f>
        <v>CENTRO DE CUSTO</v>
      </c>
      <c r="E2279" s="33" t="s">
        <v>67</v>
      </c>
      <c r="F2279" s="31">
        <v>236</v>
      </c>
      <c r="G2279" s="32">
        <v>1425</v>
      </c>
      <c r="H2279" s="32"/>
      <c r="I2279" s="32">
        <f t="shared" si="40"/>
        <v>1425</v>
      </c>
      <c r="J2279" s="33" t="s">
        <v>1123</v>
      </c>
      <c r="K2279" s="33" t="s">
        <v>5301</v>
      </c>
      <c r="L2279" s="33" t="s">
        <v>5302</v>
      </c>
      <c r="M2279" s="33"/>
      <c r="N2279" s="30"/>
      <c r="O2279" s="33"/>
      <c r="P2279" s="33"/>
      <c r="Q2279" s="30" t="str" cm="1">
        <f t="array" ref="Q2279">_xlfn.IFS(
A2279="","",
AND(A2279&lt;&gt;"",B2279=""),"FALTA LANÇAMENTO",
AND(B2279&lt;&gt;"",M2279=""),"FALTA O PEDIDO",
AND(M2279&lt;&gt;"",O2279=""),"FALTA NF",
O2279&lt;&gt;"","CONCLUÍDO")</f>
        <v>FALTA LANÇAMENTO</v>
      </c>
      <c r="R2279" s="33"/>
    </row>
    <row r="2280" spans="1:18" hidden="1">
      <c r="A2280" s="30">
        <v>46224</v>
      </c>
      <c r="B2280" s="30"/>
      <c r="C2280" s="31">
        <v>13090010</v>
      </c>
      <c r="D2280" s="30" t="str">
        <f>IFERROR(VLOOKUP(Tabela5[[#This Row],[PREFIXO ]],Tabela4[#All],2,0),"CENTRO DE CUSTO")</f>
        <v>CENTRO DE CUSTO</v>
      </c>
      <c r="E2280" s="33" t="s">
        <v>67</v>
      </c>
      <c r="F2280" s="31">
        <v>235</v>
      </c>
      <c r="G2280" s="32">
        <v>1840</v>
      </c>
      <c r="H2280" s="32"/>
      <c r="I2280" s="32">
        <f t="shared" si="40"/>
        <v>1840</v>
      </c>
      <c r="J2280" s="33" t="s">
        <v>1123</v>
      </c>
      <c r="K2280" s="33" t="s">
        <v>5303</v>
      </c>
      <c r="L2280" s="33" t="s">
        <v>5302</v>
      </c>
      <c r="M2280" s="33"/>
      <c r="N2280" s="30"/>
      <c r="O2280" s="33"/>
      <c r="P2280" s="33"/>
      <c r="Q2280" s="30" t="str" cm="1">
        <f t="array" ref="Q2280">_xlfn.IFS(
A2280="","",
AND(A2280&lt;&gt;"",B2280=""),"FALTA LANÇAMENTO",
AND(B2280&lt;&gt;"",M2280=""),"FALTA O PEDIDO",
AND(M2280&lt;&gt;"",O2280=""),"FALTA NF",
O2280&lt;&gt;"","CONCLUÍDO")</f>
        <v>FALTA LANÇAMENTO</v>
      </c>
      <c r="R2280" s="33"/>
    </row>
    <row r="2281" spans="1:18" hidden="1">
      <c r="A2281" s="30">
        <v>46224</v>
      </c>
      <c r="B2281" s="30"/>
      <c r="C2281" s="31">
        <v>5173116</v>
      </c>
      <c r="D2281" s="30" t="str">
        <f>IFERROR(VLOOKUP(Tabela5[[#This Row],[PREFIXO ]],Tabela4[#All],2,0),"CENTRO DE CUSTO")</f>
        <v>COLHED ALGODÃO JOHN DEERE 7760</v>
      </c>
      <c r="E2281" s="33" t="s">
        <v>67</v>
      </c>
      <c r="F2281" s="31">
        <v>234</v>
      </c>
      <c r="G2281" s="32">
        <v>395.5</v>
      </c>
      <c r="H2281" s="32"/>
      <c r="I2281" s="32">
        <f t="shared" si="40"/>
        <v>395.5</v>
      </c>
      <c r="J2281" s="33" t="s">
        <v>1123</v>
      </c>
      <c r="K2281" s="33" t="s">
        <v>5304</v>
      </c>
      <c r="L2281" s="33" t="s">
        <v>5305</v>
      </c>
      <c r="M2281" s="33"/>
      <c r="N2281" s="30"/>
      <c r="O2281" s="33"/>
      <c r="P2281" s="33"/>
      <c r="Q2281" s="30" t="str" cm="1">
        <f t="array" ref="Q2281">_xlfn.IFS(
A2281="","",
AND(A2281&lt;&gt;"",B2281=""),"FALTA LANÇAMENTO",
AND(B2281&lt;&gt;"",M2281=""),"FALTA O PEDIDO",
AND(M2281&lt;&gt;"",O2281=""),"FALTA NF",
O2281&lt;&gt;"","CONCLUÍDO")</f>
        <v>FALTA LANÇAMENTO</v>
      </c>
      <c r="R2281" s="33"/>
    </row>
    <row r="2282" spans="1:18" hidden="1">
      <c r="A2282" s="30">
        <v>46224</v>
      </c>
      <c r="B2282" s="30"/>
      <c r="C2282" s="31" t="s">
        <v>5306</v>
      </c>
      <c r="D2282" s="30" t="str">
        <f>IFERROR(VLOOKUP(Tabela5[[#This Row],[PREFIXO ]],Tabela4[#All],2,0),"CENTRO DE CUSTO")</f>
        <v>CENTRO DE CUSTO</v>
      </c>
      <c r="E2282" s="33" t="s">
        <v>67</v>
      </c>
      <c r="F2282" s="31">
        <v>233</v>
      </c>
      <c r="G2282" s="32">
        <v>2625.8</v>
      </c>
      <c r="H2282" s="32"/>
      <c r="I2282" s="32">
        <f t="shared" si="40"/>
        <v>2625.8</v>
      </c>
      <c r="J2282" s="33" t="s">
        <v>1123</v>
      </c>
      <c r="K2282" s="33" t="s">
        <v>5307</v>
      </c>
      <c r="L2282" s="33" t="s">
        <v>5302</v>
      </c>
      <c r="M2282" s="33"/>
      <c r="N2282" s="30"/>
      <c r="O2282" s="33"/>
      <c r="P2282" s="33"/>
      <c r="Q2282" s="30" t="str" cm="1">
        <f t="array" ref="Q2282">_xlfn.IFS(
A2282="","",
AND(A2282&lt;&gt;"",B2282=""),"FALTA LANÇAMENTO",
AND(B2282&lt;&gt;"",M2282=""),"FALTA O PEDIDO",
AND(M2282&lt;&gt;"",O2282=""),"FALTA NF",
O2282&lt;&gt;"","CONCLUÍDO")</f>
        <v>FALTA LANÇAMENTO</v>
      </c>
      <c r="R2282" s="33"/>
    </row>
    <row r="2283" spans="1:18" hidden="1">
      <c r="A2283" s="30">
        <v>46224</v>
      </c>
      <c r="B2283" s="30"/>
      <c r="C2283" s="31">
        <v>51521061</v>
      </c>
      <c r="D2283" s="30" t="str">
        <f>IFERROR(VLOOKUP(Tabela5[[#This Row],[PREFIXO ]],Tabela4[#All],2,0),"CENTRO DE CUSTO")</f>
        <v>COLHED ALGODÃO JOHN DEERE CP 690</v>
      </c>
      <c r="E2283" s="33" t="s">
        <v>67</v>
      </c>
      <c r="F2283" s="31">
        <v>232</v>
      </c>
      <c r="G2283" s="32">
        <v>1075.4000000000001</v>
      </c>
      <c r="H2283" s="32"/>
      <c r="I2283" s="32">
        <f t="shared" si="40"/>
        <v>1075.4000000000001</v>
      </c>
      <c r="J2283" s="33" t="s">
        <v>1123</v>
      </c>
      <c r="K2283" s="33" t="s">
        <v>5308</v>
      </c>
      <c r="L2283" s="33" t="s">
        <v>5302</v>
      </c>
      <c r="M2283" s="33"/>
      <c r="N2283" s="30"/>
      <c r="O2283" s="33"/>
      <c r="P2283" s="33"/>
      <c r="Q2283" s="30" t="str" cm="1">
        <f t="array" ref="Q2283">_xlfn.IFS(
A2283="","",
AND(A2283&lt;&gt;"",B2283=""),"FALTA LANÇAMENTO",
AND(B2283&lt;&gt;"",M2283=""),"FALTA O PEDIDO",
AND(M2283&lt;&gt;"",O2283=""),"FALTA NF",
O2283&lt;&gt;"","CONCLUÍDO")</f>
        <v>FALTA LANÇAMENTO</v>
      </c>
      <c r="R2283" s="33"/>
    </row>
    <row r="2284" spans="1:18" hidden="1">
      <c r="A2284" s="30">
        <v>46224</v>
      </c>
      <c r="B2284" s="30">
        <v>46226</v>
      </c>
      <c r="C2284" s="31">
        <v>51521050</v>
      </c>
      <c r="D2284" s="30" t="str">
        <f>IFERROR(VLOOKUP(Tabela5[[#This Row],[PREFIXO ]],Tabela4[#All],2,0),"CENTRO DE CUSTO")</f>
        <v>COLHED ALGODÃO JOHN DEERE CP 690</v>
      </c>
      <c r="E2284" s="33" t="s">
        <v>67</v>
      </c>
      <c r="F2284" s="31">
        <v>231</v>
      </c>
      <c r="G2284" s="32">
        <v>4275</v>
      </c>
      <c r="H2284" s="32"/>
      <c r="I2284" s="32">
        <f t="shared" si="40"/>
        <v>4275</v>
      </c>
      <c r="J2284" s="33" t="s">
        <v>1123</v>
      </c>
      <c r="K2284" s="33" t="s">
        <v>5309</v>
      </c>
      <c r="L2284" s="33" t="s">
        <v>5302</v>
      </c>
      <c r="M2284" s="33"/>
      <c r="N2284" s="30"/>
      <c r="O2284" s="33"/>
      <c r="P2284" s="33"/>
      <c r="Q2284" s="30" t="str" cm="1">
        <f t="array" ref="Q2284">_xlfn.IFS(
A2284="","",
AND(A2284&lt;&gt;"",B2284=""),"FALTA LANÇAMENTO",
AND(B2284&lt;&gt;"",M2284=""),"FALTA O PEDIDO",
AND(M2284&lt;&gt;"",O2284=""),"FALTA NF",
O2284&lt;&gt;"","CONCLUÍDO")</f>
        <v>FALTA O PEDIDO</v>
      </c>
      <c r="R2284" s="33"/>
    </row>
    <row r="2285" spans="1:18" hidden="1">
      <c r="A2285" s="30">
        <v>46224</v>
      </c>
      <c r="B2285" s="30"/>
      <c r="C2285" s="31">
        <v>51521064</v>
      </c>
      <c r="D2285" s="30" t="str">
        <f>IFERROR(VLOOKUP(Tabela5[[#This Row],[PREFIXO ]],Tabela4[#All],2,0),"CENTRO DE CUSTO")</f>
        <v>COLHED ALGODÃO JOHN DEERE CP 690</v>
      </c>
      <c r="E2285" s="33" t="s">
        <v>67</v>
      </c>
      <c r="F2285" s="31">
        <v>230</v>
      </c>
      <c r="G2285" s="32">
        <v>750</v>
      </c>
      <c r="H2285" s="32"/>
      <c r="I2285" s="32">
        <f t="shared" si="40"/>
        <v>750</v>
      </c>
      <c r="J2285" s="33" t="s">
        <v>1123</v>
      </c>
      <c r="K2285" s="33" t="s">
        <v>5310</v>
      </c>
      <c r="L2285" s="33" t="s">
        <v>5311</v>
      </c>
      <c r="M2285" s="33"/>
      <c r="N2285" s="30"/>
      <c r="O2285" s="33"/>
      <c r="P2285" s="33"/>
      <c r="Q2285" s="30" t="str" cm="1">
        <f t="array" ref="Q2285">_xlfn.IFS(
A2285="","",
AND(A2285&lt;&gt;"",B2285=""),"FALTA LANÇAMENTO",
AND(B2285&lt;&gt;"",M2285=""),"FALTA O PEDIDO",
AND(M2285&lt;&gt;"",O2285=""),"FALTA NF",
O2285&lt;&gt;"","CONCLUÍDO")</f>
        <v>FALTA LANÇAMENTO</v>
      </c>
      <c r="R2285" s="33"/>
    </row>
    <row r="2286" spans="1:18" hidden="1">
      <c r="A2286" s="30">
        <v>46224</v>
      </c>
      <c r="B2286" s="30"/>
      <c r="C2286" s="31">
        <v>51521064</v>
      </c>
      <c r="D2286" s="30" t="str">
        <f>IFERROR(VLOOKUP(Tabela5[[#This Row],[PREFIXO ]],Tabela4[#All],2,0),"CENTRO DE CUSTO")</f>
        <v>COLHED ALGODÃO JOHN DEERE CP 690</v>
      </c>
      <c r="E2286" s="33" t="s">
        <v>67</v>
      </c>
      <c r="F2286" s="31">
        <v>229</v>
      </c>
      <c r="G2286" s="32">
        <v>3002.88</v>
      </c>
      <c r="H2286" s="32"/>
      <c r="I2286" s="32">
        <f t="shared" si="40"/>
        <v>3002.88</v>
      </c>
      <c r="J2286" s="33" t="s">
        <v>1123</v>
      </c>
      <c r="K2286" s="33" t="s">
        <v>5312</v>
      </c>
      <c r="L2286" s="33" t="s">
        <v>5311</v>
      </c>
      <c r="M2286" s="33"/>
      <c r="N2286" s="30"/>
      <c r="O2286" s="33"/>
      <c r="P2286" s="33"/>
      <c r="Q2286" s="30" t="str" cm="1">
        <f t="array" ref="Q2286">_xlfn.IFS(
A2286="","",
AND(A2286&lt;&gt;"",B2286=""),"FALTA LANÇAMENTO",
AND(B2286&lt;&gt;"",M2286=""),"FALTA O PEDIDO",
AND(M2286&lt;&gt;"",O2286=""),"FALTA NF",
O2286&lt;&gt;"","CONCLUÍDO")</f>
        <v>FALTA LANÇAMENTO</v>
      </c>
      <c r="R2286" s="33"/>
    </row>
    <row r="2287" spans="1:18" hidden="1">
      <c r="A2287" s="30">
        <v>46224</v>
      </c>
      <c r="B2287" s="30"/>
      <c r="C2287" s="31">
        <v>51521065</v>
      </c>
      <c r="D2287" s="30" t="str">
        <f>IFERROR(VLOOKUP(Tabela5[[#This Row],[PREFIXO ]],Tabela4[#All],2,0),"CENTRO DE CUSTO")</f>
        <v>COLHED ALGODÃO JOHN DEERE CP 690</v>
      </c>
      <c r="E2287" s="33" t="s">
        <v>67</v>
      </c>
      <c r="F2287" s="31">
        <v>228</v>
      </c>
      <c r="G2287" s="32">
        <v>4275</v>
      </c>
      <c r="H2287" s="32"/>
      <c r="I2287" s="32">
        <f t="shared" si="40"/>
        <v>4275</v>
      </c>
      <c r="J2287" s="33" t="s">
        <v>1123</v>
      </c>
      <c r="K2287" s="33" t="s">
        <v>5313</v>
      </c>
      <c r="L2287" s="33" t="s">
        <v>5311</v>
      </c>
      <c r="M2287" s="33"/>
      <c r="N2287" s="30"/>
      <c r="O2287" s="33"/>
      <c r="P2287" s="33"/>
      <c r="Q2287" s="30" t="str" cm="1">
        <f t="array" ref="Q2287">_xlfn.IFS(
A2287="","",
AND(A2287&lt;&gt;"",B2287=""),"FALTA LANÇAMENTO",
AND(B2287&lt;&gt;"",M2287=""),"FALTA O PEDIDO",
AND(M2287&lt;&gt;"",O2287=""),"FALTA NF",
O2287&lt;&gt;"","CONCLUÍDO")</f>
        <v>FALTA LANÇAMENTO</v>
      </c>
      <c r="R2287" s="33"/>
    </row>
    <row r="2288" spans="1:18" hidden="1">
      <c r="A2288" s="30">
        <v>46224</v>
      </c>
      <c r="B2288" s="30"/>
      <c r="C2288" s="31">
        <v>5173118</v>
      </c>
      <c r="D2288" s="30" t="str">
        <f>IFERROR(VLOOKUP(Tabela5[[#This Row],[PREFIXO ]],Tabela4[#All],2,0),"CENTRO DE CUSTO")</f>
        <v>COLHED ALGODÃO JOHN DEERE 7760</v>
      </c>
      <c r="E2288" s="33" t="s">
        <v>67</v>
      </c>
      <c r="F2288" s="31">
        <v>227</v>
      </c>
      <c r="G2288" s="32">
        <v>1610</v>
      </c>
      <c r="H2288" s="32"/>
      <c r="I2288" s="32">
        <f t="shared" si="40"/>
        <v>1610</v>
      </c>
      <c r="J2288" s="33" t="s">
        <v>1123</v>
      </c>
      <c r="K2288" s="33" t="s">
        <v>5314</v>
      </c>
      <c r="L2288" s="33" t="s">
        <v>5311</v>
      </c>
      <c r="M2288" s="33"/>
      <c r="N2288" s="30"/>
      <c r="O2288" s="33"/>
      <c r="P2288" s="33"/>
      <c r="Q2288" s="30" t="str" cm="1">
        <f t="array" ref="Q2288">_xlfn.IFS(
A2288="","",
AND(A2288&lt;&gt;"",B2288=""),"FALTA LANÇAMENTO",
AND(B2288&lt;&gt;"",M2288=""),"FALTA O PEDIDO",
AND(M2288&lt;&gt;"",O2288=""),"FALTA NF",
O2288&lt;&gt;"","CONCLUÍDO")</f>
        <v>FALTA LANÇAMENTO</v>
      </c>
      <c r="R2288" s="33"/>
    </row>
    <row r="2289" spans="1:18" hidden="1">
      <c r="A2289" s="30">
        <v>46224</v>
      </c>
      <c r="B2289" s="30"/>
      <c r="C2289" s="31">
        <v>1173022</v>
      </c>
      <c r="D2289" s="30" t="str">
        <f>IFERROR(VLOOKUP(Tabela5[[#This Row],[PREFIXO ]],Tabela4[#All],2,0),"CENTRO DE CUSTO")</f>
        <v>TRAT PN MED N.HOLLAND 7630</v>
      </c>
      <c r="E2289" s="33" t="s">
        <v>67</v>
      </c>
      <c r="F2289" s="31">
        <v>226</v>
      </c>
      <c r="G2289" s="32">
        <v>1350</v>
      </c>
      <c r="H2289" s="32"/>
      <c r="I2289" s="32">
        <f t="shared" si="40"/>
        <v>1350</v>
      </c>
      <c r="J2289" s="33" t="s">
        <v>1123</v>
      </c>
      <c r="K2289" s="33" t="s">
        <v>5315</v>
      </c>
      <c r="L2289" s="33" t="s">
        <v>5305</v>
      </c>
      <c r="M2289" s="33"/>
      <c r="N2289" s="30"/>
      <c r="O2289" s="33"/>
      <c r="P2289" s="33"/>
      <c r="Q2289" s="30" t="str" cm="1">
        <f t="array" ref="Q2289">_xlfn.IFS(
A2289="","",
AND(A2289&lt;&gt;"",B2289=""),"FALTA LANÇAMENTO",
AND(B2289&lt;&gt;"",M2289=""),"FALTA O PEDIDO",
AND(M2289&lt;&gt;"",O2289=""),"FALTA NF",
O2289&lt;&gt;"","CONCLUÍDO")</f>
        <v>FALTA LANÇAMENTO</v>
      </c>
      <c r="R2289" s="33"/>
    </row>
    <row r="2290" spans="1:18" hidden="1">
      <c r="A2290" s="30">
        <v>46224</v>
      </c>
      <c r="B2290" s="30"/>
      <c r="C2290" s="31">
        <v>51521059</v>
      </c>
      <c r="D2290" s="30" t="str">
        <f>IFERROR(VLOOKUP(Tabela5[[#This Row],[PREFIXO ]],Tabela4[#All],2,0),"CENTRO DE CUSTO")</f>
        <v>COLHED ALGODÃO JOHN DEERE CP 690</v>
      </c>
      <c r="E2290" s="33" t="s">
        <v>67</v>
      </c>
      <c r="F2290" s="31">
        <v>225</v>
      </c>
      <c r="G2290" s="32">
        <v>1150</v>
      </c>
      <c r="H2290" s="32"/>
      <c r="I2290" s="32">
        <f t="shared" si="40"/>
        <v>1150</v>
      </c>
      <c r="J2290" s="33" t="s">
        <v>1123</v>
      </c>
      <c r="K2290" s="33" t="s">
        <v>5316</v>
      </c>
      <c r="L2290" s="33" t="s">
        <v>5305</v>
      </c>
      <c r="M2290" s="33"/>
      <c r="N2290" s="30"/>
      <c r="O2290" s="33"/>
      <c r="P2290" s="33"/>
      <c r="Q2290" s="30" t="str" cm="1">
        <f t="array" ref="Q2290">_xlfn.IFS(
A2290="","",
AND(A2290&lt;&gt;"",B2290=""),"FALTA LANÇAMENTO",
AND(B2290&lt;&gt;"",M2290=""),"FALTA O PEDIDO",
AND(M2290&lt;&gt;"",O2290=""),"FALTA NF",
O2290&lt;&gt;"","CONCLUÍDO")</f>
        <v>FALTA LANÇAMENTO</v>
      </c>
      <c r="R2290" s="33"/>
    </row>
    <row r="2291" spans="1:18" hidden="1">
      <c r="A2291" s="30">
        <v>46224</v>
      </c>
      <c r="B2291" s="30"/>
      <c r="C2291" s="31">
        <v>51521043</v>
      </c>
      <c r="D2291" s="30" t="str">
        <f>IFERROR(VLOOKUP(Tabela5[[#This Row],[PREFIXO ]],Tabela4[#All],2,0),"CENTRO DE CUSTO")</f>
        <v>COLHED ALGODÃO JOHN DEERE CP 690</v>
      </c>
      <c r="E2291" s="33" t="s">
        <v>67</v>
      </c>
      <c r="F2291" s="31">
        <v>224</v>
      </c>
      <c r="G2291" s="32">
        <v>2542.88</v>
      </c>
      <c r="H2291" s="32"/>
      <c r="I2291" s="32">
        <f t="shared" si="40"/>
        <v>2542.88</v>
      </c>
      <c r="J2291" s="33" t="s">
        <v>1123</v>
      </c>
      <c r="K2291" s="33" t="s">
        <v>5317</v>
      </c>
      <c r="L2291" s="33" t="s">
        <v>5305</v>
      </c>
      <c r="M2291" s="33"/>
      <c r="N2291" s="30"/>
      <c r="O2291" s="33"/>
      <c r="P2291" s="33"/>
      <c r="Q2291" s="30" t="str" cm="1">
        <f t="array" ref="Q2291">_xlfn.IFS(
A2291="","",
AND(A2291&lt;&gt;"",B2291=""),"FALTA LANÇAMENTO",
AND(B2291&lt;&gt;"",M2291=""),"FALTA O PEDIDO",
AND(M2291&lt;&gt;"",O2291=""),"FALTA NF",
O2291&lt;&gt;"","CONCLUÍDO")</f>
        <v>FALTA LANÇAMENTO</v>
      </c>
      <c r="R2291" s="33"/>
    </row>
    <row r="2292" spans="1:18" hidden="1">
      <c r="A2292" s="30">
        <v>46224</v>
      </c>
      <c r="B2292" s="30">
        <v>46226</v>
      </c>
      <c r="C2292" s="31">
        <v>31521029</v>
      </c>
      <c r="D2292" s="30" t="str">
        <f>IFERROR(VLOOKUP(Tabela5[[#This Row],[PREFIXO ]],Tabela4[#All],2,0),"CENTRO DE CUSTO")</f>
        <v>PULV AUTOPROP JACTO UNIPORT 3030</v>
      </c>
      <c r="E2292" s="33" t="s">
        <v>49</v>
      </c>
      <c r="F2292" s="31" t="s">
        <v>5318</v>
      </c>
      <c r="G2292" s="32">
        <v>500</v>
      </c>
      <c r="H2292" s="32"/>
      <c r="I2292" s="32">
        <f t="shared" si="40"/>
        <v>500</v>
      </c>
      <c r="J2292" s="33" t="s">
        <v>1080</v>
      </c>
      <c r="K2292" s="33" t="s">
        <v>5319</v>
      </c>
      <c r="L2292" s="33" t="s">
        <v>5275</v>
      </c>
      <c r="M2292" s="33"/>
      <c r="N2292" s="30"/>
      <c r="O2292" s="33"/>
      <c r="P2292" s="33"/>
      <c r="Q2292" s="30" t="str" cm="1">
        <f t="array" ref="Q2292">_xlfn.IFS(
A2292="","",
AND(A2292&lt;&gt;"",B2292=""),"FALTA LANÇAMENTO",
AND(B2292&lt;&gt;"",M2292=""),"FALTA O PEDIDO",
AND(M2292&lt;&gt;"",O2292=""),"FALTA NF",
O2292&lt;&gt;"","CONCLUÍDO")</f>
        <v>FALTA O PEDIDO</v>
      </c>
      <c r="R2292" s="33"/>
    </row>
    <row r="2293" spans="1:18" hidden="1">
      <c r="A2293" s="30">
        <v>46224</v>
      </c>
      <c r="B2293" s="30"/>
      <c r="C2293" s="31">
        <v>13150026</v>
      </c>
      <c r="D2293" s="30" t="str">
        <f>IFERROR(VLOOKUP(Tabela5[[#This Row],[PREFIXO ]],Tabela4[#All],2,0),"CENTRO DE CUSTO")</f>
        <v>CENTRO DE CUSTO</v>
      </c>
      <c r="E2293" s="33" t="s">
        <v>96</v>
      </c>
      <c r="F2293" s="31" t="s">
        <v>5320</v>
      </c>
      <c r="G2293" s="32">
        <v>1525.5</v>
      </c>
      <c r="H2293" s="32">
        <v>765.86</v>
      </c>
      <c r="I2293" s="32">
        <f t="shared" si="40"/>
        <v>2291.36</v>
      </c>
      <c r="J2293" s="33" t="s">
        <v>1080</v>
      </c>
      <c r="K2293" s="33"/>
      <c r="L2293" s="33"/>
      <c r="M2293" s="33"/>
      <c r="N2293" s="30"/>
      <c r="O2293" s="33"/>
      <c r="P2293" s="33"/>
      <c r="Q2293" s="30" t="str" cm="1">
        <f t="array" ref="Q2293">_xlfn.IFS(
A2293="","",
AND(A2293&lt;&gt;"",B2293=""),"FALTA LANÇAMENTO",
AND(B2293&lt;&gt;"",M2293=""),"FALTA O PEDIDO",
AND(M2293&lt;&gt;"",O2293=""),"FALTA NF",
O2293&lt;&gt;"","CONCLUÍDO")</f>
        <v>FALTA LANÇAMENTO</v>
      </c>
      <c r="R2293" s="33"/>
    </row>
    <row r="2294" spans="1:18" hidden="1">
      <c r="A2294" s="30">
        <v>46224</v>
      </c>
      <c r="B2294" s="30"/>
      <c r="C2294" s="31">
        <v>13150027</v>
      </c>
      <c r="D2294" s="30" t="str">
        <f>IFERROR(VLOOKUP(Tabela5[[#This Row],[PREFIXO ]],Tabela4[#All],2,0),"CENTRO DE CUSTO")</f>
        <v>CENTRO DE CUSTO</v>
      </c>
      <c r="E2294" s="33" t="s">
        <v>96</v>
      </c>
      <c r="F2294" s="31" t="s">
        <v>5321</v>
      </c>
      <c r="G2294" s="32">
        <v>1170</v>
      </c>
      <c r="H2294" s="32">
        <v>509.08</v>
      </c>
      <c r="I2294" s="32">
        <f t="shared" si="40"/>
        <v>1679.08</v>
      </c>
      <c r="J2294" s="33" t="s">
        <v>1080</v>
      </c>
      <c r="K2294" s="33"/>
      <c r="L2294" s="33"/>
      <c r="M2294" s="33"/>
      <c r="N2294" s="30"/>
      <c r="O2294" s="33"/>
      <c r="P2294" s="33"/>
      <c r="Q2294" s="30" t="str" cm="1">
        <f t="array" ref="Q2294">_xlfn.IFS(
A2294="","",
AND(A2294&lt;&gt;"",B2294=""),"FALTA LANÇAMENTO",
AND(B2294&lt;&gt;"",M2294=""),"FALTA O PEDIDO",
AND(M2294&lt;&gt;"",O2294=""),"FALTA NF",
O2294&lt;&gt;"","CONCLUÍDO")</f>
        <v>FALTA LANÇAMENTO</v>
      </c>
      <c r="R2294" s="33"/>
    </row>
    <row r="2295" spans="1:18" hidden="1">
      <c r="A2295" s="30">
        <v>46224</v>
      </c>
      <c r="B2295" s="30"/>
      <c r="C2295" s="31">
        <v>61521090</v>
      </c>
      <c r="D2295" s="30" t="str">
        <f>IFERROR(VLOOKUP(Tabela5[[#This Row],[PREFIXO ]],Tabela4[#All],2,0),"CENTRO DE CUSTO")</f>
        <v>PA CARREGADEIRA JOHN DEERE 524 K II</v>
      </c>
      <c r="E2295" s="33" t="s">
        <v>96</v>
      </c>
      <c r="F2295" s="31" t="s">
        <v>5322</v>
      </c>
      <c r="G2295" s="32">
        <v>100</v>
      </c>
      <c r="H2295" s="32">
        <v>528.28</v>
      </c>
      <c r="I2295" s="32">
        <f t="shared" si="40"/>
        <v>628.28</v>
      </c>
      <c r="J2295" s="33" t="s">
        <v>1080</v>
      </c>
      <c r="K2295" s="33"/>
      <c r="L2295" s="33"/>
      <c r="M2295" s="33"/>
      <c r="N2295" s="30"/>
      <c r="O2295" s="33"/>
      <c r="P2295" s="33"/>
      <c r="Q2295" s="30" t="str" cm="1">
        <f t="array" ref="Q2295">_xlfn.IFS(
A2295="","",
AND(A2295&lt;&gt;"",B2295=""),"FALTA LANÇAMENTO",
AND(B2295&lt;&gt;"",M2295=""),"FALTA O PEDIDO",
AND(M2295&lt;&gt;"",O2295=""),"FALTA NF",
O2295&lt;&gt;"","CONCLUÍDO")</f>
        <v>FALTA LANÇAMENTO</v>
      </c>
      <c r="R2295" s="33"/>
    </row>
    <row r="2296" spans="1:18" hidden="1">
      <c r="A2296" s="30">
        <v>46224</v>
      </c>
      <c r="B2296" s="30">
        <v>46224</v>
      </c>
      <c r="C2296" s="31">
        <v>23110001</v>
      </c>
      <c r="D2296" s="30" t="str">
        <f>IFERROR(VLOOKUP(Tabela5[[#This Row],[PREFIXO ]],Tabela4[#All],2,0),"CENTRO DE CUSTO")</f>
        <v>TRAT PN EXT PES FENDT VARIO 1050</v>
      </c>
      <c r="E2296" s="18" t="s">
        <v>259</v>
      </c>
      <c r="F2296" s="31">
        <v>63301863</v>
      </c>
      <c r="G2296" s="32"/>
      <c r="H2296" s="32">
        <v>168.95</v>
      </c>
      <c r="I2296" s="32">
        <f t="shared" ref="I2296:I2304" si="41">G2296+H2296</f>
        <v>168.95</v>
      </c>
      <c r="J2296" s="18" t="s">
        <v>1199</v>
      </c>
      <c r="K2296" s="33" t="s">
        <v>5323</v>
      </c>
      <c r="L2296" s="33" t="s">
        <v>5220</v>
      </c>
      <c r="M2296" s="33"/>
      <c r="N2296" s="30"/>
      <c r="O2296" s="33"/>
      <c r="P2296" s="33"/>
      <c r="Q2296" s="30" t="str" cm="1">
        <f t="array" ref="Q2296">_xlfn.IFS(
A2296="","",
AND(A2296&lt;&gt;"",B2296=""),"FALTA LANÇAMENTO",
AND(B2296&lt;&gt;"",M2296=""),"FALTA O PEDIDO",
AND(M2296&lt;&gt;"",O2296=""),"FALTA NF",
O2296&lt;&gt;"","CONCLUÍDO")</f>
        <v>FALTA O PEDIDO</v>
      </c>
      <c r="R2296" s="33"/>
    </row>
    <row r="2297" spans="1:18" hidden="1">
      <c r="A2297" s="30">
        <v>46217</v>
      </c>
      <c r="B2297" s="30"/>
      <c r="C2297" s="31">
        <v>17320834</v>
      </c>
      <c r="D2297" s="30" t="str">
        <f>IFERROR(VLOOKUP(Tabela5[[#This Row],[PREFIXO ]],Tabela4[#All],2,0),"CENTRO DE CUSTO")</f>
        <v>PLANTADEIRA CASE IH FAST RISER 6100</v>
      </c>
      <c r="E2297" s="33" t="s">
        <v>311</v>
      </c>
      <c r="F2297" s="31">
        <v>818</v>
      </c>
      <c r="G2297" s="32">
        <v>4417</v>
      </c>
      <c r="H2297" s="32"/>
      <c r="I2297" s="32">
        <f t="shared" si="41"/>
        <v>4417</v>
      </c>
      <c r="J2297" s="18" t="s">
        <v>1199</v>
      </c>
      <c r="K2297" s="33"/>
      <c r="L2297" s="33"/>
      <c r="M2297" s="33"/>
      <c r="N2297" s="30"/>
      <c r="O2297" s="33"/>
      <c r="P2297" s="33"/>
      <c r="Q2297" s="30" t="str" cm="1">
        <f t="array" ref="Q2297">_xlfn.IFS(
A2297="","",
AND(A2297&lt;&gt;"",B2297=""),"FALTA LANÇAMENTO",
AND(B2297&lt;&gt;"",M2297=""),"FALTA O PEDIDO",
AND(M2297&lt;&gt;"",O2297=""),"FALTA NF",
O2297&lt;&gt;"","CONCLUÍDO")</f>
        <v>FALTA LANÇAMENTO</v>
      </c>
      <c r="R2297" s="33"/>
    </row>
    <row r="2298" spans="1:18" hidden="1">
      <c r="A2298" s="30">
        <v>46218</v>
      </c>
      <c r="B2298" s="30"/>
      <c r="C2298" s="31">
        <v>13320835</v>
      </c>
      <c r="D2298" s="30" t="str">
        <f>IFERROR(VLOOKUP(Tabela5[[#This Row],[PREFIXO ]],Tabela4[#All],2,0),"CENTRO DE CUSTO")</f>
        <v>CENTRO DE CUSTO</v>
      </c>
      <c r="E2298" s="33" t="s">
        <v>311</v>
      </c>
      <c r="F2298" s="31">
        <v>817</v>
      </c>
      <c r="G2298" s="32">
        <v>4417</v>
      </c>
      <c r="H2298" s="32"/>
      <c r="I2298" s="32">
        <f t="shared" si="41"/>
        <v>4417</v>
      </c>
      <c r="J2298" s="18" t="s">
        <v>1199</v>
      </c>
      <c r="K2298" s="33"/>
      <c r="L2298" s="33"/>
      <c r="M2298" s="33"/>
      <c r="N2298" s="30"/>
      <c r="O2298" s="33"/>
      <c r="P2298" s="33"/>
      <c r="Q2298" s="30" t="str" cm="1">
        <f t="array" ref="Q2298">_xlfn.IFS(
A2298="","",
AND(A2298&lt;&gt;"",B2298=""),"FALTA LANÇAMENTO",
AND(B2298&lt;&gt;"",M2298=""),"FALTA O PEDIDO",
AND(M2298&lt;&gt;"",O2298=""),"FALTA NF",
O2298&lt;&gt;"","CONCLUÍDO")</f>
        <v>FALTA LANÇAMENTO</v>
      </c>
      <c r="R2298" s="33"/>
    </row>
    <row r="2299" spans="1:18" hidden="1">
      <c r="A2299" s="30">
        <v>46219</v>
      </c>
      <c r="B2299" s="30"/>
      <c r="C2299" s="31">
        <v>17320837</v>
      </c>
      <c r="D2299" s="30" t="str">
        <f>IFERROR(VLOOKUP(Tabela5[[#This Row],[PREFIXO ]],Tabela4[#All],2,0),"CENTRO DE CUSTO")</f>
        <v>PLANTADEIRA CASE IH FAST RISER 6100</v>
      </c>
      <c r="E2299" s="33" t="s">
        <v>311</v>
      </c>
      <c r="F2299" s="31">
        <v>816</v>
      </c>
      <c r="G2299" s="32">
        <v>4417</v>
      </c>
      <c r="H2299" s="32"/>
      <c r="I2299" s="32">
        <f t="shared" si="41"/>
        <v>4417</v>
      </c>
      <c r="J2299" s="18" t="s">
        <v>1199</v>
      </c>
      <c r="K2299" s="33"/>
      <c r="L2299" s="33"/>
      <c r="M2299" s="33"/>
      <c r="N2299" s="30"/>
      <c r="O2299" s="33"/>
      <c r="P2299" s="33"/>
      <c r="Q2299" s="30" t="str" cm="1">
        <f t="array" ref="Q2299">_xlfn.IFS(
A2299="","",
AND(A2299&lt;&gt;"",B2299=""),"FALTA LANÇAMENTO",
AND(B2299&lt;&gt;"",M2299=""),"FALTA O PEDIDO",
AND(M2299&lt;&gt;"",O2299=""),"FALTA NF",
O2299&lt;&gt;"","CONCLUÍDO")</f>
        <v>FALTA LANÇAMENTO</v>
      </c>
      <c r="R2299" s="33"/>
    </row>
    <row r="2300" spans="1:18" hidden="1">
      <c r="A2300" s="30">
        <v>46220</v>
      </c>
      <c r="B2300" s="30"/>
      <c r="C2300" s="31">
        <v>17320832</v>
      </c>
      <c r="D2300" s="30" t="str">
        <f>IFERROR(VLOOKUP(Tabela5[[#This Row],[PREFIXO ]],Tabela4[#All],2,0),"CENTRO DE CUSTO")</f>
        <v>PLANTADEIRA CASE IH FAST RISER 6100</v>
      </c>
      <c r="E2300" s="33" t="s">
        <v>311</v>
      </c>
      <c r="F2300" s="31">
        <v>815</v>
      </c>
      <c r="G2300" s="32">
        <v>4417</v>
      </c>
      <c r="H2300" s="32"/>
      <c r="I2300" s="32">
        <f t="shared" si="41"/>
        <v>4417</v>
      </c>
      <c r="J2300" s="18" t="s">
        <v>1199</v>
      </c>
      <c r="K2300" s="33"/>
      <c r="L2300" s="33"/>
      <c r="M2300" s="33"/>
      <c r="N2300" s="30"/>
      <c r="O2300" s="33"/>
      <c r="P2300" s="33"/>
      <c r="Q2300" s="30" t="str" cm="1">
        <f t="array" ref="Q2300">_xlfn.IFS(
A2300="","",
AND(A2300&lt;&gt;"",B2300=""),"FALTA LANÇAMENTO",
AND(B2300&lt;&gt;"",M2300=""),"FALTA O PEDIDO",
AND(M2300&lt;&gt;"",O2300=""),"FALTA NF",
O2300&lt;&gt;"","CONCLUÍDO")</f>
        <v>FALTA LANÇAMENTO</v>
      </c>
      <c r="R2300" s="33"/>
    </row>
    <row r="2301" spans="1:18" hidden="1">
      <c r="A2301" s="30">
        <v>46221</v>
      </c>
      <c r="B2301" s="30"/>
      <c r="C2301" s="31">
        <v>17320833</v>
      </c>
      <c r="D2301" s="30" t="str">
        <f>IFERROR(VLOOKUP(Tabela5[[#This Row],[PREFIXO ]],Tabela4[#All],2,0),"CENTRO DE CUSTO")</f>
        <v>PLANTADEIRA CASE IH FAST RISER 6100</v>
      </c>
      <c r="E2301" s="33" t="s">
        <v>311</v>
      </c>
      <c r="F2301" s="31">
        <v>819</v>
      </c>
      <c r="G2301" s="32">
        <v>4417</v>
      </c>
      <c r="H2301" s="32"/>
      <c r="I2301" s="32">
        <f t="shared" si="41"/>
        <v>4417</v>
      </c>
      <c r="J2301" s="18" t="s">
        <v>1199</v>
      </c>
      <c r="K2301" s="33"/>
      <c r="L2301" s="33"/>
      <c r="M2301" s="33"/>
      <c r="N2301" s="30"/>
      <c r="O2301" s="33"/>
      <c r="P2301" s="33"/>
      <c r="Q2301" s="30" t="str" cm="1">
        <f t="array" ref="Q2301">_xlfn.IFS(
A2301="","",
AND(A2301&lt;&gt;"",B2301=""),"FALTA LANÇAMENTO",
AND(B2301&lt;&gt;"",M2301=""),"FALTA O PEDIDO",
AND(M2301&lt;&gt;"",O2301=""),"FALTA NF",
O2301&lt;&gt;"","CONCLUÍDO")</f>
        <v>FALTA LANÇAMENTO</v>
      </c>
      <c r="R2301" s="33"/>
    </row>
    <row r="2302" spans="1:18" hidden="1">
      <c r="A2302" s="30">
        <v>46222</v>
      </c>
      <c r="B2302" s="30"/>
      <c r="C2302" s="31">
        <v>85048102</v>
      </c>
      <c r="D2302" s="30" t="str">
        <f>IFERROR(VLOOKUP(Tabela5[[#This Row],[PREFIXO ]],Tabela4[#All],2,0),"CENTRO DE CUSTO")</f>
        <v>CENTRO DE CUSTO</v>
      </c>
      <c r="E2302" s="33" t="s">
        <v>311</v>
      </c>
      <c r="F2302" s="31">
        <v>814</v>
      </c>
      <c r="G2302" s="32">
        <v>4092</v>
      </c>
      <c r="H2302" s="32"/>
      <c r="I2302" s="32">
        <f t="shared" si="41"/>
        <v>4092</v>
      </c>
      <c r="J2302" s="18" t="s">
        <v>1199</v>
      </c>
      <c r="K2302" s="33"/>
      <c r="L2302" s="33"/>
      <c r="M2302" s="33"/>
      <c r="N2302" s="30"/>
      <c r="O2302" s="33"/>
      <c r="P2302" s="33"/>
      <c r="Q2302" s="30" t="str" cm="1">
        <f t="array" ref="Q2302">_xlfn.IFS(
A2302="","",
AND(A2302&lt;&gt;"",B2302=""),"FALTA LANÇAMENTO",
AND(B2302&lt;&gt;"",M2302=""),"FALTA O PEDIDO",
AND(M2302&lt;&gt;"",O2302=""),"FALTA NF",
O2302&lt;&gt;"","CONCLUÍDO")</f>
        <v>FALTA LANÇAMENTO</v>
      </c>
      <c r="R2302" s="33"/>
    </row>
    <row r="2303" spans="1:18" hidden="1">
      <c r="A2303" s="30">
        <v>46223</v>
      </c>
      <c r="B2303" s="30"/>
      <c r="C2303" s="31">
        <v>85048095</v>
      </c>
      <c r="D2303" s="30" t="str">
        <f>IFERROR(VLOOKUP(Tabela5[[#This Row],[PREFIXO ]],Tabela4[#All],2,0),"CENTRO DE CUSTO")</f>
        <v>PLANT GRÃOS JOHN DEERE DB90 ME 60 LINHAS</v>
      </c>
      <c r="E2303" s="33" t="s">
        <v>311</v>
      </c>
      <c r="F2303" s="31">
        <v>813</v>
      </c>
      <c r="G2303" s="32">
        <v>4092</v>
      </c>
      <c r="H2303" s="32"/>
      <c r="I2303" s="32">
        <f t="shared" si="41"/>
        <v>4092</v>
      </c>
      <c r="J2303" s="18" t="s">
        <v>1199</v>
      </c>
      <c r="K2303" s="33"/>
      <c r="L2303" s="33"/>
      <c r="M2303" s="33"/>
      <c r="N2303" s="30"/>
      <c r="O2303" s="33"/>
      <c r="P2303" s="33"/>
      <c r="Q2303" s="30" t="str" cm="1">
        <f t="array" ref="Q2303">_xlfn.IFS(
A2303="","",
AND(A2303&lt;&gt;"",B2303=""),"FALTA LANÇAMENTO",
AND(B2303&lt;&gt;"",M2303=""),"FALTA O PEDIDO",
AND(M2303&lt;&gt;"",O2303=""),"FALTA NF",
O2303&lt;&gt;"","CONCLUÍDO")</f>
        <v>FALTA LANÇAMENTO</v>
      </c>
      <c r="R2303" s="33"/>
    </row>
    <row r="2304" spans="1:18" hidden="1">
      <c r="A2304" s="30">
        <v>46224</v>
      </c>
      <c r="B2304" s="30"/>
      <c r="C2304" s="31">
        <v>85048096</v>
      </c>
      <c r="D2304" s="30" t="str">
        <f>IFERROR(VLOOKUP(Tabela5[[#This Row],[PREFIXO ]],Tabela4[#All],2,0),"CENTRO DE CUSTO")</f>
        <v>CENTRO DE CUSTO</v>
      </c>
      <c r="E2304" s="33" t="s">
        <v>311</v>
      </c>
      <c r="F2304" s="31">
        <v>812</v>
      </c>
      <c r="G2304" s="32">
        <v>4092</v>
      </c>
      <c r="H2304" s="32"/>
      <c r="I2304" s="32">
        <f t="shared" si="41"/>
        <v>4092</v>
      </c>
      <c r="J2304" s="18" t="s">
        <v>1199</v>
      </c>
      <c r="K2304" s="33"/>
      <c r="L2304" s="33"/>
      <c r="M2304" s="33"/>
      <c r="N2304" s="30"/>
      <c r="O2304" s="33"/>
      <c r="P2304" s="33"/>
      <c r="Q2304" s="30" t="str" cm="1">
        <f t="array" ref="Q2304">_xlfn.IFS(
A2304="","",
AND(A2304&lt;&gt;"",B2304=""),"FALTA LANÇAMENTO",
AND(B2304&lt;&gt;"",M2304=""),"FALTA O PEDIDO",
AND(M2304&lt;&gt;"",O2304=""),"FALTA NF",
O2304&lt;&gt;"","CONCLUÍDO")</f>
        <v>FALTA LANÇAMENTO</v>
      </c>
      <c r="R2304" s="33"/>
    </row>
    <row r="2305" spans="1:18" hidden="1">
      <c r="A2305" s="30">
        <v>46226</v>
      </c>
      <c r="B2305" s="30"/>
      <c r="C2305" s="31">
        <v>1173009</v>
      </c>
      <c r="D2305" s="30" t="str">
        <f>IFERROR(VLOOKUP(Tabela5[[#This Row],[PREFIXO ]],Tabela4[#All],2,0),"CENTRO DE CUSTO")</f>
        <v>TRAT PN MED N.HOLLAND 7630</v>
      </c>
      <c r="E2305" s="33" t="s">
        <v>148</v>
      </c>
      <c r="F2305" s="31">
        <v>224</v>
      </c>
      <c r="G2305" s="32">
        <v>1530</v>
      </c>
      <c r="H2305" s="32"/>
      <c r="I2305" s="32">
        <f>G2305+H2305</f>
        <v>1530</v>
      </c>
      <c r="J2305" s="18" t="s">
        <v>1199</v>
      </c>
      <c r="K2305" s="33"/>
      <c r="L2305" s="33"/>
      <c r="M2305" s="33"/>
      <c r="N2305" s="30"/>
      <c r="O2305" s="33"/>
      <c r="P2305" s="33"/>
      <c r="Q2305" s="30" t="str" cm="1">
        <f t="array" ref="Q2305">_xlfn.IFS(
A2305="","",
AND(A2305&lt;&gt;"",B2305=""),"FALTA LANÇAMENTO",
AND(B2305&lt;&gt;"",M2305=""),"FALTA O PEDIDO",
AND(M2305&lt;&gt;"",O2305=""),"FALTA NF",
O2305&lt;&gt;"","CONCLUÍDO")</f>
        <v>FALTA LANÇAMENTO</v>
      </c>
      <c r="R2305" s="33"/>
    </row>
    <row r="2306" spans="1:18" hidden="1">
      <c r="A2306" s="30">
        <v>46226</v>
      </c>
      <c r="B2306" s="30"/>
      <c r="C2306" s="31">
        <v>61521080</v>
      </c>
      <c r="D2306" s="30" t="str">
        <f>IFERROR(VLOOKUP(Tabela5[[#This Row],[PREFIXO ]],Tabela4[#All],2,0),"CENTRO DE CUSTO")</f>
        <v>CAV MEC EXT PES VOLVO FH 540</v>
      </c>
      <c r="E2306" s="33" t="s">
        <v>260</v>
      </c>
      <c r="F2306" s="31">
        <v>197517</v>
      </c>
      <c r="G2306" s="32">
        <v>100</v>
      </c>
      <c r="H2306" s="32"/>
      <c r="I2306" s="32">
        <f>G2306+H2306</f>
        <v>100</v>
      </c>
      <c r="J2306" s="33" t="s">
        <v>1085</v>
      </c>
      <c r="K2306" s="33"/>
      <c r="L2306" s="33"/>
      <c r="M2306" s="33"/>
      <c r="N2306" s="30"/>
      <c r="O2306" s="33"/>
      <c r="P2306" s="33"/>
      <c r="Q2306" s="30" t="str" cm="1">
        <f t="array" ref="Q2306">_xlfn.IFS(
A2306="","",
AND(A2306&lt;&gt;"",B2306=""),"FALTA LANÇAMENTO",
AND(B2306&lt;&gt;"",M2306=""),"FALTA O PEDIDO",
AND(M2306&lt;&gt;"",O2306=""),"FALTA NF",
O2306&lt;&gt;"","CONCLUÍDO")</f>
        <v>FALTA LANÇAMENTO</v>
      </c>
      <c r="R2306" s="33"/>
    </row>
    <row r="2307" spans="1:18" hidden="1">
      <c r="A2307" s="30">
        <v>46226</v>
      </c>
      <c r="B2307" s="30"/>
      <c r="C2307" s="31">
        <v>61521001</v>
      </c>
      <c r="D2307" s="30" t="str">
        <f>IFERROR(VLOOKUP(Tabela5[[#This Row],[PREFIXO ]],Tabela4[#All],2,0),"CENTRO DE CUSTO")</f>
        <v>ONIB COLETIVO VW 17230 CAIO APACH</v>
      </c>
      <c r="E2307" s="33" t="s">
        <v>24</v>
      </c>
      <c r="F2307" s="31">
        <v>18105</v>
      </c>
      <c r="G2307" s="32">
        <v>118.8</v>
      </c>
      <c r="H2307" s="32"/>
      <c r="I2307" s="32">
        <f>G2307+H2307</f>
        <v>118.8</v>
      </c>
      <c r="J2307" s="33" t="s">
        <v>1085</v>
      </c>
      <c r="K2307" s="33"/>
      <c r="L2307" s="33"/>
      <c r="M2307" s="33"/>
      <c r="N2307" s="30"/>
      <c r="O2307" s="33"/>
      <c r="P2307" s="33"/>
      <c r="Q2307" s="30" t="str" cm="1">
        <f t="array" ref="Q2307">_xlfn.IFS(
A2307="","",
AND(A2307&lt;&gt;"",B2307=""),"FALTA LANÇAMENTO",
AND(B2307&lt;&gt;"",M2307=""),"FALTA O PEDIDO",
AND(M2307&lt;&gt;"",O2307=""),"FALTA NF",
O2307&lt;&gt;"","CONCLUÍDO")</f>
        <v>FALTA LANÇAMENTO</v>
      </c>
      <c r="R2307" s="33"/>
    </row>
    <row r="2308" spans="1:18" hidden="1">
      <c r="A2308" s="30">
        <v>46226</v>
      </c>
      <c r="B2308" s="30"/>
      <c r="C2308" s="31">
        <v>31522011</v>
      </c>
      <c r="D2308" s="30" t="str">
        <f>IFERROR(VLOOKUP(Tabela5[[#This Row],[PREFIXO ]],Tabela4[#All],2,0),"CENTRO DE CUSTO")</f>
        <v>CENTRO DE CUSTO</v>
      </c>
      <c r="E2308" s="33" t="s">
        <v>323</v>
      </c>
      <c r="F2308" s="31">
        <v>11</v>
      </c>
      <c r="G2308" s="32">
        <v>2480</v>
      </c>
      <c r="H2308" s="32"/>
      <c r="I2308" s="32">
        <f>G2308+H2308</f>
        <v>2480</v>
      </c>
      <c r="J2308" s="33" t="s">
        <v>1080</v>
      </c>
      <c r="K2308" s="33"/>
      <c r="L2308" s="33"/>
      <c r="M2308" s="33"/>
      <c r="N2308" s="30"/>
      <c r="O2308" s="33"/>
      <c r="P2308" s="33"/>
      <c r="Q2308" s="30" t="str" cm="1">
        <f t="array" ref="Q2308">_xlfn.IFS(
A2308="","",
AND(A2308&lt;&gt;"",B2308=""),"FALTA LANÇAMENTO",
AND(B2308&lt;&gt;"",M2308=""),"FALTA O PEDIDO",
AND(M2308&lt;&gt;"",O2308=""),"FALTA NF",
O2308&lt;&gt;"","CONCLUÍDO")</f>
        <v>FALTA LANÇAMENTO</v>
      </c>
      <c r="R2308" s="33"/>
    </row>
    <row r="2309" spans="1:18" hidden="1">
      <c r="A2309" s="30">
        <v>46226</v>
      </c>
      <c r="B2309" s="30"/>
      <c r="C2309" s="31">
        <v>13150008</v>
      </c>
      <c r="D2309" s="30" t="str">
        <f>IFERROR(VLOOKUP(Tabela5[[#This Row],[PREFIXO ]],Tabela4[#All],2,0),"CENTRO DE CUSTO")</f>
        <v>CENTRO DE CUSTO</v>
      </c>
      <c r="E2309" s="33" t="s">
        <v>323</v>
      </c>
      <c r="F2309" s="31">
        <v>9</v>
      </c>
      <c r="G2309" s="32">
        <v>1485</v>
      </c>
      <c r="H2309" s="32"/>
      <c r="I2309" s="32">
        <f>G2309+H2309</f>
        <v>1485</v>
      </c>
      <c r="J2309" s="33" t="s">
        <v>1080</v>
      </c>
      <c r="K2309" s="33"/>
      <c r="L2309" s="33"/>
      <c r="M2309" s="33"/>
      <c r="N2309" s="30"/>
      <c r="O2309" s="33"/>
      <c r="P2309" s="33"/>
      <c r="Q2309" s="30" t="str" cm="1">
        <f t="array" ref="Q2309">_xlfn.IFS(
A2309="","",
AND(A2309&lt;&gt;"",B2309=""),"FALTA LANÇAMENTO",
AND(B2309&lt;&gt;"",M2309=""),"FALTA O PEDIDO",
AND(M2309&lt;&gt;"",O2309=""),"FALTA NF",
O2309&lt;&gt;"","CONCLUÍDO")</f>
        <v>FALTA LANÇAMENTO</v>
      </c>
      <c r="R2309" s="33"/>
    </row>
    <row r="2310" spans="1:18" hidden="1">
      <c r="A2310" s="30">
        <v>46226</v>
      </c>
      <c r="B2310" s="30"/>
      <c r="C2310" s="31">
        <v>11040013</v>
      </c>
      <c r="D2310" s="30" t="str">
        <f>IFERROR(VLOOKUP(Tabela5[[#This Row],[PREFIXO ]],Tabela4[#All],2,0),"CENTRO DE CUSTO")</f>
        <v>CAV MEC EXT PES SCANIA R500</v>
      </c>
      <c r="E2310" s="33" t="s">
        <v>29</v>
      </c>
      <c r="F2310" s="31">
        <v>56233</v>
      </c>
      <c r="G2310" s="32">
        <v>4390</v>
      </c>
      <c r="H2310" s="32">
        <v>436.33</v>
      </c>
      <c r="I2310" s="32">
        <f>G2310+H2310</f>
        <v>4826.33</v>
      </c>
      <c r="J2310" s="33" t="s">
        <v>1085</v>
      </c>
      <c r="K2310" s="33"/>
      <c r="L2310" s="33"/>
      <c r="M2310" s="33"/>
      <c r="N2310" s="30"/>
      <c r="O2310" s="33"/>
      <c r="P2310" s="33"/>
      <c r="Q2310" s="30" t="str" cm="1">
        <f t="array" ref="Q2310">_xlfn.IFS(
A2310="","",
AND(A2310&lt;&gt;"",B2310=""),"FALTA LANÇAMENTO",
AND(B2310&lt;&gt;"",M2310=""),"FALTA O PEDIDO",
AND(M2310&lt;&gt;"",O2310=""),"FALTA NF",
O2310&lt;&gt;"","CONCLUÍDO")</f>
        <v>FALTA LANÇAMENTO</v>
      </c>
      <c r="R2310" s="33"/>
    </row>
    <row r="2311" spans="1:18" hidden="1">
      <c r="A2311" s="30">
        <v>46226</v>
      </c>
      <c r="B2311" s="30"/>
      <c r="C2311" s="31">
        <v>61521080</v>
      </c>
      <c r="D2311" s="30" t="str">
        <f>IFERROR(VLOOKUP(Tabela5[[#This Row],[PREFIXO ]],Tabela4[#All],2,0),"CENTRO DE CUSTO")</f>
        <v>CAV MEC EXT PES VOLVO FH 540</v>
      </c>
      <c r="E2311" s="33" t="s">
        <v>366</v>
      </c>
      <c r="F2311" s="31">
        <v>1318</v>
      </c>
      <c r="G2311" s="32">
        <v>240</v>
      </c>
      <c r="H2311" s="32">
        <v>1881</v>
      </c>
      <c r="I2311" s="32">
        <f>G2311+H2311</f>
        <v>2121</v>
      </c>
      <c r="J2311" s="33" t="s">
        <v>1085</v>
      </c>
      <c r="K2311" s="33"/>
      <c r="L2311" s="33"/>
      <c r="M2311" s="33"/>
      <c r="N2311" s="30"/>
      <c r="O2311" s="33"/>
      <c r="P2311" s="33"/>
      <c r="Q2311" s="30" t="str" cm="1">
        <f t="array" ref="Q2311">_xlfn.IFS(
A2311="","",
AND(A2311&lt;&gt;"",B2311=""),"FALTA LANÇAMENTO",
AND(B2311&lt;&gt;"",M2311=""),"FALTA O PEDIDO",
AND(M2311&lt;&gt;"",O2311=""),"FALTA NF",
O2311&lt;&gt;"","CONCLUÍDO")</f>
        <v>FALTA LANÇAMENTO</v>
      </c>
      <c r="R2311" s="33"/>
    </row>
    <row r="2312" spans="1:18" hidden="1">
      <c r="A2312" s="30">
        <v>46226</v>
      </c>
      <c r="B2312" s="30"/>
      <c r="C2312" s="31">
        <v>23220006</v>
      </c>
      <c r="D2312" s="30" t="str">
        <f>IFERROR(VLOOKUP(Tabela5[[#This Row],[PREFIXO ]],Tabela4[#All],2,0),"CENTRO DE CUSTO")</f>
        <v>CENTRO DE CUSTO</v>
      </c>
      <c r="E2312" s="33" t="s">
        <v>162</v>
      </c>
      <c r="F2312" s="31">
        <v>76018</v>
      </c>
      <c r="G2312" s="32">
        <v>47</v>
      </c>
      <c r="H2312" s="32">
        <v>1671.2</v>
      </c>
      <c r="I2312" s="32">
        <f>G2312+H2312</f>
        <v>1718.2</v>
      </c>
      <c r="J2312" s="33" t="s">
        <v>1123</v>
      </c>
      <c r="K2312" s="33"/>
      <c r="L2312" s="33"/>
      <c r="M2312" s="33"/>
      <c r="N2312" s="30"/>
      <c r="O2312" s="33"/>
      <c r="P2312" s="33"/>
      <c r="Q2312" s="30" t="str" cm="1">
        <f t="array" ref="Q2312">_xlfn.IFS(
A2312="","",
AND(A2312&lt;&gt;"",B2312=""),"FALTA LANÇAMENTO",
AND(B2312&lt;&gt;"",M2312=""),"FALTA O PEDIDO",
AND(M2312&lt;&gt;"",O2312=""),"FALTA NF",
O2312&lt;&gt;"","CONCLUÍDO")</f>
        <v>FALTA LANÇAMENTO</v>
      </c>
      <c r="R2312" s="33"/>
    </row>
    <row r="2313" spans="1:18" hidden="1">
      <c r="A2313" s="30">
        <v>46226</v>
      </c>
      <c r="B2313" s="30"/>
      <c r="C2313" s="31">
        <v>23220003</v>
      </c>
      <c r="D2313" s="30" t="str">
        <f>IFERROR(VLOOKUP(Tabela5[[#This Row],[PREFIXO ]],Tabela4[#All],2,0),"CENTRO DE CUSTO")</f>
        <v>COLHED ALGODÃO JOHN DEERE CP 770</v>
      </c>
      <c r="E2313" s="18" t="s">
        <v>162</v>
      </c>
      <c r="F2313" s="31">
        <v>75576</v>
      </c>
      <c r="G2313" s="32">
        <v>31.15</v>
      </c>
      <c r="H2313" s="32">
        <v>2429.02</v>
      </c>
      <c r="I2313" s="32">
        <f>G2313+H2313</f>
        <v>2460.17</v>
      </c>
      <c r="J2313" s="18" t="s">
        <v>1123</v>
      </c>
      <c r="K2313" s="33"/>
      <c r="L2313" s="33"/>
      <c r="M2313" s="33"/>
      <c r="N2313" s="30"/>
      <c r="O2313" s="33"/>
      <c r="P2313" s="33"/>
      <c r="Q2313" s="30" t="str" cm="1">
        <f t="array" ref="Q2313">_xlfn.IFS(
A2313="","",
AND(A2313&lt;&gt;"",B2313=""),"FALTA LANÇAMENTO",
AND(B2313&lt;&gt;"",M2313=""),"FALTA O PEDIDO",
AND(M2313&lt;&gt;"",O2313=""),"FALTA NF",
O2313&lt;&gt;"","CONCLUÍDO")</f>
        <v>FALTA LANÇAMENTO</v>
      </c>
      <c r="R2313" s="33"/>
    </row>
    <row r="2314" spans="1:18" hidden="1">
      <c r="A2314" s="30">
        <v>46226</v>
      </c>
      <c r="B2314" s="30"/>
      <c r="C2314" s="31">
        <v>51521057</v>
      </c>
      <c r="D2314" s="30" t="str">
        <f>IFERROR(VLOOKUP(Tabela5[[#This Row],[PREFIXO ]],Tabela4[#All],2,0),"CENTRO DE CUSTO")</f>
        <v>COLHED ALGODÃO JOHN DEERE CP 690</v>
      </c>
      <c r="E2314" s="18" t="s">
        <v>17</v>
      </c>
      <c r="F2314" s="31">
        <v>44856</v>
      </c>
      <c r="G2314" s="32">
        <v>5369.86</v>
      </c>
      <c r="H2314" s="32">
        <v>49582.63</v>
      </c>
      <c r="I2314" s="32">
        <f>G2314+H2314</f>
        <v>54952.49</v>
      </c>
      <c r="J2314" s="18" t="s">
        <v>1123</v>
      </c>
      <c r="K2314" s="33"/>
      <c r="L2314" s="33"/>
      <c r="M2314" s="33"/>
      <c r="N2314" s="30"/>
      <c r="O2314" s="33"/>
      <c r="P2314" s="33"/>
      <c r="Q2314" s="30" t="str" cm="1">
        <f t="array" ref="Q2314">_xlfn.IFS(
A2314="","",
AND(A2314&lt;&gt;"",B2314=""),"FALTA LANÇAMENTO",
AND(B2314&lt;&gt;"",M2314=""),"FALTA O PEDIDO",
AND(M2314&lt;&gt;"",O2314=""),"FALTA NF",
O2314&lt;&gt;"","CONCLUÍDO")</f>
        <v>FALTA LANÇAMENTO</v>
      </c>
      <c r="R2314" s="33"/>
    </row>
    <row r="2315" spans="1:18" hidden="1">
      <c r="A2315" s="30">
        <v>46226</v>
      </c>
      <c r="B2315" s="30"/>
      <c r="C2315" s="31">
        <v>5173117</v>
      </c>
      <c r="D2315" s="30" t="str">
        <f>IFERROR(VLOOKUP(Tabela5[[#This Row],[PREFIXO ]],Tabela4[#All],2,0),"CENTRO DE CUSTO")</f>
        <v>COLHED ALGODÃO JOHN DEERE 7760</v>
      </c>
      <c r="E2315" s="18" t="s">
        <v>17</v>
      </c>
      <c r="F2315" s="31">
        <v>44677</v>
      </c>
      <c r="G2315" s="32">
        <v>6861.91</v>
      </c>
      <c r="H2315" s="32">
        <v>3629.67</v>
      </c>
      <c r="I2315" s="32">
        <f>G2315+H2315</f>
        <v>10491.58</v>
      </c>
      <c r="J2315" s="18" t="s">
        <v>1123</v>
      </c>
      <c r="K2315" s="33"/>
      <c r="L2315" s="33"/>
      <c r="M2315" s="33"/>
      <c r="N2315" s="30"/>
      <c r="O2315" s="33"/>
      <c r="P2315" s="33"/>
      <c r="Q2315" s="30" t="str" cm="1">
        <f t="array" ref="Q2315">_xlfn.IFS(
A2315="","",
AND(A2315&lt;&gt;"",B2315=""),"FALTA LANÇAMENTO",
AND(B2315&lt;&gt;"",M2315=""),"FALTA O PEDIDO",
AND(M2315&lt;&gt;"",O2315=""),"FALTA NF",
O2315&lt;&gt;"","CONCLUÍDO")</f>
        <v>FALTA LANÇAMENTO</v>
      </c>
      <c r="R2315" s="33"/>
    </row>
    <row r="2316" spans="1:18" hidden="1">
      <c r="A2316" s="30">
        <v>46226</v>
      </c>
      <c r="B2316" s="30"/>
      <c r="C2316" s="31">
        <v>8173402</v>
      </c>
      <c r="D2316" s="30" t="str">
        <f>IFERROR(VLOOKUP(Tabela5[[#This Row],[PREFIXO ]],Tabela4[#All],2,0),"CENTRO DE CUSTO")</f>
        <v>CENTRO DE CUSTO</v>
      </c>
      <c r="E2316" s="33" t="s">
        <v>33</v>
      </c>
      <c r="F2316" s="31"/>
      <c r="G2316" s="32">
        <v>2200</v>
      </c>
      <c r="H2316" s="32"/>
      <c r="I2316" s="32">
        <f>G2316+H2316</f>
        <v>2200</v>
      </c>
      <c r="J2316" s="33" t="s">
        <v>1085</v>
      </c>
      <c r="K2316" s="33"/>
      <c r="L2316" s="33"/>
      <c r="M2316" s="33"/>
      <c r="N2316" s="30"/>
      <c r="O2316" s="33"/>
      <c r="P2316" s="33"/>
      <c r="Q2316" s="30" t="str" cm="1">
        <f t="array" ref="Q2316">_xlfn.IFS(
A2316="","",
AND(A2316&lt;&gt;"",B2316=""),"FALTA LANÇAMENTO",
AND(B2316&lt;&gt;"",M2316=""),"FALTA O PEDIDO",
AND(M2316&lt;&gt;"",O2316=""),"FALTA NF",
O2316&lt;&gt;"","CONCLUÍDO")</f>
        <v>FALTA LANÇAMENTO</v>
      </c>
      <c r="R2316" s="33"/>
    </row>
    <row r="2317" spans="1:18" hidden="1">
      <c r="A2317" s="30">
        <v>46226</v>
      </c>
      <c r="B2317" s="30"/>
      <c r="C2317" s="31">
        <v>81521343</v>
      </c>
      <c r="D2317" s="30" t="str">
        <f>IFERROR(VLOOKUP(Tabela5[[#This Row],[PREFIXO ]],Tabela4[#All],2,0),"CENTRO DE CUSTO")</f>
        <v>SOPRADOR COSTAL STIHL BR800</v>
      </c>
      <c r="E2317" s="33" t="s">
        <v>40</v>
      </c>
      <c r="F2317" s="31">
        <v>141885</v>
      </c>
      <c r="G2317" s="32">
        <v>286</v>
      </c>
      <c r="H2317" s="32">
        <v>486.81</v>
      </c>
      <c r="I2317" s="32">
        <f>G2317+H2317</f>
        <v>772.81</v>
      </c>
      <c r="J2317" s="33" t="s">
        <v>1085</v>
      </c>
      <c r="K2317" s="33"/>
      <c r="L2317" s="33"/>
      <c r="M2317" s="33"/>
      <c r="N2317" s="30"/>
      <c r="O2317" s="33"/>
      <c r="P2317" s="33"/>
      <c r="Q2317" s="30" t="str" cm="1">
        <f t="array" ref="Q2317">_xlfn.IFS(
A2317="","",
AND(A2317&lt;&gt;"",B2317=""),"FALTA LANÇAMENTO",
AND(B2317&lt;&gt;"",M2317=""),"FALTA O PEDIDO",
AND(M2317&lt;&gt;"",O2317=""),"FALTA NF",
O2317&lt;&gt;"","CONCLUÍDO")</f>
        <v>FALTA LANÇAMENTO</v>
      </c>
      <c r="R2317" s="33"/>
    </row>
    <row r="2318" spans="1:18" hidden="1">
      <c r="A2318" s="30">
        <v>46226</v>
      </c>
      <c r="B2318" s="30"/>
      <c r="C2318" s="31">
        <v>81521296</v>
      </c>
      <c r="D2318" s="30" t="str">
        <f>IFERROR(VLOOKUP(Tabela5[[#This Row],[PREFIXO ]],Tabela4[#All],2,0),"CENTRO DE CUSTO")</f>
        <v>PLANT GRÃOS CASE FAST RISER 60 LINHAS</v>
      </c>
      <c r="E2318" s="33" t="s">
        <v>218</v>
      </c>
      <c r="F2318" s="31">
        <v>27004</v>
      </c>
      <c r="G2318" s="32">
        <v>7262.5</v>
      </c>
      <c r="H2318" s="32">
        <v>3333.29</v>
      </c>
      <c r="I2318" s="32">
        <f>G2318+H2318</f>
        <v>10595.79</v>
      </c>
      <c r="J2318" s="18" t="s">
        <v>1199</v>
      </c>
      <c r="K2318" s="33"/>
      <c r="L2318" s="33"/>
      <c r="M2318" s="33"/>
      <c r="N2318" s="30"/>
      <c r="O2318" s="33"/>
      <c r="P2318" s="33"/>
      <c r="Q2318" s="30" t="str" cm="1">
        <f t="array" ref="Q2318">_xlfn.IFS(
A2318="","",
AND(A2318&lt;&gt;"",B2318=""),"FALTA LANÇAMENTO",
AND(B2318&lt;&gt;"",M2318=""),"FALTA O PEDIDO",
AND(M2318&lt;&gt;"",O2318=""),"FALTA NF",
O2318&lt;&gt;"","CONCLUÍDO")</f>
        <v>FALTA LANÇAMENTO</v>
      </c>
      <c r="R2318" s="33"/>
    </row>
    <row r="2319" spans="1:18" hidden="1">
      <c r="A2319" s="30">
        <v>46226</v>
      </c>
      <c r="B2319" s="30"/>
      <c r="C2319" s="31" t="s">
        <v>5324</v>
      </c>
      <c r="D2319" s="30" t="str">
        <f>IFERROR(VLOOKUP(Tabela5[[#This Row],[PREFIXO ]],Tabela4[#All],2,0),"CENTRO DE CUSTO")</f>
        <v>CENTRO DE CUSTO</v>
      </c>
      <c r="E2319" s="33" t="s">
        <v>308</v>
      </c>
      <c r="F2319" s="31" t="s">
        <v>2687</v>
      </c>
      <c r="G2319" s="32">
        <v>1000</v>
      </c>
      <c r="H2319" s="32"/>
      <c r="I2319" s="32">
        <f>G2319+H2319</f>
        <v>1000</v>
      </c>
      <c r="J2319" s="33" t="s">
        <v>1123</v>
      </c>
      <c r="K2319" s="33"/>
      <c r="L2319" s="33"/>
      <c r="M2319" s="33"/>
      <c r="N2319" s="30"/>
      <c r="O2319" s="33"/>
      <c r="P2319" s="33"/>
      <c r="Q2319" s="30" t="str" cm="1">
        <f t="array" ref="Q2319">_xlfn.IFS(
A2319="","",
AND(A2319&lt;&gt;"",B2319=""),"FALTA LANÇAMENTO",
AND(B2319&lt;&gt;"",M2319=""),"FALTA O PEDIDO",
AND(M2319&lt;&gt;"",O2319=""),"FALTA NF",
O2319&lt;&gt;"","CONCLUÍDO")</f>
        <v>FALTA LANÇAMENTO</v>
      </c>
      <c r="R2319" s="33"/>
    </row>
    <row r="2320" spans="1:18" hidden="1">
      <c r="A2320" s="30">
        <v>46226</v>
      </c>
      <c r="B2320" s="30"/>
      <c r="C2320" s="31">
        <v>51521090</v>
      </c>
      <c r="D2320" s="30" t="str">
        <f>IFERROR(VLOOKUP(Tabela5[[#This Row],[PREFIXO ]],Tabela4[#All],2,0),"CENTRO DE CUSTO")</f>
        <v>COLHEIT DE GRÃOS N.HOLLAND CR 8.90</v>
      </c>
      <c r="E2320" s="33" t="s">
        <v>308</v>
      </c>
      <c r="F2320" s="31" t="s">
        <v>2769</v>
      </c>
      <c r="G2320" s="32">
        <v>17599</v>
      </c>
      <c r="H2320" s="32"/>
      <c r="I2320" s="32">
        <f>G2320+H2320</f>
        <v>17599</v>
      </c>
      <c r="J2320" s="33" t="s">
        <v>1123</v>
      </c>
      <c r="K2320" s="33"/>
      <c r="L2320" s="33"/>
      <c r="M2320" s="33"/>
      <c r="N2320" s="30"/>
      <c r="O2320" s="33"/>
      <c r="P2320" s="33"/>
      <c r="Q2320" s="30" t="str" cm="1">
        <f t="array" ref="Q2320">_xlfn.IFS(
A2320="","",
AND(A2320&lt;&gt;"",B2320=""),"FALTA LANÇAMENTO",
AND(B2320&lt;&gt;"",M2320=""),"FALTA O PEDIDO",
AND(M2320&lt;&gt;"",O2320=""),"FALTA NF",
O2320&lt;&gt;"","CONCLUÍDO")</f>
        <v>FALTA LANÇAMENTO</v>
      </c>
      <c r="R2320" s="33"/>
    </row>
    <row r="2321" spans="1:18" hidden="1">
      <c r="A2321" s="30">
        <v>46226</v>
      </c>
      <c r="B2321" s="30"/>
      <c r="C2321" s="31">
        <v>11521037</v>
      </c>
      <c r="D2321" s="30" t="str">
        <f>IFERROR(VLOOKUP(Tabela5[[#This Row],[PREFIXO ]],Tabela4[#All],2,0),"CENTRO DE CUSTO")</f>
        <v>TRAT PN EXT PES N.HOLLAND T9.600</v>
      </c>
      <c r="E2321" s="33" t="s">
        <v>308</v>
      </c>
      <c r="F2321" s="31" t="s">
        <v>2691</v>
      </c>
      <c r="G2321" s="32">
        <v>768</v>
      </c>
      <c r="H2321" s="32"/>
      <c r="I2321" s="32">
        <f>G2321+H2321</f>
        <v>768</v>
      </c>
      <c r="J2321" s="18" t="s">
        <v>1199</v>
      </c>
      <c r="K2321" s="33"/>
      <c r="L2321" s="33"/>
      <c r="M2321" s="33"/>
      <c r="N2321" s="30"/>
      <c r="O2321" s="33"/>
      <c r="P2321" s="33"/>
      <c r="Q2321" s="30" t="str" cm="1">
        <f t="array" ref="Q2321">_xlfn.IFS(
A2321="","",
AND(A2321&lt;&gt;"",B2321=""),"FALTA LANÇAMENTO",
AND(B2321&lt;&gt;"",M2321=""),"FALTA O PEDIDO",
AND(M2321&lt;&gt;"",O2321=""),"FALTA NF",
O2321&lt;&gt;"","CONCLUÍDO")</f>
        <v>FALTA LANÇAMENTO</v>
      </c>
      <c r="R2321" s="33"/>
    </row>
    <row r="2322" spans="1:18" hidden="1">
      <c r="A2322" s="30">
        <v>46226</v>
      </c>
      <c r="B2322" s="30"/>
      <c r="C2322" s="31" t="s">
        <v>5325</v>
      </c>
      <c r="D2322" s="30" t="str">
        <f>IFERROR(VLOOKUP(Tabela5[[#This Row],[PREFIXO ]],Tabela4[#All],2,0),"CENTRO DE CUSTO")</f>
        <v>CENTRO DE CUSTO</v>
      </c>
      <c r="E2322" s="33" t="s">
        <v>308</v>
      </c>
      <c r="F2322" s="31" t="s">
        <v>2750</v>
      </c>
      <c r="G2322" s="32">
        <v>1306</v>
      </c>
      <c r="H2322" s="32"/>
      <c r="I2322" s="32">
        <f>G2322+H2322</f>
        <v>1306</v>
      </c>
      <c r="J2322" s="33" t="s">
        <v>1123</v>
      </c>
      <c r="K2322" s="33"/>
      <c r="L2322" s="33"/>
      <c r="M2322" s="33"/>
      <c r="N2322" s="30"/>
      <c r="O2322" s="33"/>
      <c r="P2322" s="33"/>
      <c r="Q2322" s="30" t="str" cm="1">
        <f t="array" ref="Q2322">_xlfn.IFS(
A2322="","",
AND(A2322&lt;&gt;"",B2322=""),"FALTA LANÇAMENTO",
AND(B2322&lt;&gt;"",M2322=""),"FALTA O PEDIDO",
AND(M2322&lt;&gt;"",O2322=""),"FALTA NF",
O2322&lt;&gt;"","CONCLUÍDO")</f>
        <v>FALTA LANÇAMENTO</v>
      </c>
      <c r="R2322" s="33"/>
    </row>
    <row r="2323" spans="1:18" hidden="1">
      <c r="A2323" s="30">
        <v>46226</v>
      </c>
      <c r="B2323" s="30"/>
      <c r="C2323" s="31">
        <v>11521002</v>
      </c>
      <c r="D2323" s="30" t="str">
        <f>IFERROR(VLOOKUP(Tabela5[[#This Row],[PREFIXO ]],Tabela4[#All],2,0),"CENTRO DE CUSTO")</f>
        <v>TRAT PN EXT PES CASE STEIGER 620</v>
      </c>
      <c r="E2323" s="33" t="s">
        <v>247</v>
      </c>
      <c r="F2323" s="31">
        <v>137182</v>
      </c>
      <c r="G2323" s="32">
        <v>722</v>
      </c>
      <c r="H2323" s="32"/>
      <c r="I2323" s="32">
        <f>G2323+H2323</f>
        <v>722</v>
      </c>
      <c r="J2323" s="18" t="s">
        <v>1199</v>
      </c>
      <c r="K2323" s="33"/>
      <c r="L2323" s="33"/>
      <c r="M2323" s="33"/>
      <c r="N2323" s="30"/>
      <c r="O2323" s="33"/>
      <c r="P2323" s="33"/>
      <c r="Q2323" s="30" t="str" cm="1">
        <f t="array" ref="Q2323">_xlfn.IFS(
A2323="","",
AND(A2323&lt;&gt;"",B2323=""),"FALTA LANÇAMENTO",
AND(B2323&lt;&gt;"",M2323=""),"FALTA O PEDIDO",
AND(M2323&lt;&gt;"",O2323=""),"FALTA NF",
O2323&lt;&gt;"","CONCLUÍDO")</f>
        <v>FALTA LANÇAMENTO</v>
      </c>
      <c r="R2323" s="33"/>
    </row>
    <row r="2324" spans="1:18" hidden="1">
      <c r="A2324" s="30">
        <v>46226</v>
      </c>
      <c r="B2324" s="30"/>
      <c r="C2324" s="31">
        <v>22030323</v>
      </c>
      <c r="D2324" s="30" t="str">
        <f>IFERROR(VLOOKUP(Tabela5[[#This Row],[PREFIXO ]],Tabela4[#All],2,0),"CENTRO DE CUSTO")</f>
        <v>CENTRO DE CUSTO</v>
      </c>
      <c r="E2324" s="33" t="s">
        <v>209</v>
      </c>
      <c r="F2324" s="31">
        <v>451</v>
      </c>
      <c r="G2324" s="32">
        <v>385</v>
      </c>
      <c r="H2324" s="32"/>
      <c r="I2324" s="32">
        <f>G2324+H2324</f>
        <v>385</v>
      </c>
      <c r="J2324" s="33" t="s">
        <v>1085</v>
      </c>
      <c r="K2324" s="33"/>
      <c r="L2324" s="33"/>
      <c r="M2324" s="33"/>
      <c r="N2324" s="30"/>
      <c r="O2324" s="33"/>
      <c r="P2324" s="33"/>
      <c r="Q2324" s="30" t="str" cm="1">
        <f t="array" ref="Q2324">_xlfn.IFS(
A2324="","",
AND(A2324&lt;&gt;"",B2324=""),"FALTA LANÇAMENTO",
AND(B2324&lt;&gt;"",M2324=""),"FALTA O PEDIDO",
AND(M2324&lt;&gt;"",O2324=""),"FALTA NF",
O2324&lt;&gt;"","CONCLUÍDO")</f>
        <v>FALTA LANÇAMENTO</v>
      </c>
      <c r="R2324" s="33"/>
    </row>
  </sheetData>
  <conditionalFormatting sqref="F2281:F2297 I2187 F2177:F2185 F2188:F2276 F1:F2173 K2186 G2274:I2274 F2301:F2326 F2328:F1048576 D2328">
    <cfRule type="duplicateValues" dxfId="48" priority="2"/>
  </conditionalFormatting>
  <conditionalFormatting sqref="K1123">
    <cfRule type="duplicateValues" dxfId="47" priority="4"/>
  </conditionalFormatting>
  <conditionalFormatting sqref="K2281:K1048576 O2273:O2275 K2276 N2187 K2177:K2185 K2188:K2272 K1:K2174">
    <cfRule type="duplicateValues" dxfId="46" priority="24"/>
  </conditionalFormatting>
  <conditionalFormatting sqref="P2273:P2275 L2276 O2187 L2173:L2174 L2177:L2185 J2178 L1:L2171 L2188:L2272 L2279:L1048576">
    <cfRule type="duplicateValues" dxfId="45" priority="1"/>
  </conditionalFormatting>
  <conditionalFormatting sqref="M1781">
    <cfRule type="duplicateValues" dxfId="44" priority="13"/>
  </conditionalFormatting>
  <conditionalFormatting sqref="M1792">
    <cfRule type="duplicateValues" dxfId="43" priority="8"/>
  </conditionalFormatting>
  <conditionalFormatting sqref="M1293:N1293">
    <cfRule type="duplicateValues" dxfId="42" priority="17"/>
  </conditionalFormatting>
  <conditionalFormatting sqref="N1781">
    <cfRule type="duplicateValues" dxfId="41" priority="11"/>
  </conditionalFormatting>
  <conditionalFormatting sqref="N1792">
    <cfRule type="duplicateValues" dxfId="40" priority="7"/>
  </conditionalFormatting>
  <conditionalFormatting sqref="O2276:O1048576 O2177:O2185 O2188:O2272 O1:O2175 M2175">
    <cfRule type="duplicateValues" dxfId="39" priority="6"/>
  </conditionalFormatting>
  <conditionalFormatting sqref="Q1:Q1956 Q1958:Q2149 D2150 Q2151:Q1048576">
    <cfRule type="cellIs" dxfId="38" priority="18" operator="equal">
      <formula>"FALTA NF"</formula>
    </cfRule>
    <cfRule type="cellIs" dxfId="37" priority="19" operator="equal">
      <formula>"FALTA O PEDIDO"</formula>
    </cfRule>
    <cfRule type="cellIs" dxfId="36" priority="20" operator="equal">
      <formula>"FALTA LANÇAMENTO"</formula>
    </cfRule>
    <cfRule type="cellIs" dxfId="35" priority="21" operator="equal">
      <formula>"CONCLUÍDO"</formula>
    </cfRule>
  </conditionalFormatting>
  <dataValidations count="2">
    <dataValidation type="list" allowBlank="1" showInputMessage="1" showErrorMessage="1" sqref="R97:R125 R3:R95" xr:uid="{AFD60CDE-FCE3-4BCA-A812-B2CECB98699B}">
      <formula1>"LANÇADO,PENDENTE"</formula1>
    </dataValidation>
    <dataValidation allowBlank="1" showInputMessage="1" showErrorMessage="1" sqref="Q3:Q2324" xr:uid="{6F4CACE2-173B-48B5-97EB-B2E4C7DC2CA8}"/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8CE2E9-2041-4179-85DF-7C3320112DFE}">
          <x14:formula1>
            <xm:f>Fornedores!$A:$A</xm:f>
          </x14:formula1>
          <xm:sqref>E3:E2324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ecfae0-fa36-4f08-9b71-9887c27b95c8">
      <Terms xmlns="http://schemas.microsoft.com/office/infopath/2007/PartnerControls"/>
    </lcf76f155ced4ddcb4097134ff3c332f>
    <TaxCatchAll xmlns="e725de8a-3ee0-4e7a-b03b-b43720d567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55667782813448B77D6F7A41A43EAB" ma:contentTypeVersion="16" ma:contentTypeDescription="Crie um novo documento." ma:contentTypeScope="" ma:versionID="b76ad51a684e42a00b7bab3b42abdde8">
  <xsd:schema xmlns:xsd="http://www.w3.org/2001/XMLSchema" xmlns:xs="http://www.w3.org/2001/XMLSchema" xmlns:p="http://schemas.microsoft.com/office/2006/metadata/properties" xmlns:ns2="82ecfae0-fa36-4f08-9b71-9887c27b95c8" xmlns:ns3="e725de8a-3ee0-4e7a-b03b-b43720d567aa" targetNamespace="http://schemas.microsoft.com/office/2006/metadata/properties" ma:root="true" ma:fieldsID="1bf0b5177638fe2aef79fd41f8dbc4ff" ns2:_="" ns3:_="">
    <xsd:import namespace="82ecfae0-fa36-4f08-9b71-9887c27b95c8"/>
    <xsd:import namespace="e725de8a-3ee0-4e7a-b03b-b43720d56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cfae0-fa36-4f08-9b71-9887c27b95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902c4d4b-76d1-42da-9fe5-2ecde99c9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5de8a-3ee0-4e7a-b03b-b43720d567a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6307c4-e53e-48d1-a9cd-9bd521aa37c5}" ma:internalName="TaxCatchAll" ma:showField="CatchAllData" ma:web="e725de8a-3ee0-4e7a-b03b-b43720d56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8A894C-3DA9-4AA2-9B23-F8AE345C44D8}"/>
</file>

<file path=customXml/itemProps2.xml><?xml version="1.0" encoding="utf-8"?>
<ds:datastoreItem xmlns:ds="http://schemas.openxmlformats.org/officeDocument/2006/customXml" ds:itemID="{AA316DC8-C52E-4222-808B-B7178B28FACD}"/>
</file>

<file path=customXml/itemProps3.xml><?xml version="1.0" encoding="utf-8"?>
<ds:datastoreItem xmlns:ds="http://schemas.openxmlformats.org/officeDocument/2006/customXml" ds:itemID="{07375F2C-E99D-4C22-B970-60AB247BA0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Ezequiel Caetano</cp:lastModifiedBy>
  <cp:revision/>
  <dcterms:created xsi:type="dcterms:W3CDTF">2026-05-27T19:44:14Z</dcterms:created>
  <dcterms:modified xsi:type="dcterms:W3CDTF">2026-07-24T18:44:38Z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0x0101009E55667782813448B77D6F7A41A43EAB</vt:lpwstr>
  </property>
  <property fmtid="{D5CDD505-2E9C-101B-9397-08002B2CF9AE}" pid="3" name="MediaServiceImageTags">
    <vt:lpwstr/>
  </property>
</Properties>
</file>