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11031" documentId="13_ncr:1_{00919EA7-9A91-438F-B0B2-73C9D9872933}" xr6:coauthVersionLast="47" xr6:coauthVersionMax="47" xr10:uidLastSave="{25119ECA-F797-4A4B-810E-767849E7C90F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06" i="1" l="1"/>
  <c r="I2306" i="1"/>
  <c r="Q2306" i="1" a="1"/>
  <c r="Q2306" i="1"/>
  <c r="D2305" i="1"/>
  <c r="I2305" i="1"/>
  <c r="Q2305" i="1" a="1"/>
  <c r="Q2305" i="1" s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<sst xmlns="http://schemas.openxmlformats.org/spreadsheetml/2006/main" count="16639" uniqueCount="5291">
  <si>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</si>
  <si>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</si>
  <si>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</si>
  <si>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</si>
  <si>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</si>
  <si>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</si>
  <si>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</si>
  <si>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</si>
  <si>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</si>
  <si>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</si>
  <si>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</si>
  <si>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</si>
  <si>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</si>
  <si>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</si>
  <si>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</si>
  <si>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</si>
  <si>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</si>
  <si>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</si>
  <si>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</si>
  <si>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</si>
  <si>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</si>
  <si>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</si>
  <si>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</si>
  <si>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</si>
  <si>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</si>
  <si>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</si>
  <si>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</si>
  <si>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</si>
  <si>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</si>
  <si>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</si>
  <si>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</si>
  <si>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</si>
  <si>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</si>
  <si>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</si>
  <si>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</si>
  <si>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</si>
  <si>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</si>
  <si>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</si>
  <si>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</si>
  <si>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</si>
  <si>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</si>
  <si>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</si>
  <si>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</si>
  <si>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</si>
  <si>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</si>
  <si>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</si>
  <si>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</si>
  <si>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</si>
  <si>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</si>
  <si>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</si>
  <si>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</si>
  <si>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</si>
  <si>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</si>
  <si>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</si>
  <si>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</si>
  <si>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</si>
  <si>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</si>
  <si>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</si>
  <si>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</si>
  <si>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</si>
  <si>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</si>
  <si>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</si>
  <si>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</si>
  <si>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</si>
  <si>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</si>
  <si>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</si>
  <si>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</si>
  <si>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</si>
  <si>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</si>
  <si>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</si>
  <si>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</si>
  <si>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</si>
  <si>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</si>
  <si>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</si>
  <si>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</si>
  <si>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</si>
  <si>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</si>
  <si>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</si>
  <si>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</si>
  <si>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</si>
  <si>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</si>
  <si>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</si>
  <si>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</si>
  <si>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</si>
  <si>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</si>
  <si>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</si>
  <si>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</si>
  <si>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</si>
  <si>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</si>
  <si>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</si>
  <si>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</si>
  <si>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</si>
  <si>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</si>
  <si>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</si>
  <si>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</si>
  <si>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</si>
  <si>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</si>
  <si>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</si>
  <si>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</si>
  <si>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</si>
  <si>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</si>
  <si>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</si>
  <si>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</si>
  <si>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</si>
  <si>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</si>
  <si>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</si>
  <si>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</si>
  <si>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</si>
  <si>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</si>
  <si>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</si>
  <si>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</si>
  <si>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</si>
  <si>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</si>
  <si>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</si>
  <si>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</si>
  <si>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</si>
  <si>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</si>
  <si>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</si>
  <si>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</si>
  <si>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</si>
  <si>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</si>
  <si>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</si>
  <si>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</si>
  <si>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</si>
  <si>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</si>
  <si>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</si>
  <si>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</si>
  <si>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</si>
  <si>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</si>
  <si>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</si>
  <si>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</si>
  <si>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</si>
  <si>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</si>
  <si>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</si>
  <si>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</si>
  <si>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</si>
  <si>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</si>
  <si>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</si>
  <si>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</si>
  <si>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</si>
  <si>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</si>
  <si>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</si>
  <si>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</si>
  <si>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</si>
  <si>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</si>
  <si>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</si>
  <si>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</si>
  <si>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</si>
  <si>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</si>
  <si>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</si>
  <si>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</si>
  <si>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</si>
  <si>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</si>
  <si>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</si>
  <si>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</si>
  <si>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</si>
  <si>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</si>
  <si>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</si>
  <si>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</si>
  <si>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</si>
  <si>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</si>
  <si>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</si>
  <si>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</si>
  <si>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</si>
  <si>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</si>
  <si>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</si>
  <si>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</si>
  <si>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</si>
  <si>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</si>
  <si>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</si>
  <si>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</si>
  <si>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</si>
  <si>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</si>
  <si>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</si>
  <si>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</si>
  <si>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</si>
  <si>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</si>
  <si>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</si>
  <si>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</si>
  <si>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</si>
  <si>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</si>
  <si>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</si>
  <si>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</si>
  <si>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</si>
  <si>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</si>
  <si>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</si>
  <si>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</si>
  <si>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</si>
  <si>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</si>
  <si>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</si>
  <si>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</si>
  <si>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</si>
  <si>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</si>
  <si>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</si>
  <si>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</si>
  <si>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</si>
  <si>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</si>
  <si>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</si>
  <si>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</si>
  <si>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</si>
  <si>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</si>
  <si>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</si>
  <si>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</si>
  <si>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</si>
  <si>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</si>
  <si>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</si>
  <si>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</si>
  <si>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</si>
  <si>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</si>
  <si>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</si>
  <si>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</si>
  <si>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</si>
  <si>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</si>
  <si>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</si>
  <si>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</si>
  <si>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</si>
  <si>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</si>
  <si>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</si>
  <si>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</si>
  <si>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</si>
  <si>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</si>
  <si>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</si>
  <si>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</si>
  <si>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</si>
  <si>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</si>
  <si>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</si>
  <si>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</si>
  <si>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</si>
  <si>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</si>
  <si>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</si>
  <si>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</si>
  <si>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</si>
  <si>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</si>
  <si>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</si>
  <si>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</si>
  <si>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</si>
  <si>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</si>
  <si>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</si>
  <si>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</si>
  <si>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</si>
  <si>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</si>
  <si>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</si>
  <si>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</si>
  <si>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</si>
  <si>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</si>
  <si>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</si>
  <si>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</si>
  <si>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</si>
  <si>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</si>
  <si>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</si>
  <si>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</si>
  <si>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</si>
  <si>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</si>
  <si>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</si>
  <si>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</si>
  <si>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</si>
  <si>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</si>
  <si>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</si>
  <si>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</si>
  <si>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</si>
  <si>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</si>
  <si>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</si>
  <si>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</si>
  <si>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</si>
  <si>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</si>
  <si>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</si>
  <si>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</si>
  <si>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</si>
  <si>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</si>
  <si>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</si>
  <si>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</si>
  <si>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</si>
  <si>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</si>
  <si>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</si>
  <si>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</si>
  <si>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</si>
  <si>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</si>
  <si>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</si>
  <si>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</si>
  <si>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</si>
  <si>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</si>
  <si>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</si>
  <si>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</si>
  <si>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</si>
  <si>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</si>
  <si>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</si>
  <si>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</si>
  <si>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</si>
  <si>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</si>
  <si>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</si>
  <si>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</si>
  <si>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</si>
  <si>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</si>
  <si>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</si>
  <si>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</si>
  <si>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</si>
  <si>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</si>
  <si>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</si>
  <si>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</si>
  <si>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</si>
  <si>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</si>
  <si>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</si>
  <si>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</si>
  <si>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</si>
  <si>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</si>
  <si>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</si>
  <si>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</si>
  <si>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</si>
  <si>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</si>
  <si>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</si>
  <si>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</si>
  <si>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</si>
  <si>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</si>
  <si>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</si>
  <si>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</si>
  <si>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</si>
  <si>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</si>
  <si>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</si>
  <si>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</si>
  <si>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</si>
  <si>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</si>
  <si>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</si>
  <si>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</si>
  <si>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</si>
  <si>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</si>
  <si>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</si>
  <si>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</si>
  <si>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</si>
  <si>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</si>
  <si>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</si>
  <si>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</si>
  <si>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</si>
  <si>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</si>
  <si>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</si>
  <si>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</si>
  <si>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</si>
  <si>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</si>
  <si>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</si>
  <si>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</si>
  <si>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</si>
  <si>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</si>
  <si>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</si>
  <si>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</si>
  <si>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</si>
  <si>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</si>
  <si>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</si>
  <si>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</si>
  <si>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</si>
  <si>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</si>
  <si>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</si>
  <si>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</si>
  <si>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</si>
  <si>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</si>
  <si>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</si>
  <si>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</si>
  <si>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</si>
  <si>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</si>
  <si>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</si>
  <si>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</si>
  <si>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</si>
  <si>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</si>
  <si>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</si>
  <si>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</si>
  <si>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</si>
  <si>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</si>
  <si>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</si>
  <si>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</si>
  <si>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</si>
  <si>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</si>
  <si>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</si>
  <si>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</si>
  <si>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</si>
  <si>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</si>
  <si>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</si>
  <si>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</si>
  <si>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</si>
  <si>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</si>
  <si>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</si>
  <si>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</si>
  <si>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</si>
  <si>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</si>
  <si>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</si>
  <si>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</si>
  <si>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</si>
  <si>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</si>
  <si>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</si>
  <si>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</si>
  <si>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</si>
  <si>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</si>
  <si>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</si>
  <si>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</si>
  <si>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</si>
  <si>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</si>
  <si>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</si>
  <si>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</si>
  <si>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</si>
  <si>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</si>
  <si>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</si>
  <si>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</si>
  <si>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</si>
  <si>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</si>
  <si>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</si>
  <si>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</si>
  <si>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</si>
  <si>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</si>
  <si>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</si>
  <si>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</si>
  <si>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</si>
  <si>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</si>
  <si>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</si>
  <si>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</si>
  <si>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</si>
  <si>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</si>
  <si>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</si>
  <si>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</si>
  <si>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</si>
  <si>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</si>
  <si>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</si>
  <si>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</si>
  <si>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</si>
  <si>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</si>
  <si>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</si>
  <si>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</si>
  <si>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</si>
  <si>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</si>
  <si>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</si>
  <si>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</si>
  <si>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</si>
  <si>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</si>
  <si>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</si>
  <si>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</si>
  <si>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</si>
  <si>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</si>
  <si>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</si>
  <si>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</si>
  <si>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</si>
  <si>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</si>
  <si>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</si>
  <si>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</si>
  <si>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</si>
  <si>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</si>
  <si>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</si>
  <si>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</si>
  <si>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</si>
  <si>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</si>
  <si>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</si>
  <si>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</si>
  <si>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</si>
  <si>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</si>
  <si>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</si>
  <si>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</si>
  <si>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</si>
  <si>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</si>
  <si>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</si>
  <si>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</si>
  <si>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</si>
  <si>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</si>
  <si>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</si>
  <si>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</si>
  <si>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</si>
  <si>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</si>
  <si>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</si>
  <si>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</si>
  <si>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</si>
  <si>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</si>
  <si>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</si>
  <si>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</si>
  <si>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</si>
  <si>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</si>
  <si>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</si>
  <si>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</si>
  <si>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</si>
  <si>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</si>
  <si>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</si>
  <si>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</si>
  <si>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</si>
  <si>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</si>
  <si>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</si>
  <si>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</si>
  <si>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</si>
  <si>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</si>
  <si>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</si>
  <si>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</si>
  <si>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</si>
  <si>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</si>
  <si>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</si>
  <si>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</si>
  <si>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</si>
  <si>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</si>
  <si>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</si>
  <si>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</si>
  <si>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</si>
  <si>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</si>
  <si>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</si>
  <si>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</si>
  <si>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</si>
  <si>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</si>
  <si>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</si>
  <si>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</si>
  <si>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</si>
  <si>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</si>
  <si>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</si>
  <si>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</si>
  <si>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</si>
  <si>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</si>
  <si>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</si>
  <si>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</si>
  <si>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</si>
  <si>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</si>
  <si>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</si>
  <si>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</si>
  <si>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</si>
  <si>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</si>
  <si>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</si>
  <si>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</si>
  <si>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</si>
  <si>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</si>
  <si>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</si>
  <si>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</si>
  <si>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</si>
  <si>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</si>
  <si>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</si>
  <si>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</si>
  <si>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</si>
  <si>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</si>
  <si>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</si>
  <si>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</si>
  <si>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</si>
  <si>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</si>
  <si>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</si>
  <si>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</si>
  <si>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</si>
  <si>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</si>
  <si>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</si>
  <si>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</si>
  <si>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</si>
  <si>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</si>
  <si>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</si>
  <si>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</si>
  <si>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</si>
  <si>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</si>
  <si>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</si>
  <si>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</si>
  <si>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</si>
  <si>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</si>
  <si>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</si>
  <si>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</si>
  <si>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</si>
  <si>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</si>
  <si>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</si>
  <si>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</si>
  <si>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</si>
  <si>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</si>
  <si>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</si>
  <si>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</si>
  <si>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</si>
  <si>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</si>
  <si>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</si>
  <si>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</si>
  <si>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</si>
  <si>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</si>
  <si>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</si>
  <si>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</si>
  <si>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</si>
  <si>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</si>
  <si>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</si>
  <si>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</si>
  <si>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</si>
  <si>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</si>
  <si>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</si>
  <si>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</si>
  <si>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</si>
  <si>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</si>
  <si>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</si>
  <si>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</si>
  <si>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</si>
  <si>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</si>
  <si>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</si>
  <si>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</si>
  <si>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</si>
  <si>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</si>
  <si>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</si>
  <si>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</si>
  <si>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</si>
  <si>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</si>
  <si>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</si>
  <si>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</si>
  <si>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</si>
  <si>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</si>
  <si>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</si>
  <si>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</si>
  <si>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</si>
  <si>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</si>
  <si>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</si>
  <si>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</si>
  <si>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</si>
  <si>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</si>
  <si>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</si>
  <si>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</si>
  <si>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</si>
  <si>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</si>
  <si>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</si>
  <si>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</si>
  <si>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</si>
  <si>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</si>
  <si>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</si>
  <si>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</si>
  <si>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</si>
  <si>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</si>
  <si>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</si>
  <si>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</si>
  <si>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</si>
  <si>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</si>
  <si>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</si>
  <si>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</si>
  <si>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</si>
  <si>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</si>
  <si>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</si>
  <si>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</si>
  <si>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</si>
  <si>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</si>
  <si>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</si>
  <si>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</si>
  <si>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</si>
  <si>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</si>
  <si>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</si>
  <si>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</si>
  <si>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</si>
  <si>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</si>
  <si>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</si>
  <si>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</si>
  <si>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</si>
  <si>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</si>
  <si>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</si>
  <si>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</si>
  <si>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</si>
  <si>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</si>
  <si>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</si>
  <si>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</si>
  <si>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</si>
  <si>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</si>
  <si>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</si>
  <si>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</si>
  <si>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</si>
  <si>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</si>
  <si>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</si>
  <si>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</si>
  <si>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</si>
  <si>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</si>
  <si>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</si>
  <si>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</si>
  <si>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</si>
  <si>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</si>
  <si>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</si>
  <si>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</si>
  <si>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</si>
  <si>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</si>
  <si>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</si>
  <si>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</si>
  <si>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</si>
  <si>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</si>
  <si>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</si>
  <si>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</si>
  <si>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</si>
  <si>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</si>
  <si>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</si>
  <si>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</si>
  <si>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</si>
  <si>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</si>
  <si>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</si>
  <si>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</si>
  <si>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</si>
  <si>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</si>
  <si>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</si>
  <si>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</si>
  <si>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</si>
  <si>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</si>
  <si>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</si>
  <si>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</si>
  <si>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</si>
  <si>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</si>
  <si>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</si>
  <si>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</si>
  <si>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</si>
  <si>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</si>
  <si>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</si>
  <si>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</si>
  <si>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</si>
  <si>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</si>
  <si>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</si>
  <si>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</si>
  <si>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</si>
  <si>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</si>
  <si>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</si>
  <si>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</si>
  <si>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</si>
  <si>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</si>
  <si>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</si>
  <si>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</si>
  <si>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</si>
  <si>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</si>
  <si>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</si>
  <si>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</si>
  <si>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</si>
  <si>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</si>
  <si>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</si>
  <si>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</si>
  <si>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</si>
  <si>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</si>
  <si>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</si>
  <si>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</si>
  <si>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</si>
  <si>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</si>
  <si>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</si>
  <si>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</si>
  <si>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</si>
  <si>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</si>
  <si>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</si>
  <si>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</si>
  <si>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</si>
  <si>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</si>
  <si>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</si>
  <si>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</si>
  <si>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</si>
  <si>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</si>
  <si>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</si>
  <si>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</si>
  <si>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</si>
  <si>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</si>
  <si>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</si>
  <si>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</si>
  <si>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</si>
  <si>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</si>
  <si>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</si>
  <si>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</si>
  <si>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</si>
  <si>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</si>
  <si>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</si>
  <si>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</si>
  <si>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</si>
  <si>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</si>
  <si>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</si>
  <si>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</si>
  <si>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</si>
  <si>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</si>
  <si>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</si>
  <si>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</si>
  <si>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</si>
  <si>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</si>
  <si>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</si>
  <si>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</si>
  <si>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</si>
  <si>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</si>
  <si>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</si>
  <si>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</si>
  <si>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</si>
  <si>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</si>
  <si>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</si>
  <si>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</si>
  <si>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</si>
  <si>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</si>
  <si>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</si>
  <si>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</si>
  <si>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</si>
  <si>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</si>
  <si>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</si>
  <si>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</si>
  <si>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</si>
  <si>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</si>
  <si>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</si>
  <si>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</si>
  <si>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</si>
  <si>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</si>
  <si>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</si>
  <si>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</si>
  <si>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</si>
  <si>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</si>
  <si>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</si>
  <si>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</si>
  <si>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</si>
  <si>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</si>
  <si>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</si>
  <si>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</si>
  <si>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</si>
  <si>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</si>
  <si>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</si>
  <si>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</si>
  <si>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</si>
  <si>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</si>
  <si>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</si>
  <si>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</si>
  <si>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</si>
  <si>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</si>
  <si>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</si>
  <si>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</si>
  <si>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</si>
  <si>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</si>
  <si>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</si>
  <si>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</si>
  <si>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</si>
  <si>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</si>
  <si>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</si>
  <si>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</si>
  <si>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</si>
  <si>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</si>
  <si>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</si>
  <si>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</si>
  <si>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</si>
  <si>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</si>
  <si>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</si>
  <si>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</si>
  <si>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</si>
  <si>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</si>
  <si>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</si>
  <si>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</si>
  <si>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</si>
  <si>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</si>
  <si>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</si>
  <si>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</si>
  <si>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</si>
  <si>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</si>
  <si>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</si>
  <si>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</si>
  <si>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</si>
  <si>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</si>
  <si>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</si>
  <si>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</si>
  <si>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</si>
  <si>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</si>
  <si>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</si>
  <si>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</si>
  <si>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</si>
  <si>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</si>
  <si>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</si>
  <si>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</si>
  <si>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</si>
  <si>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</si>
  <si>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</si>
  <si>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</si>
  <si>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</si>
  <si>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</si>
  <si>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</si>
  <si>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</si>
  <si>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</si>
  <si>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</si>
  <si>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</si>
  <si>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</si>
  <si>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</si>
  <si>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</si>
  <si>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</si>
  <si>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</si>
  <si>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</si>
  <si>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</si>
  <si>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</si>
  <si>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</si>
  <si>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</si>
  <si>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</si>
  <si>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</si>
  <si>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</si>
  <si>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</si>
  <si>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</si>
  <si>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</si>
  <si>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</si>
  <si>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</si>
  <si>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</si>
  <si>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</si>
  <si>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</si>
  <si>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</si>
  <si>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</si>
  <si>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</si>
  <si>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</si>
  <si>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</si>
  <si>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</si>
  <si>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</si>
  <si>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</si>
  <si>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</si>
  <si>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</si>
  <si>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</si>
  <si>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</si>
  <si>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</si>
  <si>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</si>
  <si>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</si>
  <si>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</si>
  <si>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</si>
  <si>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</si>
  <si>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</si>
  <si>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</si>
  <si>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</si>
  <si>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</si>
  <si>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</si>
  <si>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</si>
  <si>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</si>
  <si>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</si>
  <si>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</si>
  <si>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</si>
  <si>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</si>
  <si>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</si>
  <si>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</si>
  <si>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</si>
  <si>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</si>
  <si>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</si>
  <si>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</si>
  <si>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</si>
  <si>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</si>
  <si>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</si>
  <si>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</si>
  <si>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</si>
  <si>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</si>
  <si>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</si>
  <si>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</si>
  <si>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</si>
  <si>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</si>
  <si>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</si>
  <si>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</si>
  <si>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</si>
  <si>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</si>
  <si>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</si>
  <si>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</si>
  <si>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</si>
  <si>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</si>
  <si>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</si>
  <si>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</si>
  <si>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</si>
  <si>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</si>
  <si>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</si>
  <si>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</si>
  <si>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</si>
  <si>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</si>
  <si>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</si>
  <si>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</si>
  <si>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</si>
  <si>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</si>
  <si>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</si>
  <si>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</si>
  <si>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</si>
  <si>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</si>
  <si>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</si>
  <si>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</si>
  <si>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</si>
  <si>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</si>
  <si>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</si>
  <si>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</si>
  <si>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</si>
  <si>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</si>
  <si>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</si>
  <si>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</si>
  <si>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</si>
  <si>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</si>
  <si>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</si>
  <si>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</si>
  <si>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</si>
  <si>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</si>
  <si>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</si>
  <si>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</si>
  <si>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</si>
  <si>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</si>
  <si>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</si>
  <si>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</si>
  <si>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</si>
  <si>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</si>
  <si>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</si>
  <si>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</si>
  <si>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</si>
  <si>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</si>
  <si>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</si>
  <si>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</si>
  <si>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</si>
  <si>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</si>
  <si>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</si>
  <si>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</si>
  <si>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</si>
  <si>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</si>
  <si>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</si>
  <si>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</si>
  <si>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</si>
  <si>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</si>
  <si>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</si>
  <si>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</si>
  <si>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</si>
  <si>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</si>
  <si>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</si>
  <si>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</si>
  <si>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</si>
  <si>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</si>
  <si>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</si>
  <si>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</si>
  <si>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</si>
  <si>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</si>
  <si>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</si>
  <si>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</si>
  <si>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</si>
  <si>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</si>
  <si>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</si>
  <si>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</si>
  <si>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</si>
  <si>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</si>
  <si>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</si>
  <si>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</si>
  <si>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</si>
  <si>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</si>
  <si>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</si>
  <si>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</si>
  <si>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</si>
  <si>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</si>
  <si>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</si>
  <si>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</si>
  <si>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</si>
  <si>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</si>
  <si>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</si>
  <si>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</si>
  <si>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</si>
  <si>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</si>
  <si>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</si>
  <si>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</si>
  <si>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</si>
  <si>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</si>
  <si>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</si>
  <si>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</si>
  <si>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</si>
  <si>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</si>
  <si>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</si>
  <si>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</si>
  <si>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</si>
  <si>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</si>
  <si>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</si>
  <si>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</si>
  <si>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</si>
  <si>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</si>
  <si>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</si>
  <si>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</si>
  <si>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</si>
  <si>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</si>
  <si>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</si>
  <si>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</si>
  <si>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</si>
  <si>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</si>
  <si>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</si>
  <si>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</si>
  <si>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</si>
  <si>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</si>
  <si>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</si>
  <si>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</si>
  <si>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</si>
  <si>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</si>
  <si>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</si>
  <si>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</si>
  <si>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</si>
  <si>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</si>
  <si>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</si>
  <si>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</si>
  <si>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</si>
  <si>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</si>
  <si>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</si>
  <si>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</si>
  <si>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</si>
  <si>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</si>
  <si>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</si>
  <si>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</si>
  <si>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</si>
  <si>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</si>
  <si>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</si>
  <si>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</si>
  <si>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</si>
  <si>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</si>
  <si>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</si>
  <si>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</si>
  <si>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</si>
  <si>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</si>
  <si>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</si>
  <si>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</si>
  <si>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</si>
  <si>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</si>
  <si>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</si>
  <si>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</si>
  <si>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</si>
  <si>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</si>
  <si>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</si>
  <si>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</si>
  <si>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</si>
  <si>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</si>
  <si>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</si>
  <si>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</si>
  <si>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</si>
  <si>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</si>
  <si>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</si>
  <si>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</si>
  <si>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</si>
  <si>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</si>
  <si>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</si>
  <si>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</si>
  <si>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</si>
  <si>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</si>
  <si>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</si>
  <si>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</si>
  <si>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</si>
  <si>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</si>
  <si>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</si>
  <si>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</si>
  <si>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</si>
  <si>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</si>
  <si>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</si>
  <si>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</si>
  <si>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</si>
  <si>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</si>
  <si>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</si>
  <si>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</si>
  <si>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</si>
  <si>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</si>
  <si>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</si>
  <si>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</si>
  <si>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</si>
  <si>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</si>
  <si>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</si>
  <si>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</si>
  <si>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</si>
  <si>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</si>
  <si>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</si>
  <si>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</si>
  <si>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</si>
  <si>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</si>
  <si>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</si>
  <si>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</si>
  <si>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</si>
  <si>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</si>
  <si>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</si>
  <si>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</si>
  <si>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</si>
  <si>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</si>
  <si>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</si>
  <si>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</si>
  <si>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</si>
  <si>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</si>
  <si>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</si>
  <si>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</si>
  <si>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</si>
  <si>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</si>
  <si>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</si>
  <si>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</si>
  <si>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</si>
  <si>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</si>
  <si>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</si>
  <si>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</si>
  <si>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</si>
  <si>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</si>
  <si>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</si>
  <si>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</si>
  <si>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</si>
  <si>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</si>
  <si>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</si>
  <si>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</si>
  <si>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</si>
  <si>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</si>
  <si>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</si>
  <si>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</si>
  <si>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</si>
  <si>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</si>
  <si>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</si>
  <si>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</si>
  <si>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</si>
  <si>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</si>
  <si>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</si>
  <si>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</si>
  <si>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</si>
  <si>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</si>
  <si>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</si>
  <si>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</si>
  <si>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</si>
  <si>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</si>
  <si>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</si>
  <si>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</si>
  <si>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</si>
  <si>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</si>
  <si>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</si>
  <si>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</si>
  <si>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</si>
  <si>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</si>
  <si>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</si>
  <si>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</si>
  <si>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</si>
  <si>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</si>
  <si>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</si>
  <si>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</si>
  <si>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</si>
  <si>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</si>
  <si>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</si>
  <si>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</si>
  <si>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</si>
  <si>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</si>
  <si>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</si>
  <si>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</si>
  <si>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</si>
  <si>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</si>
  <si>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</si>
  <si>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</si>
  <si>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</si>
  <si>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</si>
  <si>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</si>
  <si>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</si>
  <si>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</si>
  <si>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</si>
  <si>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</si>
  <si>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</si>
  <si>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</si>
  <si>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</si>
  <si>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</si>
  <si>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</si>
  <si>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</si>
  <si>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</si>
  <si>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</si>
  <si>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</si>
  <si>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</si>
  <si>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</si>
  <si>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</si>
  <si>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</si>
  <si>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</si>
  <si>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</si>
  <si>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</si>
  <si>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</si>
  <si>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</si>
  <si>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</si>
  <si>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</si>
  <si>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</si>
  <si>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</si>
  <si>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</si>
  <si>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</si>
  <si>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</si>
  <si>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</si>
  <si>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</si>
  <si>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</si>
  <si>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</si>
  <si>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</si>
  <si>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</si>
  <si>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</si>
  <si>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</si>
  <si>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</si>
  <si>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</si>
  <si>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</si>
  <si>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</si>
  <si>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</si>
  <si>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</si>
  <si>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</si>
  <si>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</si>
  <si>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</si>
  <si>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</si>
  <si>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</si>
  <si>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</si>
  <si>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</si>
  <si>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</si>
  <si>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</si>
  <si>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</si>
  <si>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</si>
  <si>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</si>
  <si>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</si>
  <si>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</si>
  <si>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</si>
  <si>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</si>
  <si>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</si>
  <si>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</si>
  <si>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</si>
  <si>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</si>
  <si>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</si>
  <si>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</si>
  <si>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</si>
  <si>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</si>
  <si>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</si>
  <si>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</si>
  <si>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</si>
  <si>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</si>
  <si>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</si>
  <si>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</si>
  <si>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</si>
  <si>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</si>
  <si>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</si>
  <si>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</si>
  <si>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</si>
  <si>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</si>
  <si>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</si>
  <si>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</si>
  <si>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</si>
  <si>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</si>
  <si>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</si>
  <si>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</si>
  <si>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</si>
  <si>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</si>
  <si>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</si>
  <si>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</si>
  <si>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</si>
  <si>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</si>
  <si>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</si>
  <si>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</si>
  <si>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</si>
  <si>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</si>
  <si>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</si>
  <si>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</si>
  <si>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</si>
  <si>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</si>
  <si>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</si>
  <si>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</si>
  <si>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</si>
  <si>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</si>
  <si>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</si>
  <si>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</si>
  <si>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</si>
  <si>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</si>
  <si>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</si>
  <si>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</si>
  <si>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</si>
  <si>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</si>
  <si>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</si>
  <si>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</si>
  <si>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</si>
  <si>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</si>
  <si>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</si>
  <si>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</si>
  <si>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</si>
  <si>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</si>
  <si>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</si>
  <si>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</si>
  <si>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</si>
  <si>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</si>
  <si>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</si>
  <si>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</si>
  <si>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</si>
  <si>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</si>
  <si>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</si>
  <si>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</si>
  <si>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</si>
  <si>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</si>
  <si>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</si>
  <si>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</si>
  <si>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</si>
  <si>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</si>
  <si>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</si>
  <si>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</si>
  <si>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</si>
  <si>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</si>
  <si>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</si>
  <si>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</si>
  <si>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</si>
  <si>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</si>
  <si>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</si>
  <si>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</si>
  <si>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</si>
  <si>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</si>
  <si>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</si>
  <si>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</si>
  <si>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</si>
  <si>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</si>
  <si>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</si>
  <si>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</si>
  <si>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</si>
  <si>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</si>
  <si>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</si>
  <si>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</si>
  <si>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</si>
  <si>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</si>
  <si>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</si>
  <si>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</si>
  <si>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</si>
  <si>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</si>
  <si>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</si>
  <si>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</si>
  <si>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</si>
  <si>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</si>
  <si>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</si>
  <si>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</si>
  <si>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</si>
  <si>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</si>
  <si>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</si>
  <si>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</si>
  <si>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</si>
  <si>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</si>
  <si>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</si>
  <si>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</si>
  <si>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</si>
  <si>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</si>
  <si>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</si>
  <si>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</si>
  <si>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</si>
  <si>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</si>
  <si>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</si>
  <si>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</si>
  <si>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</si>
  <si>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</si>
  <si>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</si>
  <si>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</si>
  <si>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</si>
  <si>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</si>
  <si>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</si>
  <si>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</si>
  <si>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</si>
  <si>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</si>
  <si>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</si>
  <si>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</si>
  <si>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</si>
  <si>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</si>
  <si>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</si>
  <si>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</si>
  <si>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</si>
  <si>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</si>
  <si>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</si>
  <si>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</si>
  <si>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</si>
  <si>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</si>
  <si>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</si>
  <si>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</si>
  <si>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</si>
  <si>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</si>
  <si>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</si>
  <si>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</si>
  <si>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</si>
  <si>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</si>
  <si>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</si>
  <si>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</si>
  <si>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</si>
  <si>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</si>
  <si>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</si>
  <si>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</si>
  <si>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</si>
  <si>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</si>
  <si>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</si>
  <si>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</si>
  <si>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</si>
  <si>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</si>
  <si>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</si>
  <si>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</si>
  <si>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</si>
  <si>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</si>
  <si>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</si>
  <si>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</si>
  <si>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</si>
  <si>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</si>
  <si>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</si>
  <si>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</si>
  <si>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</si>
  <si>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</si>
  <si>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</si>
  <si>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</si>
  <si>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</si>
  <si>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</si>
  <si>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</si>
  <si>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</si>
  <si>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</si>
  <si>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</si>
  <si>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</si>
  <si>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</si>
  <si>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</si>
  <si>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</si>
  <si>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</si>
  <si>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</si>
  <si>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</si>
  <si>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</si>
  <si>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</si>
  <si>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</si>
  <si>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</si>
  <si>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</si>
  <si>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</si>
  <si>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</si>
  <si>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</si>
  <si>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</si>
  <si>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</si>
  <si>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</si>
  <si>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</si>
  <si>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</si>
  <si>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</si>
  <si>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</si>
  <si>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</si>
  <si>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</si>
  <si>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</si>
  <si>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</si>
  <si>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</si>
  <si>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</si>
  <si>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</si>
  <si>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</si>
  <si>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</si>
  <si>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</si>
  <si>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</si>
  <si>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</si>
  <si>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</si>
  <si>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</si>
  <si>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</si>
  <si>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</si>
  <si>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</si>
  <si>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</si>
  <si>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</si>
  <si>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</si>
  <si>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</si>
  <si>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</si>
  <si>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</si>
  <si>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</si>
  <si>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</si>
  <si>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</si>
  <si>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</si>
  <si>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</si>
  <si>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</si>
  <si>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</si>
  <si>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</si>
  <si>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</si>
  <si>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</si>
  <si>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</si>
  <si>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</si>
  <si>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</si>
  <si>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</si>
  <si>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</si>
  <si>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</si>
  <si>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</si>
  <si>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</si>
  <si>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</si>
  <si>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</si>
  <si>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</si>
  <si>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</si>
  <si>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</si>
  <si>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</si>
  <si>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</si>
  <si>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</si>
  <si>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</si>
  <si>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</si>
  <si>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</si>
  <si>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</si>
  <si>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</si>
  <si>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</si>
  <si>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</si>
  <si>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</si>
  <si>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</si>
  <si>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</si>
  <si>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</si>
  <si>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</si>
  <si>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</si>
  <si>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</si>
  <si>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</si>
  <si>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</si>
  <si>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</si>
  <si>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</si>
  <si>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</si>
  <si>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</si>
  <si>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</si>
  <si>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</si>
  <si>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</si>
  <si>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</si>
  <si>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</si>
  <si>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</si>
  <si>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</si>
  <si>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</si>
  <si>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</si>
  <si>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</si>
  <si>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</si>
  <si>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</si>
  <si>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</si>
  <si>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</si>
  <si>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</si>
  <si>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</si>
  <si>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</si>
  <si>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</si>
  <si>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</si>
  <si>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</si>
  <si>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</si>
  <si>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</si>
  <si>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</si>
  <si>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</si>
  <si>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</si>
  <si>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</si>
  <si>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</si>
  <si>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</si>
  <si>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</si>
  <si>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</si>
  <si>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</si>
  <si>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</si>
  <si>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</si>
  <si>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</si>
  <si>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</si>
  <si>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</si>
  <si>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</si>
  <si>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</si>
  <si>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</si>
  <si>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</si>
  <si>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</si>
  <si>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</si>
  <si>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</si>
  <si>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</si>
  <si>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</si>
  <si>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</si>
  <si>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</si>
  <si>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</si>
  <si>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</si>
  <si>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</si>
  <si>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</si>
  <si>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</si>
  <si>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</si>
  <si>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</si>
  <si>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</si>
  <si>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</si>
  <si>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</si>
  <si>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</si>
  <si>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</si>
  <si>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</si>
  <si>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</si>
  <si>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</si>
  <si>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</si>
  <si>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</si>
  <si>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</si>
  <si>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</si>
  <si>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</si>
  <si>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</si>
  <si>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</si>
  <si>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</si>
  <si>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</si>
  <si>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</si>
  <si>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</si>
  <si>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</si>
  <si>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</si>
  <si>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</si>
  <si>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</si>
  <si>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</si>
  <si>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</si>
  <si>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</si>
  <si>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</si>
  <si>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</si>
  <si>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</si>
  <si>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</si>
  <si>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</si>
  <si>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</si>
  <si>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</si>
  <si>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</si>
  <si>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</si>
  <si>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</si>
  <si>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</si>
  <si>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</si>
  <si>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</si>
  <si>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</si>
  <si>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</si>
  <si>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</si>
  <si>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</si>
  <si>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</si>
  <si>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</si>
  <si>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</si>
  <si>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</si>
  <si>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</si>
  <si>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</si>
  <si>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</si>
  <si>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</si>
  <si>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</si>
  <si>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</si>
  <si>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</si>
  <si>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</si>
  <si>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</si>
  <si>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</si>
  <si>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</si>
  <si>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</si>
  <si>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</si>
  <si>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</si>
  <si>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</si>
  <si>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</si>
  <si>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</si>
  <si>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</si>
  <si>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</si>
  <si>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</si>
  <si>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</si>
  <si>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</si>
  <si>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</si>
  <si>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</si>
  <si>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</si>
  <si>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</si>
  <si>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</si>
  <si>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</si>
  <si>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</si>
  <si>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</si>
  <si>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</si>
  <si>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</si>
  <si>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</si>
  <si>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</si>
  <si>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</si>
  <si>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</si>
  <si>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</si>
  <si>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</si>
  <si>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</si>
  <si>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</si>
  <si>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</si>
  <si>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</si>
  <si>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</si>
  <si>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</si>
  <si>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</si>
  <si>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</si>
  <si>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</si>
  <si>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</si>
  <si>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</si>
  <si>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</si>
  <si>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</si>
  <si>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</si>
  <si>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</si>
  <si>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</si>
  <si>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</si>
  <si>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</si>
  <si>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</si>
  <si>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</si>
  <si>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</si>
  <si>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</si>
  <si>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</si>
  <si>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</si>
  <si>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</si>
  <si>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</si>
  <si>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</si>
  <si>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</si>
  <si>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</si>
  <si>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</si>
  <si>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</si>
  <si>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</si>
  <si>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</si>
  <si>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</si>
  <si>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</si>
  <si>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</si>
  <si>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</si>
  <si>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</si>
  <si>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</si>
  <si>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</si>
  <si>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</si>
  <si>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</si>
  <si>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</si>
  <si>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</si>
  <si>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</si>
  <si>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</si>
  <si>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</si>
  <si>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</si>
  <si>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</si>
  <si>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</si>
  <si>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</si>
  <si>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</si>
  <si>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</si>
  <si>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</si>
  <si>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</si>
  <si>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</si>
  <si>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</si>
  <si>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</si>
  <si>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</si>
  <si>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</si>
  <si>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</si>
  <si>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</si>
  <si>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</si>
  <si>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</si>
  <si>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</si>
  <si>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</si>
  <si>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</si>
  <si>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</si>
  <si>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</si>
  <si>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</si>
  <si>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</si>
  <si>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</si>
  <si>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</si>
  <si>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</si>
  <si>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</si>
  <si>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</si>
  <si>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</si>
  <si>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</si>
  <si>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</si>
  <si>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</si>
  <si>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</si>
  <si>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</si>
  <si>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</si>
  <si>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</si>
  <si>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</si>
  <si>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</si>
  <si>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</si>
  <si>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</si>
  <si>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</si>
  <si>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</si>
  <si>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</si>
  <si>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</si>
  <si>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</si>
  <si>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</si>
  <si>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</si>
  <si>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</si>
  <si>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</si>
  <si>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</si>
  <si>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</si>
  <si>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</si>
  <si>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</si>
  <si>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</si>
  <si>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</si>
  <si>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</si>
  <si>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</si>
  <si>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</si>
  <si>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</si>
  <si>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</si>
  <si>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</si>
  <si>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</si>
  <si>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</si>
  <si>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</si>
  <si>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</si>
  <si>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</si>
  <si>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</si>
  <si>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</si>
  <si>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</si>
  <si>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</si>
  <si>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</si>
  <si>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</si>
  <si>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</si>
  <si>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</si>
  <si>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</si>
  <si>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</si>
  <si>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</si>
  <si>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</si>
  <si>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</si>
  <si>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</si>
  <si>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</si>
  <si>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</si>
  <si>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</si>
  <si>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</si>
  <si>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</si>
  <si>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</si>
  <si>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</si>
  <si>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</si>
  <si>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</si>
  <si>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</si>
  <si>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</si>
  <si>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</si>
  <si>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</si>
  <si>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</si>
  <si>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</si>
  <si>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</si>
  <si>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</si>
  <si>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</si>
  <si>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</si>
  <si>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</si>
  <si>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</si>
  <si>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</si>
  <si>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</si>
  <si>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</si>
  <si>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</si>
  <si>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</si>
  <si>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</si>
  <si>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</si>
  <si>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</si>
  <si>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</si>
  <si>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</si>
  <si>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</si>
  <si>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</si>
  <si>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</si>
  <si>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</si>
  <si>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</si>
  <si>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</si>
  <si>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</si>
  <si>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</si>
  <si>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</si>
  <si>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</si>
  <si>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</si>
  <si>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</si>
  <si>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</si>
  <si>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</si>
  <si>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</si>
  <si>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</si>
  <si>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</si>
  <si>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</si>
  <si>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</si>
  <si>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</si>
  <si>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</si>
  <si>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</si>
  <si>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</si>
  <si>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</si>
  <si>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</si>
  <si>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</si>
  <si>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</si>
  <si>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</si>
  <si>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</si>
  <si>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</si>
  <si>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</si>
  <si>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</si>
  <si>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</si>
  <si>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</si>
  <si>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</si>
  <si>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</si>
  <si>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</si>
  <si>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</si>
  <si>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</si>
  <si>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</si>
  <si>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</si>
  <si>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</si>
  <si>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</si>
  <si>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</si>
  <si>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</si>
  <si>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</si>
  <si>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</si>
  <si>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</si>
  <si>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</si>
  <si>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</si>
  <si>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</si>
  <si>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</si>
  <si>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</si>
  <si>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</si>
  <si>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</si>
  <si>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</si>
  <si>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</si>
  <si>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</si>
  <si>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</si>
  <si>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</si>
  <si>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</si>
  <si>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</si>
  <si>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</si>
  <si>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</si>
  <si>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</si>
  <si>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</si>
  <si>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</si>
  <si>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</si>
  <si>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</si>
  <si>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</si>
  <si>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</si>
  <si>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</si>
  <si>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</si>
  <si>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</si>
  <si>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</si>
  <si>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</si>
  <si>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</si>
  <si>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</si>
  <si>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</si>
  <si>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</si>
  <si>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</si>
  <si>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</si>
  <si>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</si>
  <si>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</si>
  <si>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</si>
  <si>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</si>
  <si>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</si>
  <si>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</si>
  <si>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</si>
  <si>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</si>
  <si>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</si>
  <si>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</si>
  <si>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</si>
  <si>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</si>
  <si>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</si>
  <si>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</si>
  <si>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</si>
  <si>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</si>
  <si>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</si>
  <si>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</si>
  <si>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</si>
  <si>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</si>
  <si>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</si>
  <si>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</si>
  <si>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</si>
  <si>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</si>
  <si>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</si>
  <si>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</si>
  <si>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</si>
  <si>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</si>
  <si>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</si>
  <si>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</si>
  <si>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</si>
  <si>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</si>
  <si>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</si>
  <si>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</si>
  <si>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</si>
  <si>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</si>
  <si>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</si>
  <si>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</si>
  <si>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</si>
  <si>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</si>
  <si>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</si>
  <si>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</si>
  <si>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</si>
  <si>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</si>
  <si>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</si>
  <si>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</si>
  <si>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</si>
  <si>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</si>
  <si>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</si>
  <si>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</si>
  <si>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</si>
  <si>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</si>
  <si>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</si>
  <si>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</si>
  <si>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</si>
  <si>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</si>
  <si>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</si>
  <si>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</si>
  <si>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</si>
  <si>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</si>
  <si>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</si>
  <si>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</si>
  <si>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</si>
  <si>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</si>
  <si>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</si>
  <si>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</si>
  <si>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</si>
  <si>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</si>
  <si>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</si>
  <si>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</si>
  <si>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</si>
  <si>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</si>
  <si>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</si>
  <si>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</si>
  <si>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</si>
  <si>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</si>
  <si>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</si>
  <si>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</si>
  <si>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</si>
  <si>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</si>
  <si>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</si>
  <si>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</si>
  <si>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</si>
  <si>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</si>
  <si>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</si>
  <si>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</si>
  <si>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</si>
  <si>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</si>
  <si>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</si>
  <si>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</si>
  <si>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</si>
  <si>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</si>
  <si>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</si>
  <si>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</si>
  <si>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</si>
  <si>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</si>
  <si>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</si>
  <si>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</si>
  <si>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</si>
  <si>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</si>
  <si>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</si>
  <si>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</si>
  <si>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</si>
  <si>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</si>
  <si>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</si>
  <si>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</si>
  <si>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</si>
  <si>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</si>
  <si>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</si>
  <si>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</si>
  <si>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</si>
  <si>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</si>
  <si>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</si>
  <si>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</si>
  <si>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</si>
  <si>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</si>
  <si>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</si>
  <si>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</si>
  <si>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</si>
  <si>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</si>
  <si>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</si>
  <si>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</si>
  <si>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</si>
  <si>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</si>
  <si>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</si>
  <si>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</si>
  <si>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</si>
  <si>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</si>
  <si>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</si>
  <si>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</si>
  <si>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</si>
  <si>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</si>
  <si>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</si>
  <si>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</si>
  <si>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</si>
  <si>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</si>
  <si>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</si>
  <si>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</si>
  <si>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</si>
  <si>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</si>
  <si>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</si>
  <si>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</si>
  <si>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</si>
  <si>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</si>
  <si>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</si>
  <si>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</si>
  <si>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</si>
  <si>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</si>
  <si>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</si>
  <si>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</si>
  <si>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</si>
  <si>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</si>
  <si>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</si>
  <si>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</si>
  <si>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</si>
  <si>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</si>
  <si>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</si>
  <si>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</si>
  <si>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</si>
  <si>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</si>
  <si>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</si>
  <si>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</si>
  <si>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</si>
  <si>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</si>
  <si>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</si>
  <si>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</si>
  <si>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</si>
  <si>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</si>
  <si>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</si>
  <si>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</si>
  <si>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</si>
  <si>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</si>
  <si>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</si>
  <si>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</si>
  <si>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</si>
  <si>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</si>
  <si>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</si>
  <si>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</si>
  <si>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</si>
  <si>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</si>
  <si>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</si>
  <si>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</si>
  <si>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</si>
  <si>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</si>
  <si>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</si>
  <si>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</si>
  <si>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</si>
  <si>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</si>
  <si>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</si>
  <si>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</si>
  <si>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</si>
  <si>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</si>
  <si>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</si>
  <si>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</si>
  <si>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</si>
  <si>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</si>
  <si>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</si>
  <si>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</si>
  <si>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</si>
  <si>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</si>
  <si>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</si>
  <si>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</si>
  <si>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</si>
  <si>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</si>
  <si>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</si>
  <si>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</si>
  <si>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</si>
  <si>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</si>
  <si>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</si>
  <si>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</si>
  <si>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</si>
  <si>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</si>
  <si>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</si>
  <si>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</si>
  <si>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</si>
  <si>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</si>
  <si>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</si>
  <si>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</si>
  <si>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</si>
  <si>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</si>
  <si>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</si>
  <si>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</si>
  <si>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</si>
  <si>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</si>
  <si>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</si>
  <si>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</si>
  <si>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</si>
  <si>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</si>
  <si>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</si>
  <si>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</si>
  <si>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</si>
  <si>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</si>
  <si>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</si>
  <si>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</si>
  <si>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</si>
  <si>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</si>
  <si>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</si>
  <si>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</si>
  <si>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</si>
  <si>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</si>
  <si>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</si>
  <si>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</si>
  <si>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</si>
  <si>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</si>
  <si>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</si>
  <si>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</si>
  <si>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</si>
  <si>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</si>
  <si>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</si>
  <si>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</si>
  <si>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</si>
  <si>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</si>
  <si>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</si>
  <si>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</si>
  <si>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</si>
  <si>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</si>
  <si>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</si>
  <si>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</si>
  <si>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</si>
  <si>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</si>
  <si>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</si>
  <si>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</si>
  <si>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</si>
  <si>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</si>
  <si>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</si>
  <si>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</si>
  <si>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</si>
  <si>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</si>
  <si>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</si>
  <si>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</si>
  <si>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</si>
  <si>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</si>
  <si>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</si>
  <si>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</si>
  <si>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</si>
  <si>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</si>
  <si>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</si>
  <si>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</si>
  <si>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</si>
  <si>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</si>
  <si>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</si>
  <si>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</si>
  <si>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</si>
  <si>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</si>
  <si>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</si>
  <si>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</si>
  <si>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</si>
  <si>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</si>
  <si>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</si>
  <si>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</si>
  <si>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</si>
  <si>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</si>
  <si>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</si>
  <si>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</si>
  <si>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</si>
  <si>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</si>
  <si>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</si>
  <si>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</si>
  <si>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</si>
  <si>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</si>
  <si>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</si>
  <si>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</si>
  <si>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</si>
  <si>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</si>
  <si>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</si>
  <si>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</si>
  <si>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</si>
  <si>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</si>
  <si>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</si>
  <si>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</si>
  <si>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</si>
  <si>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</si>
  <si>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</si>
  <si>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</si>
  <si>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</si>
  <si>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</si>
  <si>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</si>
  <si>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</si>
  <si>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</si>
  <si>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</si>
  <si>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</si>
  <si>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</si>
  <si>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</si>
  <si>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</si>
  <si>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</si>
  <si>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</si>
  <si>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</si>
  <si>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</si>
  <si>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</si>
  <si>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</si>
  <si>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</si>
  <si>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</si>
  <si>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</si>
  <si>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</si>
  <si>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</si>
  <si>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</si>
  <si>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</si>
  <si>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</si>
  <si>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</si>
  <si>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</si>
  <si>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</si>
  <si>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</si>
  <si>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</si>
  <si>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</si>
  <si>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</si>
  <si>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</si>
  <si>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</si>
  <si>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</si>
  <si>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</si>
  <si>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</si>
  <si>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</si>
  <si>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</si>
  <si>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</si>
  <si>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</si>
  <si>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</si>
  <si>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</si>
  <si>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</si>
  <si>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</si>
  <si>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</si>
  <si>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</si>
  <si>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</si>
  <si>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</si>
  <si>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</si>
  <si>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</si>
  <si>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</si>
  <si>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</si>
  <si>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</si>
  <si>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</si>
  <si>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</si>
  <si>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</si>
  <si>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</si>
  <si>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</si>
  <si>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</si>
  <si>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</si>
  <si>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</si>
  <si>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</si>
  <si>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</si>
  <si>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</si>
  <si>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</si>
  <si>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</si>
  <si>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</si>
  <si>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</si>
  <si>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</si>
  <si>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</si>
  <si>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</si>
  <si>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</si>
  <si>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</si>
  <si>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</si>
  <si>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</si>
  <si>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</si>
  <si>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</si>
  <si>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</si>
  <si>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</si>
  <si>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</si>
  <si>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</si>
  <si>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</si>
  <si>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</si>
  <si>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</si>
  <si>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</si>
  <si>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</si>
  <si>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</si>
  <si>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</si>
  <si>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</si>
  <si>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</si>
  <si>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</si>
  <si>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</si>
  <si>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</si>
  <si>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</si>
  <si>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</si>
  <si>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</si>
  <si>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</si>
  <si>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</si>
  <si>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</si>
  <si>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</si>
  <si>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</si>
  <si>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</si>
  <si>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</si>
  <si>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</si>
  <si>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</si>
  <si>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</si>
  <si>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</si>
  <si>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</si>
  <si>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</si>
  <si>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</si>
  <si>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</si>
  <si>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</si>
  <si>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</si>
  <si>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</si>
  <si>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</si>
  <si>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</si>
  <si>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</si>
  <si>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</si>
  <si>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</si>
  <si>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</si>
  <si>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</si>
  <si>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</si>
  <si>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</si>
  <si>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</si>
  <si>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</si>
  <si>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</si>
  <si>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</si>
  <si>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</si>
  <si>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</si>
  <si>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</si>
  <si>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</si>
  <si>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</si>
  <si>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</si>
  <si>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</si>
  <si>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</si>
  <si>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</si>
  <si>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</si>
  <si>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</si>
  <si>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</si>
  <si>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</si>
  <si>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</si>
  <si>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</si>
  <si>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</si>
  <si>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</si>
  <si>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</si>
  <si>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</si>
  <si>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</si>
  <si>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</si>
  <si>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</si>
  <si>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</si>
  <si>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</si>
  <si>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</si>
  <si>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</si>
  <si>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</si>
  <si>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</si>
  <si>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</si>
  <si>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</si>
  <si>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</si>
  <si>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</si>
  <si>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</si>
  <si>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</si>
  <si>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</si>
  <si>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</si>
  <si>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</si>
  <si>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</si>
  <si>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</si>
  <si>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</si>
  <si>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</si>
  <si>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</si>
  <si>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</si>
  <si>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</si>
  <si>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</si>
  <si>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</si>
  <si>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</si>
  <si>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</si>
  <si>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</si>
  <si>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</si>
  <si>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</si>
  <si>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</si>
  <si>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</si>
  <si>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</si>
  <si>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</si>
  <si>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</si>
  <si>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</si>
  <si>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</si>
  <si>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</si>
  <si>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</si>
  <si>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</si>
  <si>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</si>
  <si>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</si>
  <si>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</si>
  <si>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</si>
  <si>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</si>
  <si>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</si>
  <si>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</si>
  <si>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</si>
  <si>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</si>
  <si>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</si>
  <si>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</si>
  <si>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</si>
  <si>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</si>
  <si>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</si>
  <si>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</si>
  <si>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</si>
  <si>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</si>
  <si>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</si>
  <si>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</si>
  <si>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</si>
  <si>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</si>
  <si>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</si>
  <si>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</si>
  <si>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</si>
  <si>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</si>
  <si>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</si>
  <si>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</si>
  <si>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</si>
  <si>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</si>
  <si>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</si>
  <si>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</si>
  <si>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</si>
  <si>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</si>
  <si>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</si>
  <si>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</si>
  <si>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</si>
  <si>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</si>
  <si>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</si>
  <si>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</si>
  <si>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</si>
  <si>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</si>
  <si>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</si>
  <si>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</si>
  <si>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</si>
  <si>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</si>
  <si>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</si>
  <si>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</si>
  <si>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</si>
  <si>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</si>
  <si>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</si>
  <si>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</si>
  <si>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</si>
  <si>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</si>
  <si>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</si>
  <si>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</si>
  <si>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</si>
  <si>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</si>
  <si>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</si>
  <si>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</si>
  <si>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</si>
  <si>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</si>
  <si>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</si>
  <si>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</si>
  <si>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</si>
  <si>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</si>
  <si>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</si>
  <si>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</si>
  <si>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</si>
  <si>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</si>
  <si>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</si>
  <si>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</si>
  <si>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</si>
  <si>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</si>
  <si>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</si>
  <si>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</si>
  <si>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</si>
  <si>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</si>
  <si>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</si>
  <si>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</si>
  <si>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</si>
  <si>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</si>
  <si>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</si>
  <si>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</si>
  <si>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</si>
  <si>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</si>
  <si>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</si>
  <si>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</si>
  <si>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</si>
  <si>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</si>
  <si>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</si>
  <si>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</si>
  <si>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</si>
  <si>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</si>
  <si>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</si>
  <si>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</si>
  <si>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</si>
  <si>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</si>
  <si>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</si>
  <si>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</si>
  <si>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</si>
  <si>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</si>
  <si>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</si>
  <si>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</si>
  <si>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</si>
  <si>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</si>
  <si>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</si>
  <si>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</si>
  <si>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</si>
  <si>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</si>
  <si>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</si>
  <si>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</si>
  <si>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</si>
  <si>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</si>
  <si>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</si>
  <si>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</si>
  <si>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</si>
  <si>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</si>
  <si>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</si>
  <si>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</si>
  <si>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</si>
  <si>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</si>
  <si>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</si>
  <si>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</si>
  <si>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</si>
  <si>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</si>
  <si>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</si>
  <si>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</si>
  <si>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</si>
  <si>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</si>
  <si>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</si>
  <si>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</si>
  <si>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</si>
  <si>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</si>
  <si>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</si>
  <si>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</si>
  <si>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</si>
  <si>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</si>
  <si>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</si>
  <si>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</si>
  <si>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</si>
  <si>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</si>
  <si>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</si>
  <si>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</si>
  <si>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</si>
  <si>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</si>
  <si>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</si>
  <si>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</si>
  <si>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</si>
  <si>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</si>
  <si>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</si>
  <si>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</si>
  <si>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</si>
  <si>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</si>
  <si>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</si>
  <si>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</si>
  <si>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</si>
  <si>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</si>
  <si>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</si>
  <si>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</si>
  <si>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</si>
  <si>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</si>
  <si>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</si>
  <si>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</si>
  <si>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</si>
  <si>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</si>
  <si>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</si>
  <si>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</si>
  <si>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</si>
  <si>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</si>
  <si>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</si>
  <si>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</si>
  <si>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</si>
  <si>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</si>
  <si>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</si>
  <si>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</si>
  <si>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</si>
  <si>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</si>
  <si>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</si>
  <si>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</si>
  <si>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</si>
  <si>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</si>
  <si>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</si>
  <si>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</si>
  <si>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</si>
  <si>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</si>
  <si>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</si>
  <si>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</si>
  <si>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</si>
  <si>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</si>
  <si>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</si>
  <si>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</si>
  <si>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</si>
  <si>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</si>
  <si>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</si>
  <si>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</si>
  <si>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</si>
  <si>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</si>
  <si>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</si>
  <si>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</si>
  <si>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</si>
  <si>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</si>
  <si>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</si>
  <si>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</si>
  <si>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</si>
  <si>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</si>
  <si>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</si>
  <si>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</si>
  <si>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</si>
  <si>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</si>
  <si>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</si>
  <si>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</si>
  <si>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</si>
  <si>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</si>
  <si>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</si>
  <si>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</si>
  <si>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</si>
  <si>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</si>
  <si>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</si>
  <si>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</si>
  <si>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</si>
  <si>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</si>
  <si>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</si>
  <si>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</si>
  <si>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</si>
  <si>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</si>
  <si>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</si>
  <si>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</si>
  <si>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</si>
  <si>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</si>
  <si>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</si>
  <si>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</si>
  <si>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</si>
  <si>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</si>
  <si>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</si>
  <si>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</si>
  <si>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</si>
  <si>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</si>
  <si>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</si>
  <si>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</si>
  <si>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</si>
  <si>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</si>
  <si>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</si>
  <si>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</si>
  <si>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</si>
  <si>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</si>
  <si>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</si>
  <si>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</si>
  <si>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</si>
  <si>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</si>
  <si>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</si>
  <si>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</si>
  <si>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</si>
  <si>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</si>
  <si>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</si>
  <si>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</si>
  <si>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</si>
  <si>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</si>
  <si>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</si>
  <si>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</si>
  <si>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</si>
  <si>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</si>
  <si>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</si>
  <si>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</si>
  <si>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</si>
  <si>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</si>
  <si>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</si>
  <si>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</si>
  <si>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</si>
  <si>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</si>
  <si>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</si>
  <si>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</si>
  <si>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</si>
  <si>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</si>
  <si>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</si>
  <si>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</si>
  <si>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</si>
  <si>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</si>
  <si>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</si>
  <si>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</si>
  <si>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</si>
  <si>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</si>
  <si>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</si>
  <si>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</si>
  <si>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</si>
  <si>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</si>
  <si>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</si>
  <si>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</si>
  <si>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</si>
  <si>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</si>
  <si>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</si>
  <si>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</si>
  <si>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</si>
  <si>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</si>
  <si>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</si>
  <si>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</si>
  <si>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</si>
  <si>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</si>
  <si>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</si>
  <si>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</si>
  <si>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</si>
  <si>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</si>
  <si>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</si>
  <si>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</si>
  <si>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</si>
  <si>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</si>
  <si>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</si>
  <si>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</si>
  <si>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</si>
  <si>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</si>
  <si>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</si>
  <si>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</si>
  <si>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</si>
  <si>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</si>
  <si>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</si>
  <si>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</si>
  <si>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</si>
  <si>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</si>
  <si>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</si>
  <si>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</si>
  <si>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</si>
  <si>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</si>
  <si>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</si>
  <si>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</si>
  <si>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</si>
  <si>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</si>
  <si>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</si>
  <si>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</si>
  <si>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</si>
  <si>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</si>
  <si>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</si>
  <si>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</si>
  <si>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</si>
  <si>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</si>
  <si>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</si>
  <si>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</si>
  <si>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</si>
  <si>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</si>
  <si>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</si>
  <si>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</si>
  <si>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</si>
  <si>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</si>
  <si>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</si>
  <si>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</si>
  <si>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</si>
  <si>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</si>
  <si>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</si>
  <si>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</si>
  <si>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</si>
  <si>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</si>
  <si>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</si>
  <si>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</si>
  <si>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</si>
  <si>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</si>
  <si>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</si>
  <si>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</si>
  <si>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</si>
  <si>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</si>
  <si>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</si>
  <si>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</si>
  <si>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</si>
  <si>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</si>
  <si>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</si>
  <si>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</si>
  <si>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</si>
  <si>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</si>
  <si>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</si>
  <si>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</si>
  <si>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</si>
  <si>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</si>
  <si>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</si>
  <si>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</si>
  <si>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</si>
  <si>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</si>
  <si>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</si>
  <si>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</si>
  <si>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</si>
  <si>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</si>
  <si>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</si>
  <si>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</si>
  <si>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</si>
  <si>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</si>
  <si>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</si>
  <si>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</si>
  <si>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</si>
  <si>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</si>
  <si>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</si>
  <si>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</si>
  <si>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</si>
  <si>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</si>
  <si>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</si>
  <si>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</si>
  <si>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</si>
  <si>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</si>
  <si>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</si>
  <si>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</si>
  <si>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</si>
  <si>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</si>
  <si>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</si>
  <si>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</si>
  <si>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</si>
  <si>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</si>
  <si>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</si>
  <si>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</si>
  <si>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</si>
  <si>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</si>
  <si>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</si>
  <si>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</si>
  <si>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</si>
  <si>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</si>
  <si>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</si>
  <si>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</si>
  <si>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</si>
  <si>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</si>
  <si>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</si>
  <si>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</si>
  <si>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</si>
  <si>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</si>
  <si>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</si>
  <si>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</si>
  <si>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</si>
  <si>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</si>
  <si>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</si>
  <si>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</si>
  <si>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</si>
  <si>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</si>
  <si>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</si>
  <si>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</si>
  <si>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</si>
  <si>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</si>
  <si>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</si>
  <si>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</si>
  <si>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</si>
  <si>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</si>
  <si>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</si>
  <si>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</si>
  <si>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</si>
  <si>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</si>
  <si>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</si>
  <si>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</si>
  <si>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</si>
  <si>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</si>
  <si>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</si>
  <si>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</si>
  <si>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</si>
  <si>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</si>
  <si>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</si>
  <si>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</si>
  <si>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</si>
  <si>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</si>
  <si>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</si>
  <si>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</si>
  <si>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</si>
  <si>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</si>
  <si>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</si>
  <si>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</si>
  <si>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</si>
  <si>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</si>
  <si>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</si>
  <si>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</si>
  <si>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</si>
  <si>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</si>
  <si>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</si>
  <si>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</si>
  <si>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</si>
  <si>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</si>
  <si>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</si>
  <si>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</si>
  <si>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</si>
  <si>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</si>
  <si>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</si>
  <si>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</si>
  <si>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</si>
  <si>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</si>
  <si>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</si>
  <si>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</si>
  <si>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</si>
  <si>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</si>
  <si>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</si>
  <si>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</si>
  <si>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</si>
  <si>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</si>
  <si>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</si>
  <si>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</si>
  <si>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</si>
  <si>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</si>
  <si>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</si>
  <si>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</si>
  <si>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</si>
  <si>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</si>
  <si>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</si>
  <si>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</si>
  <si>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</si>
  <si>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</si>
  <si>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</si>
  <si>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</si>
  <si>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</si>
  <si>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</si>
  <si>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</si>
  <si>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</si>
  <si>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</si>
  <si>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</si>
  <si>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</si>
  <si>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</si>
  <si>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</si>
  <si>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</si>
  <si>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</si>
  <si>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</si>
  <si>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</si>
  <si>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</si>
  <si>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</si>
  <si>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</si>
  <si>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</si>
  <si>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</si>
  <si>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</si>
  <si>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</si>
  <si>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</si>
  <si>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</si>
  <si>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</si>
  <si>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</si>
  <si>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</si>
  <si>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</si>
  <si>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</si>
  <si>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</si>
  <si>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</si>
  <si>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</si>
  <si>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</si>
  <si>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</si>
  <si>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</si>
  <si>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</si>
  <si>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</si>
  <si>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</si>
  <si>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</si>
  <si>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</si>
  <si>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</si>
  <si>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</si>
  <si>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</si>
  <si>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</si>
  <si>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</si>
  <si>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</si>
  <si>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</si>
  <si>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</si>
  <si>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</si>
  <si>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</si>
  <si>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</si>
  <si>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</si>
  <si>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</si>
  <si>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</si>
  <si>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</si>
  <si>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</si>
  <si>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</si>
  <si>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</si>
  <si>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</si>
  <si>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</si>
  <si>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</si>
  <si>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</si>
  <si>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</si>
  <si>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</si>
  <si>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</si>
  <si>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</si>
  <si>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</si>
  <si>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</si>
  <si>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</si>
  <si>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</si>
  <si>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</si>
  <si>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</si>
  <si>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</si>
  <si>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</si>
  <si>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</si>
  <si>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</si>
  <si>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</si>
  <si>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</si>
  <si>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</si>
  <si>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</si>
  <si>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</si>
  <si>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</si>
  <si>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</si>
  <si>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</si>
  <si>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</si>
  <si>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</si>
  <si>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</si>
  <si>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</si>
  <si>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</si>
  <si>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</si>
  <si>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</si>
  <si>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</si>
  <si>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</si>
  <si>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</si>
  <si>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</si>
  <si>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</si>
  <si>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</si>
  <si>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</si>
  <si>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</si>
  <si>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</si>
  <si>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</si>
  <si>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</si>
  <si>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</si>
  <si>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</si>
  <si>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</si>
  <si>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</si>
  <si>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</si>
  <si>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</si>
  <si>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</si>
  <si>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</si>
  <si>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</si>
  <si>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</si>
  <si>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</si>
  <si>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</si>
  <si>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</si>
  <si>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</si>
  <si>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</si>
  <si>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</si>
  <si>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</si>
  <si>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</si>
  <si>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</si>
  <si>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</si>
  <si>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</si>
  <si>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</si>
  <si>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</si>
  <si>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</si>
  <si>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</si>
  <si>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</si>
  <si>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</si>
  <si>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</si>
  <si>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</si>
  <si>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</si>
  <si>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</si>
  <si>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</si>
  <si>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</si>
  <si>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</si>
  <si>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</si>
  <si>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</si>
  <si>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</si>
  <si>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</si>
  <si>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</si>
  <si>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</si>
  <si>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</si>
  <si>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</si>
  <si>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</si>
  <si>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</si>
  <si>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</si>
  <si>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</si>
  <si>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</si>
  <si>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</si>
  <si>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</si>
  <si>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</si>
  <si>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</si>
  <si>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</si>
  <si>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</si>
  <si>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</si>
  <si>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</si>
  <si>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</si>
  <si>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</si>
  <si>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</si>
  <si>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</si>
  <si>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</si>
  <si>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</si>
  <si>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</si>
  <si>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</si>
  <si>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</si>
  <si>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</si>
  <si>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</si>
  <si>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</si>
  <si>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</si>
  <si>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</si>
  <si>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</si>
  <si>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</si>
  <si>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</si>
  <si>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</si>
  <si>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</si>
  <si>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</si>
  <si>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</si>
  <si>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</si>
  <si>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</si>
  <si>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</si>
  <si>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</si>
  <si>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</si>
  <si>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</si>
  <si>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</si>
  <si>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</si>
  <si>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</si>
  <si>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</si>
  <si>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</si>
  <si>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</si>
  <si>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</si>
  <si>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</si>
  <si>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</si>
  <si>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</si>
  <si>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</si>
  <si>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</si>
  <si>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</si>
  <si>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</si>
  <si>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</si>
  <si>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</si>
  <si>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</si>
  <si>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</si>
  <si>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</si>
  <si>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</si>
  <si>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</si>
  <si>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</si>
  <si>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</si>
  <si>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</si>
  <si>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</si>
  <si>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</si>
  <si>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</si>
  <si>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</si>
  <si>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</si>
  <si>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</si>
  <si>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</si>
  <si>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</si>
  <si>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</si>
  <si>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</si>
  <si>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</si>
  <si>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</si>
  <si>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</si>
  <si>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</si>
  <si>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</si>
  <si>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</si>
  <si>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</si>
  <si>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</si>
  <si>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</si>
  <si>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</si>
  <si>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</si>
  <si>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</si>
  <si>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</si>
  <si>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</si>
  <si>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</si>
  <si>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</si>
  <si>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</si>
  <si>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</si>
  <si>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</si>
  <si>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</si>
  <si>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</si>
  <si>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</si>
  <si>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</si>
  <si>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</si>
  <si>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</si>
  <si>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</si>
  <si>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</si>
  <si>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</si>
  <si>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</si>
  <si>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</si>
  <si>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</si>
  <si>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</si>
  <si>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</si>
  <si>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</si>
  <si>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</si>
  <si>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</si>
  <si>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</si>
  <si>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</si>
  <si>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</si>
  <si>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</si>
  <si>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</si>
  <si>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</si>
  <si>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</si>
  <si>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</si>
  <si>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</si>
  <si>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</si>
  <si>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</si>
  <si>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</si>
  <si>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</si>
  <si>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</si>
  <si>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</si>
  <si>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</si>
  <si>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</si>
  <si>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</si>
  <si>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</si>
  <si>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</si>
  <si>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</si>
  <si>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</si>
  <si>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</si>
  <si>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</si>
  <si>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</si>
  <si>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</si>
  <si>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</si>
  <si>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</si>
  <si>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</si>
  <si>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</si>
  <si>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</si>
  <si>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</si>
  <si>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</si>
  <si>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</si>
  <si>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</si>
  <si>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</si>
  <si>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</si>
  <si>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</si>
  <si>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</si>
  <si>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</si>
  <si>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</si>
  <si>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</si>
  <si>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</si>
  <si>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</si>
  <si>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</si>
  <si>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</si>
  <si>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</si>
  <si>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</si>
  <si>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</si>
  <si>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</si>
  <si>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</si>
  <si>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</si>
  <si>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</si>
  <si>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</si>
  <si>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</si>
  <si>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</si>
  <si>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</si>
  <si>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</si>
  <si>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</si>
  <si>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</si>
  <si>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</si>
  <si>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</si>
  <si>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</si>
  <si>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</si>
  <si>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</si>
  <si>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</si>
  <si>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</si>
  <si>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</si>
  <si>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</si>
  <si>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</si>
  <si>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</si>
  <si>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</si>
  <si>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</si>
  <si>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</si>
  <si>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</si>
  <si>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</si>
  <si>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</si>
  <si>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</si>
  <si>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</si>
  <si>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</si>
  <si>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</si>
  <si>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</si>
  <si>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</si>
  <si>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</si>
  <si>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</si>
  <si>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</si>
  <si>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</si>
  <si>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</si>
  <si>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</si>
  <si>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</si>
  <si>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</si>
  <si>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</si>
  <si>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</si>
  <si>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</si>
  <si>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</si>
  <si>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</si>
  <si>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</si>
  <si>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</si>
  <si>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</si>
  <si>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</si>
  <si>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</si>
  <si>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</si>
  <si>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</si>
  <si>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</si>
  <si>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</si>
  <si>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</si>
  <si>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</si>
  <si>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</si>
  <si>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</si>
  <si>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</si>
  <si>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</si>
  <si>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</si>
  <si>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</si>
  <si>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</si>
  <si>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</si>
  <si>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</si>
  <si>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</si>
  <si>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</si>
  <si>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</si>
  <si>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</si>
  <si>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</si>
  <si>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</si>
  <si>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</si>
  <si>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</si>
  <si>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</si>
  <si>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</si>
  <si>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</si>
  <si>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</si>
  <si>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</si>
  <si>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</si>
  <si>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</si>
  <si>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</si>
  <si>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</si>
  <si>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</si>
  <si>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</si>
  <si>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</si>
  <si>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</si>
  <si>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</si>
  <si>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</si>
  <si>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</si>
  <si>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</si>
  <si>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</si>
  <si>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</si>
  <si>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</si>
  <si>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</si>
  <si>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</si>
  <si>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</si>
  <si>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</si>
  <si>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</si>
  <si>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</si>
  <si>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</si>
  <si>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</si>
  <si>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</si>
  <si>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</si>
  <si>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</si>
  <si>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</si>
  <si>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</si>
  <si>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</si>
  <si>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</si>
  <si>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</si>
  <si>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</si>
  <si>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</si>
  <si>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</si>
  <si>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</si>
  <si>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</si>
  <si>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</si>
  <si>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</si>
  <si>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</si>
  <si>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</si>
  <si>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</si>
  <si>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</si>
  <si>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</si>
  <si>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</si>
  <si>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</si>
  <si>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</si>
  <si>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</si>
  <si>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</si>
  <si>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</si>
  <si>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</si>
  <si>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</si>
  <si>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</si>
  <si>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</si>
  <si>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</si>
  <si>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</si>
  <si>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</si>
  <si>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</si>
  <si>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</si>
  <si>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</si>
  <si>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</si>
  <si>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</si>
  <si>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</si>
  <si>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</si>
  <si>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</si>
  <si>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</si>
  <si>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</si>
  <si>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</si>
  <si>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</si>
  <si>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</si>
  <si>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</si>
  <si>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</si>
  <si>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</si>
  <si>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</si>
  <si>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</si>
  <si>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</si>
  <si>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</si>
  <si>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</si>
  <si>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</si>
  <si>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</si>
  <si>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</si>
  <si>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</si>
  <si>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</si>
  <si>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</si>
  <si>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</si>
  <si>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</si>
  <si>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</si>
  <si>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</si>
  <si>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</si>
  <si>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</si>
  <si>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</si>
  <si>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</si>
  <si>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</si>
  <si>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</si>
  <si>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</si>
  <si>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</si>
  <si>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</si>
  <si>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</si>
  <si>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</si>
  <si>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</si>
  <si>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</si>
  <si>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</si>
  <si>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</si>
  <si>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</si>
  <si>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</si>
  <si>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</si>
  <si>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</si>
  <si>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</si>
  <si>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</si>
  <si>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</si>
  <si>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</si>
  <si>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</si>
  <si>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</si>
  <si>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</si>
  <si>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</si>
  <si>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</si>
  <si>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</si>
  <si>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</si>
  <si>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</si>
  <si>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</si>
  <si>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</si>
  <si>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</si>
  <si>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</si>
  <si>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</si>
  <si>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</si>
  <si>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</si>
  <si>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</si>
  <si>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</si>
  <si>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</si>
  <si>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</si>
  <si>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</si>
  <si>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</si>
  <si>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</si>
  <si>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</si>
  <si>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</si>
  <si>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</si>
  <si>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</si>
  <si>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</si>
  <si>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</si>
  <si>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</si>
  <si>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</si>
  <si>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</si>
  <si>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</si>
  <si>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</si>
  <si>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</si>
  <si>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</si>
  <si>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</si>
  <si>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</si>
  <si>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</si>
  <si>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</si>
  <si>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</si>
  <si>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</si>
  <si>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</si>
  <si>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</si>
  <si>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</si>
  <si>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</si>
  <si>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</si>
  <si>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</si>
  <si>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</si>
  <si>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</si>
  <si>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</si>
  <si>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</si>
  <si>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</si>
  <si>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</si>
  <si>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</si>
  <si>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</si>
  <si>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</si>
  <si>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</si>
  <si>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</si>
  <si>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</si>
  <si>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</si>
  <si>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</si>
  <si>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</si>
  <si>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</si>
  <si>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</si>
  <si>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</si>
  <si>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</si>
  <si>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</si>
  <si>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</si>
  <si>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</si>
  <si>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</si>
  <si>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</si>
  <si>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</si>
  <si>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</si>
  <si>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</si>
  <si>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</si>
  <si>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</si>
  <si>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</si>
  <si>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</si>
  <si>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</si>
  <si>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</si>
  <si>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</si>
  <si>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</si>
  <si>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</si>
  <si>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</si>
  <si>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</si>
  <si>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</si>
  <si>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</si>
  <si>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</si>
  <si>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</si>
  <si>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</si>
  <si>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</si>
  <si>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</si>
  <si>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</si>
  <si>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</si>
  <si>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</si>
  <si>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</si>
  <si>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</si>
  <si>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</si>
  <si>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</si>
  <si>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</si>
  <si>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</si>
  <si>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</si>
  <si>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</si>
  <si>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</si>
  <si>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</si>
  <si>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</si>
  <si>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</si>
  <si>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</si>
  <si>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</si>
  <si>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</si>
  <si>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</si>
  <si>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</si>
  <si>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</si>
  <si>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</si>
  <si>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</si>
  <si>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</si>
  <si>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</si>
  <si>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</si>
  <si>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</si>
  <si>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</si>
  <si>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</si>
  <si>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</si>
  <si>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</si>
  <si>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</si>
  <si>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</si>
  <si>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</si>
  <si>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</si>
  <si>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</si>
  <si>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</si>
  <si>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</si>
  <si>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</si>
  <si>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</si>
  <si>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</si>
  <si>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</si>
  <si>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</si>
  <si>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</si>
  <si>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</si>
  <si>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</si>
  <si>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</si>
  <si>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</si>
  <si>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</si>
  <si>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</si>
  <si>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</si>
  <si>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</si>
  <si>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</si>
  <si>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</si>
  <si>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</si>
  <si>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</si>
  <si>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</si>
  <si>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</si>
  <si>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</si>
  <si>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</si>
  <si>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</si>
  <si>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</si>
  <si>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</si>
  <si>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</si>
  <si>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</si>
  <si>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</si>
  <si>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</si>
  <si>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</si>
  <si>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</si>
  <si>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</si>
  <si>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</si>
  <si>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</si>
  <si>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</si>
  <si>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</si>
  <si>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</si>
  <si>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</si>
  <si>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</si>
  <si>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</si>
  <si>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</si>
  <si>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</si>
  <si>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</si>
  <si>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</si>
  <si>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</si>
  <si>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</si>
  <si>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</si>
  <si>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</si>
  <si>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</si>
  <si>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</si>
  <si>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</si>
  <si>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</si>
  <si>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</si>
  <si>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</si>
  <si>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</si>
  <si>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</si>
  <si>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</si>
  <si>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</si>
  <si>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</si>
  <si>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</si>
  <si>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</si>
  <si>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</si>
  <si>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</si>
  <si>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</si>
  <si>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</si>
  <si>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</si>
  <si>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</si>
  <si>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</si>
  <si>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</si>
  <si>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</si>
  <si>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</si>
  <si>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</si>
  <si>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</si>
  <si>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</si>
  <si>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</si>
  <si>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</si>
  <si>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</si>
  <si>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</si>
  <si>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</si>
  <si>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</si>
  <si>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</si>
  <si>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</si>
  <si>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</si>
  <si>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</si>
  <si>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</si>
  <si>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</si>
  <si>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</si>
  <si>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</si>
  <si>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</si>
  <si>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</si>
  <si>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</si>
  <si>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</si>
  <si>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</si>
  <si>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</si>
  <si>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</si>
  <si>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</si>
  <si>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</si>
  <si>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</si>
  <si>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</si>
  <si>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</si>
  <si>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</si>
  <si>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</si>
  <si>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</si>
  <si>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</si>
  <si>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</si>
  <si>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</si>
  <si>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</si>
  <si>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</si>
  <si>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</si>
  <si>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</si>
  <si>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</si>
  <si>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</si>
  <si>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</si>
  <si>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</si>
  <si>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</si>
  <si>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</si>
  <si>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</si>
  <si>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</si>
  <si>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</si>
  <si>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</si>
  <si>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</si>
  <si>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</si>
  <si>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</si>
  <si>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</si>
  <si>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</si>
  <si>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</si>
  <si>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</si>
  <si>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</si>
  <si>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</si>
  <si>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</si>
  <si>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</si>
  <si>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</si>
  <si>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</si>
  <si>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</si>
  <si>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</si>
  <si>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</si>
  <si>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</si>
  <si>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</si>
  <si>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</si>
  <si>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</si>
  <si>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</si>
  <si>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</si>
  <si>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</si>
  <si>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</si>
  <si>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</si>
  <si>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</si>
  <si>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</si>
  <si>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</si>
  <si>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</si>
  <si>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</si>
  <si>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</si>
  <si>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</si>
  <si>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</si>
  <si>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</si>
  <si>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</si>
  <si>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</si>
  <si>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</si>
  <si>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</si>
  <si>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</si>
  <si>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</si>
  <si>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</si>
  <si>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</si>
  <si>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</si>
  <si>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</si>
  <si>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</si>
  <si>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</si>
  <si>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</si>
  <si>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</si>
  <si>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</si>
  <si>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</si>
  <si>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</si>
  <si>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</si>
  <si>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</si>
  <si>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</si>
  <si>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</si>
  <si>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</si>
  <si>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</si>
  <si>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</si>
  <si>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</si>
  <si>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</si>
  <si>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</si>
  <si>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</si>
  <si>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</si>
  <si>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</si>
  <si>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</si>
  <si>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</si>
  <si>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</si>
  <si>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</si>
  <si>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</si>
  <si>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</si>
  <si>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</si>
  <si>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</si>
  <si>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</si>
  <si>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</si>
  <si>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</si>
  <si>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</si>
  <si>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</si>
  <si>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</si>
  <si>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</si>
  <si>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</si>
  <si>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</si>
  <si>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</si>
  <si>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</si>
  <si>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</si>
  <si>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</si>
  <si>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</si>
  <si>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</si>
  <si>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</si>
  <si>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</si>
  <si>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</si>
  <si>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</si>
  <si>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</si>
  <si>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</si>
  <si>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</si>
  <si>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</si>
  <si>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</si>
  <si>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</si>
  <si>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</si>
  <si>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</si>
  <si>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</si>
  <si>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</si>
  <si>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</si>
  <si>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</si>
  <si>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</si>
  <si>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</si>
  <si>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</si>
  <si>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</si>
  <si>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</si>
  <si>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</si>
  <si>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</si>
  <si>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</si>
  <si>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</si>
  <si>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</si>
  <si>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</si>
  <si>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</si>
  <si>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</si>
  <si>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</si>
  <si>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</si>
  <si>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</si>
  <si>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</si>
  <si>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</si>
  <si>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</si>
  <si>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</si>
  <si>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</si>
  <si>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</si>
  <si>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</si>
  <si>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</si>
  <si>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</si>
  <si>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</si>
  <si>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</si>
  <si>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</si>
  <si>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</si>
  <si>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</si>
  <si>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</si>
  <si>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</si>
  <si>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</si>
  <si>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</si>
  <si>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</si>
  <si>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</si>
  <si>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</si>
  <si>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</si>
  <si>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</si>
  <si>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</si>
  <si>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</si>
  <si>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</si>
  <si>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</si>
  <si>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</si>
  <si>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</si>
  <si>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</si>
  <si>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</si>
  <si>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</si>
  <si>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</si>
  <si>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</si>
  <si>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</si>
  <si>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</si>
  <si>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</si>
  <si>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</si>
  <si>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</si>
  <si>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</si>
  <si>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</si>
  <si>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</si>
  <si>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</si>
  <si>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</si>
  <si>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</si>
  <si>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</si>
  <si>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</si>
  <si>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</si>
  <si>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</si>
  <si>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</si>
  <si>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</si>
  <si>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</si>
  <si>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</si>
  <si>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</si>
  <si>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</si>
  <si>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</si>
  <si>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</si>
  <si>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</si>
  <si>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</si>
  <si>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</si>
  <si>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</si>
  <si>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</si>
  <si>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</si>
  <si>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</si>
  <si>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</si>
  <si>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</si>
  <si>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</si>
  <si>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</si>
  <si>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</si>
  <si>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</si>
  <si>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</si>
  <si>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</si>
  <si>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</si>
  <si>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</si>
  <si>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</si>
  <si>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</si>
  <si>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</si>
  <si>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</si>
  <si>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</si>
  <si>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</si>
  <si>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</si>
  <si>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</si>
  <si>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</si>
  <si>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</si>
  <si>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</si>
  <si>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</si>
  <si>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</si>
  <si>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</si>
  <si>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</si>
  <si>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</si>
  <si>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</si>
  <si>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</si>
  <si>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</si>
  <si>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</si>
  <si>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</si>
  <si>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</si>
  <si>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</si>
  <si>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</si>
  <si>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</si>
  <si>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</si>
  <si>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</si>
  <si>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</si>
  <si>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</si>
  <si>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</si>
  <si>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</si>
  <si>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</si>
  <si>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</si>
  <si>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</si>
  <si>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</si>
  <si>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</si>
  <si>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</si>
  <si>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</si>
  <si>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</si>
  <si>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</si>
  <si>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</si>
  <si>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</si>
  <si>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</si>
  <si>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</si>
  <si>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</si>
  <si>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</si>
  <si>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</si>
  <si>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</si>
  <si>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</si>
  <si>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</si>
  <si>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</si>
  <si>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</si>
  <si>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</si>
  <si>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</si>
  <si>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</si>
  <si>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</si>
  <si>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</si>
  <si>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</si>
  <si>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</si>
  <si>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</si>
  <si>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</si>
  <si>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</si>
  <si>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</si>
  <si>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</si>
  <si>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</si>
  <si>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</si>
  <si>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</si>
  <si>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</si>
  <si>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</si>
  <si>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</si>
  <si>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</si>
  <si>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</si>
  <si>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</si>
  <si>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</si>
  <si>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</si>
  <si>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</si>
  <si>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</si>
  <si>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</si>
  <si>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</si>
  <si>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</si>
  <si>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</si>
  <si>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</si>
  <si>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</si>
  <si>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</si>
  <si>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</si>
  <si>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</si>
  <si>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</si>
  <si>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</si>
  <si>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</si>
  <si>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</si>
  <si>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</si>
  <si>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</si>
  <si>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</si>
  <si>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</si>
  <si>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</si>
  <si>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</si>
  <si>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</si>
  <si>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</si>
  <si>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</si>
  <si>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</si>
  <si>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</si>
  <si>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</si>
  <si>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</si>
  <si>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</si>
  <si>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</si>
  <si>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</si>
  <si>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</si>
  <si>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</si>
  <si>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</si>
  <si>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</si>
  <si>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</si>
  <si>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</si>
  <si>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</si>
  <si>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</si>
  <si>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</si>
  <si>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</si>
  <si>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</si>
  <si>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</si>
  <si>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</si>
  <si>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</si>
  <si>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</si>
  <si>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</si>
  <si>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</si>
  <si>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</si>
  <si>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</si>
  <si>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</si>
  <si>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</si>
  <si>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</si>
  <si>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</si>
  <si>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</si>
  <si>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</si>
  <si>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</si>
  <si>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</si>
  <si>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</si>
  <si>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</si>
  <si>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</si>
  <si>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</si>
  <si>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</si>
  <si>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</si>
  <si>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</si>
  <si>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</si>
  <si>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</si>
  <si>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</si>
  <si>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</si>
  <si>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</si>
  <si>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</si>
  <si>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</si>
  <si>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</si>
  <si>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</si>
  <si>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</si>
  <si>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</si>
  <si>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</si>
  <si>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</si>
  <si>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</si>
  <si>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</si>
  <si>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</si>
  <si>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</si>
  <si>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</si>
  <si>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</si>
  <si>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</si>
  <si>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</si>
  <si>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</si>
  <si>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</si>
  <si>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</si>
  <si>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</si>
  <si>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</si>
  <si>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</si>
  <si>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</si>
  <si>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</si>
  <si>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</si>
  <si>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</si>
  <si>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</si>
  <si>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</si>
  <si>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</si>
  <si>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</si>
  <si>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</si>
  <si>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</si>
  <si>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</si>
  <si>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</si>
  <si>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</si>
  <si>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</si>
  <si>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</si>
  <si>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</si>
  <si>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</si>
  <si>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</si>
  <si>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</si>
  <si>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</si>
  <si>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</si>
  <si>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</si>
  <si>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</si>
  <si>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</si>
  <si>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</si>
  <si>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</si>
  <si>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</si>
  <si>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</si>
  <si>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</si>
  <si>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</si>
  <si>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</si>
  <si>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</si>
  <si>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</si>
  <si>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</si>
  <si>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</si>
  <si>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</si>
  <si>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</si>
  <si>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</si>
  <si>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</si>
  <si>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</si>
  <si>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</si>
  <si>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</si>
  <si>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</si>
  <si>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</si>
  <si>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</si>
  <si>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</si>
  <si>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</si>
  <si>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</si>
  <si>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</si>
  <si>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</si>
  <si>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</si>
  <si>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</si>
  <si>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</si>
  <si>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</si>
  <si>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</si>
  <si>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</si>
  <si>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</si>
  <si>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</si>
  <si>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</si>
  <si>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</si>
  <si>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</si>
  <si>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</si>
  <si>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</si>
  <si>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</si>
  <si>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</si>
  <si>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</si>
  <si>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</si>
  <si>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</si>
  <si>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</si>
  <si>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</si>
  <si>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</si>
  <si>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</si>
  <si>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</si>
  <si>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</si>
  <si>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</si>
  <si>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</si>
  <si>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</si>
  <si>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</si>
  <si>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</si>
  <si>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</si>
  <si>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</si>
  <si>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</si>
  <si>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</si>
  <si>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</si>
  <si>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</si>
  <si>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</si>
  <si>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</si>
  <si>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</si>
  <si>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</si>
  <si>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</si>
  <si>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</si>
  <si>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</si>
  <si>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</si>
  <si>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</si>
  <si>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</si>
  <si>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</si>
  <si>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</si>
  <si>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</si>
  <si>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</si>
  <si>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</si>
  <si>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</si>
  <si>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</si>
  <si>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</si>
  <si>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</si>
  <si>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</si>
  <si>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</si>
  <si>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</si>
  <si>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</si>
  <si>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</si>
  <si>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</si>
  <si>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</si>
  <si>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</si>
  <si>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</si>
  <si>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</si>
  <si>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</si>
  <si>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</si>
  <si>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</si>
  <si>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</si>
  <si>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</si>
  <si>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</si>
  <si>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</si>
  <si>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</si>
  <si>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</si>
  <si>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</si>
  <si>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</si>
  <si>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</si>
  <si>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</si>
  <si>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</si>
  <si>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</si>
  <si>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</si>
  <si>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</si>
  <si>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</si>
  <si>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</si>
  <si>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</si>
  <si>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</si>
  <si>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</si>
  <si>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</si>
  <si>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</si>
  <si>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</si>
  <si>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</si>
  <si>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</si>
  <si>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</si>
  <si>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</si>
  <si>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</si>
  <si>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</si>
  <si>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</si>
  <si>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</si>
  <si>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</si>
  <si>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</si>
  <si>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</si>
  <si>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</si>
  <si>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</si>
  <si>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</si>
  <si>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</si>
  <si>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</si>
  <si>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</si>
  <si>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</si>
  <si>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</si>
  <si>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</si>
  <si>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</si>
  <si>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</si>
  <si>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</si>
  <si>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</si>
  <si>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</si>
  <si>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</si>
  <si>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</si>
  <si>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</si>
  <si>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</si>
  <si>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</si>
  <si>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</si>
  <si>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</si>
  <si>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</si>
  <si>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</si>
  <si>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</si>
  <si>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</si>
  <si>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</si>
  <si>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</si>
  <si>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</si>
  <si>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</si>
  <si>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</si>
  <si>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</si>
  <si>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</si>
  <si>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</si>
  <si>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</si>
  <si>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</si>
  <si>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</si>
  <si>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</si>
  <si>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</si>
  <si>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</si>
  <si>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</si>
  <si>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</si>
  <si>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</si>
  <si>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</si>
  <si>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</si>
  <si>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</si>
  <si>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</si>
  <si>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</si>
  <si>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</si>
  <si>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</si>
  <si>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</si>
  <si>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</si>
  <si>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</si>
  <si>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</si>
  <si>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</si>
  <si>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</si>
  <si>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</si>
  <si>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</si>
  <si>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</si>
  <si>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</si>
  <si>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</si>
  <si>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</si>
  <si>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</si>
  <si>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</si>
  <si>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</si>
  <si>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</si>
  <si>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</si>
  <si>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</si>
  <si>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</si>
  <si>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</si>
  <si>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</si>
  <si>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</si>
  <si>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</si>
  <si>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</si>
  <si>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</si>
  <si>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</si>
  <si>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</si>
  <si>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</si>
  <si>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</si>
  <si>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</si>
  <si>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</si>
  <si>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</si>
  <si>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</si>
  <si>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</si>
  <si>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</si>
  <si>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</si>
  <si>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</si>
  <si>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</si>
  <si>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</si>
  <si>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</si>
  <si>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</si>
  <si>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</si>
  <si>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</si>
  <si>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</si>
  <si>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</si>
  <si>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</si>
  <si>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</si>
  <si>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</si>
  <si>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</si>
  <si>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</si>
  <si>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</si>
  <si>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</si>
  <si>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</si>
  <si>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</si>
  <si>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</si>
  <si>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</si>
  <si>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</si>
  <si>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</si>
  <si>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</si>
  <si>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</si>
  <si>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</si>
  <si>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</si>
  <si>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</si>
  <si>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</si>
  <si>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</si>
  <si>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</si>
  <si>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</si>
  <si>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</si>
  <si>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</si>
  <si>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</si>
  <si>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</si>
  <si>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</si>
  <si>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</si>
  <si>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</si>
  <si>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</si>
  <si>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</si>
  <si>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</si>
  <si>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</si>
  <si>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</si>
  <si>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</si>
  <si>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</si>
  <si>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</si>
  <si>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</si>
  <si>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</si>
  <si>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</si>
  <si>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</si>
  <si>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</si>
  <si>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</si>
  <si>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</si>
  <si>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</si>
  <si>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</si>
  <si>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</si>
  <si>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</si>
  <si>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</si>
  <si>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</si>
  <si>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</si>
  <si>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</si>
  <si>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</si>
  <si>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</si>
  <si>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</si>
  <si>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</si>
  <si>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</si>
  <si>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</si>
  <si>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</si>
  <si>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</si>
  <si>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</si>
  <si>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</si>
  <si>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</si>
  <si>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</si>
  <si>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</si>
  <si>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</si>
  <si>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</si>
  <si>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</si>
  <si>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</si>
  <si>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</si>
  <si>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</si>
  <si>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</si>
  <si>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</si>
  <si>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</si>
  <si>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</si>
  <si>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</si>
  <si>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</si>
  <si>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</si>
  <si>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</si>
  <si>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</si>
  <si>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</si>
  <si>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</si>
  <si>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</si>
  <si>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</si>
  <si>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</si>
  <si>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</si>
  <si>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</si>
  <si>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</si>
  <si>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</si>
  <si>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</si>
  <si>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</si>
  <si>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</si>
  <si>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</si>
  <si>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</si>
  <si>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</si>
  <si>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</si>
  <si>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</si>
  <si>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</si>
  <si>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</si>
  <si>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</si>
  <si>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</si>
  <si>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</si>
  <si>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</si>
  <si>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</si>
  <si>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</si>
  <si>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</si>
  <si>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</si>
  <si>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</si>
  <si>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</si>
  <si>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</si>
  <si>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</si>
  <si>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</si>
  <si>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</si>
  <si>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</si>
  <si>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</si>
  <si>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</si>
  <si>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</si>
  <si>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</si>
  <si>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</si>
  <si>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</si>
  <si>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</si>
  <si>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</si>
  <si>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</si>
  <si>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</si>
  <si>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</si>
  <si>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</si>
  <si>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</si>
  <si>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</si>
  <si>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</si>
  <si>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</si>
  <si>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</si>
  <si>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</si>
  <si>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</si>
  <si>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</si>
  <si>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</si>
  <si>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</si>
  <si>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</si>
  <si>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</si>
  <si>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</si>
  <si>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</si>
  <si>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</si>
  <si>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</si>
  <si>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</si>
  <si>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</si>
  <si>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</si>
  <si>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</si>
  <si>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</si>
  <si>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</si>
  <si>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</si>
  <si>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</si>
  <si>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</si>
  <si>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</si>
  <si>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</si>
  <si>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</si>
  <si>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</si>
  <si>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</si>
  <si>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</si>
  <si>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</si>
  <si>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</si>
  <si>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</si>
  <si>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</si>
  <si>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</si>
  <si>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</si>
  <si>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</si>
  <si>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</si>
  <si>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</si>
  <si>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</si>
  <si>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</si>
  <si>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</si>
  <si>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</si>
  <si>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</si>
  <si>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</si>
  <si>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</si>
  <si>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</si>
  <si>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</si>
  <si>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</si>
  <si>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</si>
  <si>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</si>
  <si>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</si>
  <si>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</si>
  <si>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</si>
  <si>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</si>
  <si>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</si>
  <si>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</si>
  <si>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</si>
  <si>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</si>
  <si>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</si>
  <si>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</si>
  <si>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</si>
  <si>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</si>
  <si>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</si>
  <si>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</si>
  <si>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</si>
  <si>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</si>
  <si>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</si>
  <si>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</si>
  <si>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</si>
  <si>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</si>
  <si>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</si>
  <si>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</si>
  <si>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</si>
  <si>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</si>
  <si>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</si>
  <si>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</si>
  <si>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</si>
  <si>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</si>
  <si>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</si>
  <si>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</si>
  <si>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</si>
  <si>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</si>
  <si>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</si>
  <si>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</si>
  <si>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</si>
  <si>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</si>
  <si>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</si>
  <si>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</si>
  <si>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</si>
  <si>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</si>
  <si>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</si>
  <si>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</si>
  <si>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</si>
  <si>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</si>
  <si>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</si>
  <si>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</si>
  <si>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</si>
  <si>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</si>
  <si>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</si>
  <si>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</si>
  <si>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</si>
  <si>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</si>
  <si>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</si>
  <si>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</si>
  <si>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</si>
  <si>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</si>
  <si>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</si>
  <si>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</si>
  <si>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</si>
  <si>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</si>
  <si>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</si>
  <si>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</si>
  <si>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</si>
  <si>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</si>
  <si>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</si>
  <si>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</si>
  <si>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</si>
  <si>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</si>
  <si>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</si>
  <si>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</si>
  <si>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</si>
  <si>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</si>
  <si>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</si>
  <si>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</si>
  <si>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</si>
  <si>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</si>
  <si>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</si>
  <si>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</si>
  <si>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</si>
  <si>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</si>
  <si>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</si>
  <si>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</si>
  <si>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</si>
  <si>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</si>
  <si>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</si>
  <si>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</si>
  <si>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</si>
  <si>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</si>
  <si>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</si>
  <si>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</si>
  <si>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</si>
  <si>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</si>
  <si>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</si>
  <si>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</si>
  <si>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</si>
  <si>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</si>
  <si>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</si>
  <si>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</si>
  <si>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</si>
  <si>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</si>
  <si>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</si>
  <si>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</si>
  <si>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</si>
  <si>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</si>
  <si>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</si>
  <si>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</si>
  <si>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</si>
  <si>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</si>
  <si>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</si>
  <si>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</si>
  <si>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</si>
  <si>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</si>
  <si>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</si>
  <si>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</si>
  <si>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</si>
  <si>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</si>
  <si>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</si>
  <si>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</si>
  <si>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</si>
  <si>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</si>
  <si>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</si>
  <si>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</si>
  <si>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</si>
  <si>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</si>
  <si>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</si>
  <si>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</si>
  <si>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</si>
  <si>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</si>
  <si>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</si>
  <si>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</si>
  <si>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</si>
  <si>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</si>
  <si>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</si>
  <si>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</si>
  <si>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</si>
  <si>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</si>
  <si>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</si>
  <si>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</si>
  <si>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</si>
  <si>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</si>
  <si>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</si>
  <si>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</si>
  <si>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</si>
  <si>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</si>
  <si>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</si>
  <si>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</si>
  <si>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</si>
  <si>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</si>
  <si>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</si>
  <si>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</si>
  <si>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</si>
  <si>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</si>
  <si>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</si>
  <si>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</si>
  <si>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</si>
  <si>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</si>
  <si>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</si>
  <si>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</si>
  <si>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</si>
  <si>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</si>
  <si>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</si>
  <si>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</si>
  <si>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</si>
  <si>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</si>
  <si>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</si>
  <si>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</si>
  <si>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</si>
  <si>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</si>
  <si>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</si>
  <si>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</si>
  <si>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</si>
  <si>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</si>
  <si>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</si>
  <si>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</si>
  <si>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</si>
  <si>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</si>
  <si>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</si>
  <si>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</si>
  <si>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</si>
  <si>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</si>
  <si>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</si>
  <si>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</si>
  <si>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</si>
  <si>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</si>
  <si>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</si>
  <si>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</si>
  <si>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</si>
  <si>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</si>
  <si>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</si>
  <si>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</si>
  <si>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</si>
  <si>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</si>
  <si>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</si>
  <si>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</si>
  <si>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</si>
  <si>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</si>
  <si>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</si>
  <si>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</si>
  <si>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</si>
  <si>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</si>
  <si>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</si>
  <si>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</si>
  <si>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</si>
  <si>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</si>
  <si>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</si>
  <si>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</si>
  <si>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</si>
  <si>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</si>
  <si>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</si>
  <si>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</si>
  <si>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</si>
  <si>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</si>
  <si>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</si>
  <si>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</si>
  <si>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</si>
  <si>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</si>
  <si>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</si>
  <si>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</si>
  <si>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</si>
  <si>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</si>
  <si>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</si>
  <si>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</si>
  <si>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</si>
  <si>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</si>
  <si>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</si>
  <si>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</si>
  <si>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</si>
  <si>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</si>
  <si>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</si>
  <si>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</si>
  <si>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</si>
  <si>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</si>
  <si>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</si>
  <si>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</si>
  <si>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</si>
  <si>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</si>
  <si>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</si>
  <si>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</si>
  <si>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</si>
  <si>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</si>
  <si>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</si>
  <si>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</si>
  <si>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</si>
  <si>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</si>
  <si>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</si>
  <si>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</si>
  <si>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</si>
  <si>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</si>
  <si>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</si>
  <si>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</si>
  <si>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</si>
  <si>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</si>
  <si>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</si>
  <si>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</si>
  <si>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</si>
  <si>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</si>
  <si>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</si>
  <si>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</si>
  <si>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</si>
  <si>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</si>
  <si>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</si>
  <si>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</si>
  <si>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</si>
  <si>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</si>
  <si>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</si>
  <si>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</si>
  <si>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</si>
  <si>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</si>
  <si>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</si>
  <si>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</si>
  <si>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</si>
  <si>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</si>
  <si>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</si>
  <si>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</si>
  <si>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</si>
  <si>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</si>
  <si>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</si>
  <si>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</si>
  <si>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</si>
  <si>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</si>
  <si>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</si>
  <si>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</si>
  <si>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</si>
  <si>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</si>
  <si>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</si>
  <si>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</si>
  <si>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</si>
  <si>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</si>
  <si>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</si>
  <si>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</si>
  <si>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</si>
  <si>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</si>
  <si>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</si>
  <si>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</si>
  <si>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</si>
  <si>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</si>
  <si>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</si>
  <si>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</si>
  <si>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</si>
  <si>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</si>
  <si>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</si>
  <si>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</si>
  <si>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</si>
  <si>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</si>
  <si>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</si>
  <si>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</si>
  <si>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</si>
  <si>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</si>
  <si>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</si>
  <si>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</si>
  <si>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</si>
  <si>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</si>
  <si>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</si>
  <si>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</si>
  <si>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</si>
  <si>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</si>
  <si>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</si>
  <si>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</si>
  <si>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</si>
  <si>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</si>
  <si>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</si>
  <si>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</si>
  <si>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</si>
  <si>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</si>
  <si>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</si>
  <si>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</si>
  <si>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</si>
  <si>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</si>
  <si>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</si>
  <si>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</si>
  <si>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</si>
  <si>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</si>
  <si>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</si>
  <si>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</si>
  <si>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</si>
  <si>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</si>
  <si>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</si>
  <si>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</si>
  <si>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</si>
  <si>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</si>
  <si>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</si>
  <si>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</si>
  <si>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</si>
  <si>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</si>
  <si>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</si>
  <si>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</si>
  <si>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</si>
  <si>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</si>
  <si>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</si>
  <si>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</si>
  <si>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</si>
  <si>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</si>
  <si>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</si>
  <si>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</si>
  <si>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</si>
  <si>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</si>
  <si>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</si>
  <si>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</si>
  <si>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</si>
  <si>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</si>
  <si>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</si>
  <si>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</si>
  <si>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</si>
  <si>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</si>
  <si>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</si>
  <si>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</si>
  <si>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</si>
  <si>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</si>
  <si>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</si>
  <si>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</si>
  <si>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</si>
  <si>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</si>
  <si>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</si>
  <si>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</si>
  <si>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</si>
  <si>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</si>
  <si>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</si>
  <si>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</si>
  <si>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</si>
  <si>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</si>
  <si>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</si>
  <si>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</si>
  <si>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</si>
  <si>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</si>
  <si>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</si>
  <si>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</si>
  <si>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</si>
  <si>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</si>
  <si>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</si>
  <si>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</si>
  <si>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</si>
  <si>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</si>
  <si>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</si>
  <si>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</si>
  <si>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</si>
  <si>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</si>
  <si>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</si>
  <si>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</si>
  <si>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</si>
  <si>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</si>
  <si>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</si>
  <si>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</si>
  <si>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</si>
  <si>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</si>
  <si>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</si>
  <si>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</si>
  <si>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</si>
  <si>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</si>
  <si>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</si>
  <si>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</si>
  <si>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</si>
  <si>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</si>
  <si>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</si>
  <si>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</si>
  <si>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</si>
  <si>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</si>
  <si>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</si>
  <si>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</si>
  <si>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</si>
  <si>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</si>
  <si>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</si>
  <si>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</si>
  <si>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</si>
  <si>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</si>
  <si>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</si>
  <si>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</si>
  <si>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</si>
  <si>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</si>
  <si>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</si>
  <si>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</si>
  <si>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</si>
  <si>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</si>
  <si>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</si>
  <si>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</si>
  <si>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</si>
  <si>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</si>
  <si>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</si>
  <si>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</si>
  <si>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</si>
  <si>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</si>
  <si>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</si>
  <si>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</si>
  <si>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</si>
  <si>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</si>
  <si>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</si>
  <si>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</si>
  <si>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</si>
  <si>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</si>
  <si>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</si>
  <si>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</si>
  <si>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</si>
  <si>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</si>
  <si>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</si>
  <si>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</si>
  <si>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</si>
  <si>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</si>
  <si>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</si>
  <si>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</si>
  <si>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</si>
  <si>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</si>
  <si>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</si>
  <si>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</si>
  <si>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</si>
  <si>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</si>
  <si>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</si>
  <si>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</si>
  <si>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</si>
  <si>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</si>
  <si>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</si>
  <si>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</si>
  <si>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</si>
  <si>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</si>
  <si>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</si>
  <si>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</si>
  <si>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</si>
  <si>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</si>
  <si>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</si>
  <si>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</si>
  <si>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</si>
  <si>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</si>
  <si>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</si>
  <si>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</si>
  <si>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</si>
  <si>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</si>
  <si>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</si>
  <si>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</si>
  <si>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</si>
  <si>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</si>
  <si>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</si>
  <si>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</si>
  <si>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</si>
  <si>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</si>
  <si>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</si>
  <si>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</si>
  <si>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</si>
  <si>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</si>
  <si>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</si>
  <si>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</si>
  <si>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</si>
  <si>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</si>
  <si>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</si>
  <si>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</si>
  <si>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</si>
  <si>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</si>
  <si>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</si>
  <si>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</si>
  <si>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</si>
  <si>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</si>
  <si>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</si>
  <si>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</si>
  <si>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</si>
  <si>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</si>
  <si>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</si>
  <si>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</si>
  <si>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</si>
  <si>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</si>
  <si>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</si>
  <si>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</si>
  <si>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</si>
  <si>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</si>
  <si>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</si>
  <si>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</si>
  <si>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</si>
  <si>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</si>
  <si>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</si>
  <si>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</si>
  <si>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</si>
  <si>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</si>
  <si>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</si>
  <si>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</si>
  <si>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</si>
  <si>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</si>
  <si>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</si>
  <si>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</si>
  <si>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</si>
  <si>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</si>
  <si>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</si>
  <si>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</si>
  <si>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</si>
  <si>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</si>
  <si>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</si>
  <si>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</si>
  <si>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</si>
  <si>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</si>
  <si>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</si>
  <si>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</si>
  <si>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</si>
  <si>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</si>
  <si>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</si>
  <si>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</si>
  <si>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</si>
  <si>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</si>
  <si>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</si>
  <si>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</si>
  <si>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</si>
  <si>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</si>
  <si>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</si>
  <si>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</si>
  <si>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</si>
  <si>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</si>
  <si>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</si>
  <si>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</si>
  <si>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</si>
  <si>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</si>
  <si>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</si>
  <si>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</si>
  <si>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</si>
  <si>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</si>
  <si>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</si>
  <si>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</si>
  <si>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</si>
  <si>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</si>
  <si>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</si>
  <si>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</si>
  <si>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</si>
  <si>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</si>
  <si>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</si>
  <si>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</si>
  <si>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</si>
  <si>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</si>
  <si>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</si>
  <si>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</si>
  <si>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</si>
  <si>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</si>
  <si>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</si>
  <si>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</si>
  <si>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</si>
  <si>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</si>
  <si>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</si>
  <si>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</si>
  <si>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</si>
  <si>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</si>
  <si>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</si>
  <si>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</si>
  <si>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</si>
  <si>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</si>
  <si>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</si>
  <si>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</si>
  <si>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</si>
  <si>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</si>
  <si>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</si>
  <si>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</si>
  <si>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</si>
  <si>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</si>
  <si>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</si>
  <si>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</si>
  <si>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</si>
  <si>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</si>
  <si>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</si>
  <si>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</si>
  <si>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</si>
  <si>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</si>
  <si>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</si>
  <si>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</si>
  <si>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</si>
  <si>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</si>
  <si>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</si>
  <si>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</si>
  <si>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</si>
  <si>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</si>
  <si>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</si>
  <si>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</si>
  <si>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</si>
  <si>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</si>
  <si>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</si>
  <si>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</si>
  <si>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</si>
  <si>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</si>
  <si>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</si>
  <si>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</si>
  <si>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</si>
  <si>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</si>
  <si>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</si>
  <si>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</si>
  <si>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</si>
  <si>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</si>
  <si>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</si>
  <si>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</si>
  <si>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</si>
  <si>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</si>
  <si>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</si>
  <si>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</si>
  <si>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</si>
  <si>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</si>
  <si>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</si>
  <si>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</si>
  <si>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</si>
  <si>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</si>
  <si>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</si>
  <si>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</si>
  <si>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</si>
  <si>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</si>
  <si>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</si>
  <si>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</si>
  <si>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</si>
  <si>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</si>
  <si>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</si>
  <si>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</si>
  <si>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</si>
  <si>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</si>
  <si>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</si>
  <si>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</si>
  <si>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</si>
  <si>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</si>
  <si>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</si>
  <si>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</si>
  <si>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</si>
  <si>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</si>
  <si>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</si>
  <si>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</si>
  <si>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</si>
  <si>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</si>
  <si>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</si>
  <si>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</si>
  <si>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</si>
  <si>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</si>
  <si>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</si>
  <si>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</si>
  <si>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</si>
  <si>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</si>
  <si>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</si>
  <si>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</si>
  <si>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</si>
  <si>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</si>
  <si>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</si>
  <si>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</si>
  <si>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</si>
  <si>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</si>
  <si>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</si>
  <si>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</si>
  <si>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</si>
  <si>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</si>
  <si>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</si>
  <si>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</si>
  <si>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</si>
  <si>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</si>
  <si>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</si>
  <si>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</si>
  <si>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</si>
  <si>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</si>
  <si>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</si>
  <si>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</si>
  <si>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</si>
  <si>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</si>
  <si>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</si>
  <si>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</si>
  <si>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</si>
  <si>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</si>
  <si>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</si>
  <si>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</si>
  <si>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</si>
  <si>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</si>
  <si>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</si>
  <si>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</si>
  <si>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</si>
  <si>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</si>
  <si>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</si>
  <si>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</si>
  <si>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</si>
  <si>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</si>
  <si>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</si>
  <si>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</si>
  <si>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</si>
  <si>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</si>
  <si>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</si>
  <si>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</si>
  <si>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</si>
  <si>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</si>
  <si>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</si>
  <si>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</si>
  <si>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</si>
  <si>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</si>
  <si>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</si>
  <si>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</si>
  <si>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</si>
  <si>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</si>
  <si>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</si>
  <si>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</si>
  <si>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</si>
  <si>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</si>
  <si>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</si>
  <si>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</si>
  <si>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</si>
  <si>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</si>
  <si>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</si>
  <si>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</si>
  <si>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</si>
  <si>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</si>
  <si>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</si>
  <si>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</si>
  <si>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</si>
  <si>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</si>
  <si>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</si>
  <si>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</si>
  <si>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</si>
  <si>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</si>
  <si>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</si>
  <si>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</si>
  <si>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</si>
  <si>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</si>
  <si>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</si>
  <si>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</si>
  <si>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</si>
  <si>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</si>
  <si>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</si>
  <si>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</si>
  <si>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</si>
  <si>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</si>
  <si>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</si>
  <si>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</si>
  <si>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</si>
  <si>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</si>
  <si>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</si>
  <si>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</si>
  <si>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</si>
  <si>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</si>
  <si>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</si>
  <si>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</si>
  <si>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</si>
  <si>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</si>
  <si>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</si>
  <si>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</si>
  <si>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</si>
  <si>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</si>
  <si>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</si>
  <si>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</si>
  <si>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</si>
  <si>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</si>
  <si>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</si>
  <si>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</si>
  <si>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</si>
  <si>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</si>
  <si>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</si>
  <si>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</si>
  <si>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</si>
  <si>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</si>
  <si>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</si>
  <si>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</si>
  <si>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</si>
  <si>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</si>
  <si>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</si>
  <si>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</si>
  <si>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</si>
  <si>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</si>
  <si>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</si>
  <si>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</si>
  <si>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</si>
  <si>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</si>
  <si>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</si>
  <si>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</si>
  <si>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</si>
  <si>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</si>
  <si>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</si>
  <si>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</si>
  <si>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</si>
  <si>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</si>
  <si>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</si>
  <si>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</si>
  <si>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</si>
  <si>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</si>
  <si>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</si>
  <si>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</si>
  <si>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</si>
  <si>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</si>
  <si>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</si>
  <si>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</si>
  <si>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</si>
  <si>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</si>
  <si>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</si>
  <si>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</si>
  <si>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</si>
  <si>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</si>
  <si>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</si>
  <si>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</si>
  <si>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</si>
  <si>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</si>
  <si>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</si>
  <si>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</si>
  <si>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</si>
  <si>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</si>
  <si>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</si>
  <si>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</si>
  <si>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</si>
  <si>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</si>
  <si>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</si>
  <si>
    <t>5021897</t>
  </si>
  <si>
    <t>978716</t>
  </si>
  <si>
    <t>10632/53306</t>
  </si>
  <si>
    <t>90023831</t>
  </si>
  <si>
    <t>980823</t>
  </si>
  <si>
    <t>5173116/51521059/51521057/51521049</t>
  </si>
  <si>
    <t>90-26</t>
  </si>
  <si>
    <t>4337/15896</t>
  </si>
  <si>
    <t>4338/15897</t>
  </si>
  <si>
    <t>4380/15978</t>
  </si>
  <si>
    <t>90023235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</si>
</sst>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06" headerRowDxfId="34" dataDxfId="33" totalsRowDxfId="32">
  <autoFilter ref="A2:R2306" xr:uid="{95D85EF3-4606-45BC-A2EB-924C5C960DCF}">
    <filterColumn colId="4">
      <filters>
        <filter val="DM MANUTENÇÕES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06"/>
  <sheetViews>
    <sheetView tabSelected="1" zoomScale="90" zoomScaleNormal="90" workbookViewId="0">
      <pane ySplit="2" topLeftCell="A2145" activePane="bottomLeft" state="frozen"/>
      <selection pane="bottomLeft" activeCell="F2306" sqref="F2306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5174</v>
      </c>
      <c r="L2179" s="33" t="s">
        <v>5175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5176</v>
      </c>
      <c r="L2180" s="33" t="s">
        <v>5177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5178</v>
      </c>
      <c r="L2181" s="33" t="s">
        <v>5179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5180</v>
      </c>
      <c r="L2182" s="33" t="s">
        <v>5181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5182</v>
      </c>
      <c r="L2183" s="33" t="s">
        <v>5183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5184</v>
      </c>
      <c r="L2184" s="33" t="s">
        <v>5185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5186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5187</v>
      </c>
      <c r="L2185" s="33" t="s">
        <v>5188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5189</v>
      </c>
      <c r="L2186" s="33" t="s">
        <v>5190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5191</v>
      </c>
      <c r="L2187" s="33" t="s">
        <v>5192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5193</v>
      </c>
      <c r="L2188" s="33" t="s">
        <v>5194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5195</v>
      </c>
      <c r="L2193" s="33" t="s">
        <v>5196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5197</v>
      </c>
      <c r="L2196" s="33" t="s">
        <v>5198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5199</v>
      </c>
      <c r="L2197" s="33" t="s">
        <v>5200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5201</v>
      </c>
      <c r="L2198" s="33" t="s">
        <v>5202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5203</v>
      </c>
      <c r="L2199" s="33" t="s">
        <v>5204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5205</v>
      </c>
      <c r="L2201" s="33" t="s">
        <v>5206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5207</v>
      </c>
      <c r="L2204" s="33" t="s">
        <v>5208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5209</v>
      </c>
      <c r="L2205" s="33" t="s">
        <v>5210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5211</v>
      </c>
      <c r="L2206" s="33" t="s">
        <v>5212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5213</v>
      </c>
      <c r="L2207" s="33" t="s">
        <v>5214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5215</v>
      </c>
      <c r="L2208" s="33" t="s">
        <v>5216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5217</v>
      </c>
      <c r="L2209" s="33" t="s">
        <v>5218</v>
      </c>
      <c r="M2209" s="33" t="s">
        <v>5219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5220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5221</v>
      </c>
      <c r="K2210" s="33" t="s">
        <v>5222</v>
      </c>
      <c r="L2210" s="33" t="s">
        <v>5223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5224</v>
      </c>
      <c r="L2211" s="33" t="s">
        <v>5225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5226</v>
      </c>
      <c r="L2212" s="33" t="s">
        <v>5227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5228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5229</v>
      </c>
      <c r="L2213" s="33" t="s">
        <v>5230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5231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5232</v>
      </c>
      <c r="M2214" s="33" t="s">
        <v>5233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5234</v>
      </c>
      <c r="L2215" s="33" t="s">
        <v>5235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5236</v>
      </c>
      <c r="L2216" s="33" t="s">
        <v>5237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5238</v>
      </c>
      <c r="L2217" s="33" t="s">
        <v>5237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5239</v>
      </c>
      <c r="L2218" s="33" t="s">
        <v>5237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5240</v>
      </c>
      <c r="L2219" s="33" t="s">
        <v>5237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5241</v>
      </c>
      <c r="L2220" s="33" t="s">
        <v>5237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5242</v>
      </c>
      <c r="L2221" s="33" t="s">
        <v>5237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5243</v>
      </c>
      <c r="L2222" s="33" t="s">
        <v>5244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5245</v>
      </c>
      <c r="L2223" s="33" t="s">
        <v>5244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5246</v>
      </c>
      <c r="L2224" s="33" t="s">
        <v>5244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5247</v>
      </c>
      <c r="L2225" s="33" t="s">
        <v>5244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5248</v>
      </c>
      <c r="L2226" s="33" t="s">
        <v>5244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5249</v>
      </c>
      <c r="L2227" s="33" t="s">
        <v>5244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5250</v>
      </c>
      <c r="L2228" s="33" t="s">
        <v>5251</v>
      </c>
      <c r="M2228" s="33" t="s">
        <v>5252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5253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5254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5255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5256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5257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5258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5257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5259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5260</v>
      </c>
      <c r="L2234" s="33" t="s">
        <v>5261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5262</v>
      </c>
      <c r="L2235" s="33" t="s">
        <v>5263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5264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5265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5266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5267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5268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5269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5270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5271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5272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5273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5274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5275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5276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5277</v>
      </c>
      <c r="L2245" s="33" t="s">
        <v>5278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5279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5271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 hidden="1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5280</v>
      </c>
      <c r="L2267" s="18" t="s">
        <v>5281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/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5282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/>
      <c r="L2271" s="33"/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LANÇAMENTO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5283</v>
      </c>
      <c r="L2272" s="33" t="s">
        <v>5284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/>
      <c r="L2279" s="33"/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/>
      <c r="L2280" s="33"/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/>
      <c r="L2281" s="33"/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5285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/>
      <c r="L2282" s="33"/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/>
      <c r="L2283" s="33"/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/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/>
      <c r="L2284" s="33"/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LANÇAMENTO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/>
      <c r="L2285" s="33"/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/>
      <c r="L2286" s="33"/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/>
      <c r="L2287" s="33"/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/>
      <c r="L2288" s="33"/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/>
      <c r="L2289" s="33"/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/>
      <c r="L2290" s="33"/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/>
      <c r="L2291" s="33"/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>
      <c r="A2292" s="30">
        <v>46224</v>
      </c>
      <c r="B2292" s="30"/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5286</v>
      </c>
      <c r="G2292" s="32">
        <v>500</v>
      </c>
      <c r="H2292" s="32"/>
      <c r="I2292" s="32">
        <f t="shared" si="40"/>
        <v>500</v>
      </c>
      <c r="J2292" s="33" t="s">
        <v>1080</v>
      </c>
      <c r="K2292" s="33"/>
      <c r="L2292" s="33"/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LANÇAMENTO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5287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5288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5289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5" si="41">G2296+H2296</f>
        <v>168.95</v>
      </c>
      <c r="J2296" s="18" t="s">
        <v>1199</v>
      </c>
      <c r="K2296" s="33" t="s">
        <v>5290</v>
      </c>
      <c r="L2296" s="33" t="s">
        <v>5216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/>
      <c r="B2297" s="30"/>
      <c r="C2297" s="31"/>
      <c r="D2297" s="30" t="str">
        <f>IFERROR(VLOOKUP(Tabela5[[#This Row],[PREFIXO ]],Tabela4[#All],2,0),"CENTRO DE CUSTO")</f>
        <v>CENTRO DE CUSTO</v>
      </c>
      <c r="E2297" s="33"/>
      <c r="F2297" s="31"/>
      <c r="G2297" s="32"/>
      <c r="H2297" s="32"/>
      <c r="I2297" s="32">
        <f t="shared" si="41"/>
        <v>0</v>
      </c>
      <c r="J2297" s="33"/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/>
      </c>
      <c r="R2297" s="33"/>
    </row>
    <row r="2298" spans="1:18" hidden="1">
      <c r="A2298" s="30"/>
      <c r="B2298" s="30"/>
      <c r="C2298" s="31">
        <v>17320834</v>
      </c>
      <c r="D2298" s="30" t="str">
        <f>IFERROR(VLOOKUP(Tabela5[[#This Row],[PREFIXO ]],Tabela4[#All],2,0),"CENTRO DE CUSTO")</f>
        <v>PLANTADEIRA CASE IH FAST RISER 6100</v>
      </c>
      <c r="E2298" s="33" t="s">
        <v>311</v>
      </c>
      <c r="F2298" s="31">
        <v>818</v>
      </c>
      <c r="G2298" s="32"/>
      <c r="H2298" s="32"/>
      <c r="I2298" s="32">
        <f t="shared" si="41"/>
        <v>0</v>
      </c>
      <c r="J2298" s="33"/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/>
      </c>
      <c r="R2298" s="33"/>
    </row>
    <row r="2299" spans="1:18" hidden="1">
      <c r="A2299" s="30"/>
      <c r="B2299" s="30"/>
      <c r="C2299" s="31">
        <v>13320835</v>
      </c>
      <c r="D2299" s="30" t="str">
        <f>IFERROR(VLOOKUP(Tabela5[[#This Row],[PREFIXO ]],Tabela4[#All],2,0),"CENTRO DE CUSTO")</f>
        <v>CENTRO DE CUSTO</v>
      </c>
      <c r="E2299" s="33" t="s">
        <v>311</v>
      </c>
      <c r="F2299" s="31">
        <v>817</v>
      </c>
      <c r="G2299" s="32"/>
      <c r="H2299" s="32"/>
      <c r="I2299" s="32">
        <f t="shared" si="41"/>
        <v>0</v>
      </c>
      <c r="J2299" s="33"/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/>
      </c>
      <c r="R2299" s="33"/>
    </row>
    <row r="2300" spans="1:18" hidden="1">
      <c r="A2300" s="30"/>
      <c r="B2300" s="30"/>
      <c r="C2300" s="31">
        <v>17320837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816</v>
      </c>
      <c r="G2300" s="32"/>
      <c r="H2300" s="32"/>
      <c r="I2300" s="32">
        <f t="shared" si="41"/>
        <v>0</v>
      </c>
      <c r="J2300" s="33"/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/>
      </c>
      <c r="R2300" s="33"/>
    </row>
    <row r="2301" spans="1:18" hidden="1">
      <c r="A2301" s="30"/>
      <c r="B2301" s="30"/>
      <c r="C2301" s="31">
        <v>17320832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815</v>
      </c>
      <c r="G2301" s="32"/>
      <c r="H2301" s="32"/>
      <c r="I2301" s="32">
        <f t="shared" si="41"/>
        <v>0</v>
      </c>
      <c r="J2301" s="33"/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/>
      </c>
      <c r="R2301" s="33"/>
    </row>
    <row r="2302" spans="1:18" hidden="1">
      <c r="A2302" s="30"/>
      <c r="B2302" s="30"/>
      <c r="C2302" s="31">
        <v>17320833</v>
      </c>
      <c r="D2302" s="30" t="str">
        <f>IFERROR(VLOOKUP(Tabela5[[#This Row],[PREFIXO ]],Tabela4[#All],2,0),"CENTRO DE CUSTO")</f>
        <v>PLANTADEIRA CASE IH FAST RISER 6100</v>
      </c>
      <c r="E2302" s="33" t="s">
        <v>311</v>
      </c>
      <c r="F2302" s="31">
        <v>819</v>
      </c>
      <c r="G2302" s="32"/>
      <c r="H2302" s="32"/>
      <c r="I2302" s="32">
        <f t="shared" si="41"/>
        <v>0</v>
      </c>
      <c r="J2302" s="33"/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/>
      </c>
      <c r="R2302" s="33"/>
    </row>
    <row r="2303" spans="1:18" hidden="1">
      <c r="A2303" s="30"/>
      <c r="B2303" s="30"/>
      <c r="C2303" s="31">
        <v>85048102</v>
      </c>
      <c r="D2303" s="30" t="str">
        <f>IFERROR(VLOOKUP(Tabela5[[#This Row],[PREFIXO ]],Tabela4[#All],2,0),"CENTRO DE CUSTO")</f>
        <v>CENTRO DE CUSTO</v>
      </c>
      <c r="E2303" s="33" t="s">
        <v>311</v>
      </c>
      <c r="F2303" s="31">
        <v>814</v>
      </c>
      <c r="G2303" s="32"/>
      <c r="H2303" s="32"/>
      <c r="I2303" s="32">
        <f t="shared" si="41"/>
        <v>0</v>
      </c>
      <c r="J2303" s="33"/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/>
      </c>
      <c r="R2303" s="33"/>
    </row>
    <row r="2304" spans="1:18" hidden="1">
      <c r="A2304" s="30"/>
      <c r="B2304" s="30"/>
      <c r="C2304" s="31">
        <v>85048095</v>
      </c>
      <c r="D2304" s="30" t="str">
        <f>IFERROR(VLOOKUP(Tabela5[[#This Row],[PREFIXO ]],Tabela4[#All],2,0),"CENTRO DE CUSTO")</f>
        <v>PLANT GRÃOS JOHN DEERE DB90 ME 60 LINHAS</v>
      </c>
      <c r="E2304" s="33" t="s">
        <v>311</v>
      </c>
      <c r="F2304" s="31">
        <v>813</v>
      </c>
      <c r="G2304" s="32"/>
      <c r="H2304" s="32"/>
      <c r="I2304" s="32">
        <f t="shared" si="41"/>
        <v>0</v>
      </c>
      <c r="J2304" s="33"/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/>
      </c>
      <c r="R2304" s="33"/>
    </row>
    <row r="2305" spans="1:18" hidden="1">
      <c r="A2305" s="30"/>
      <c r="B2305" s="30"/>
      <c r="C2305" s="31">
        <v>85048096</v>
      </c>
      <c r="D2305" s="30" t="str">
        <f>IFERROR(VLOOKUP(Tabela5[[#This Row],[PREFIXO ]],Tabela4[#All],2,0),"CENTRO DE CUSTO")</f>
        <v>CENTRO DE CUSTO</v>
      </c>
      <c r="E2305" s="33" t="s">
        <v>311</v>
      </c>
      <c r="F2305" s="31">
        <v>812</v>
      </c>
      <c r="G2305" s="32"/>
      <c r="H2305" s="32"/>
      <c r="I2305" s="32">
        <f t="shared" si="41"/>
        <v>0</v>
      </c>
      <c r="J2305" s="33"/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/>
      </c>
      <c r="R2305" s="33"/>
    </row>
    <row r="2306" spans="1:18">
      <c r="A2306" s="30"/>
      <c r="B2306" s="30"/>
      <c r="C2306" s="49"/>
      <c r="D2306" s="30" t="str">
        <f>IFERROR(VLOOKUP(Tabela5[[#This Row],[PREFIXO ]],Tabela4[#All],2,0),"CENTRO DE CUSTO")</f>
        <v>CENTRO DE CUSTO</v>
      </c>
      <c r="E2306" s="33"/>
      <c r="F2306" s="49"/>
      <c r="G2306" s="32"/>
      <c r="H2306" s="32"/>
      <c r="I2306" s="32">
        <f>G2306+H2306</f>
        <v>0</v>
      </c>
      <c r="J2306" s="33"/>
      <c r="K2306" s="33"/>
      <c r="L2306" s="33"/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/>
      </c>
      <c r="R2306" s="33"/>
    </row>
  </sheetData>
  <conditionalFormatting sqref="F2281:F2298 F2302:F1048576 I2187 F2177:F2185 F2188:F2276 F1:F2173 K2186 G2274:I2274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L2281:L1048576 P2273:P2275 L2276 O2187 L2173:L2174 L2177:L2185 J2178 L1:L2171 L2188:L2272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06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E3:E2306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2F8A894C-3DA9-4AA2-9B23-F8AE345C44D8}"/>
</file>

<file path=customXml/itemProps3.xml><?xml version="1.0" encoding="utf-8"?>
<ds:datastoreItem xmlns:ds="http://schemas.openxmlformats.org/officeDocument/2006/customXml" ds:itemID="{AA316DC8-C52E-4222-808B-B7178B28FAC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Ezequiel Caetano</cp:lastModifiedBy>
  <cp:revision/>
  <dcterms:created xsi:type="dcterms:W3CDTF">2026-05-27T19:44:14Z</dcterms:created>
  <dcterms:modified xsi:type="dcterms:W3CDTF">2026-07-23T13:27:47Z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